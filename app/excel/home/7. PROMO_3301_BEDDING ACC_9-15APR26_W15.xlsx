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1" activeTab="6"/>
  </bookViews>
  <sheets>
    <sheet name="3301 2024 H1 D70" sheetId="23" r:id="rId1"/>
    <sheet name="3301 2023 H2 B1D90" sheetId="21" r:id="rId2"/>
    <sheet name="3301 2023 H1 B1D90" sheetId="3" r:id="rId3"/>
    <sheet name="3301 CONNEXION D90" sheetId="9" r:id="rId4"/>
    <sheet name="3301 H1 H2 2022 D90" sheetId="8" r:id="rId5"/>
    <sheet name="2020-2021 ALL ITEM ST YVES D90" sheetId="12" r:id="rId6"/>
    <sheet name="2019 ALL TROOS D85" sheetId="10" r:id="rId7"/>
  </sheets>
  <definedNames>
    <definedName name="_xlnm._FilterDatabase" localSheetId="4" hidden="1">'3301 H1 H2 2022 D90'!$A$1:$P$1</definedName>
    <definedName name="_xlnm._FilterDatabase" localSheetId="2" hidden="1">'3301 2023 H1 B1D90'!$A$1:$P$1</definedName>
    <definedName name="_xlnm._FilterDatabase" localSheetId="1" hidden="1">'3301 2023 H2 B1D90'!$A$1:$P$1</definedName>
    <definedName name="_xlnm._FilterDatabase" localSheetId="0" hidden="1">'3301 2024 H1 D70'!$A$1:$P$1</definedName>
    <definedName name="_xlnm._FilterDatabase" localSheetId="3" hidden="1">'3301 CONNEXION D90'!$A$1:$P$1</definedName>
    <definedName name="_xlnm._FilterDatabase" localSheetId="5" hidden="1">'2020-2021 ALL ITEM ST YVES D90'!$A$1:$P$1</definedName>
    <definedName name="_xlnm._FilterDatabase" localSheetId="6" hidden="1">'2019 ALL TROOS D85'!$A$1:$P$1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<sst xmlns="http://schemas.openxmlformats.org/spreadsheetml/2006/main" count="362" uniqueCount="122">
  <si>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</si>
  <si>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</si>
  <si>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</si>
  <si>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</si>
  <si>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</si>
  <si>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</si>
  <si>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</si>
  <si>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</si>
  <si>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</si>
  <si>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</si>
  <si>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</si>
  <si>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</si>
  <si>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</si>
  <si>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</si>
  <si>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</si>
  <si>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</si>
  <si>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H1 2024 D70</t>
  </si>
  <si>
    <t>CONNEXION</t>
  </si>
  <si>
    <t>LEAF4</t>
  </si>
  <si>
    <t>BLANKET LEAF4:FOREST GREEN:F:PRINT:BLANKET</t>
  </si>
  <si>
    <t>PERCENTAGE</t>
  </si>
  <si>
    <t>SHAPED2</t>
  </si>
  <si>
    <t>BLANKET 150X200 CM SHAPED2:PASTEL BLUE:F:PRINT:BLANKET</t>
  </si>
  <si>
    <t>SHAPED3</t>
  </si>
  <si>
    <t>BLANKET 150X200 CM SHAPED3:PASTEL GREY:F:PRINT:BLANKET</t>
  </si>
  <si>
    <t>FLOLEAF3</t>
  </si>
  <si>
    <t>BLANKET 150X200 CM FLOLEAF3:PASTEL GREY:F:PRINT:BLANKET</t>
  </si>
  <si>
    <t>FLOLEAF4</t>
  </si>
  <si>
    <t>BLANKET 150X200 CM FLOLEAF4:NAVY BLUE:F:PRINT:BLANKET</t>
  </si>
  <si>
    <t>FEATHER3</t>
  </si>
  <si>
    <t>BLANKET FEATHER3:ASSORTIVE COLOR:F:PRINT:BLANKET</t>
  </si>
  <si>
    <t>STAR3</t>
  </si>
  <si>
    <t>BLANKET STAR3:CLASSIC BLUE:F:PRINT:BLANKET</t>
  </si>
  <si>
    <t>HEART3</t>
  </si>
  <si>
    <t>BLANKET HEART3:PASTEL PINK:F:PRINT:BLANKET</t>
  </si>
  <si>
    <t>MOR145</t>
  </si>
  <si>
    <t>CUSHION COVER SATEEN PRINT MOR145:NAVY BLUE:F:PRINT:CUSHION</t>
  </si>
  <si>
    <t>GEO45</t>
  </si>
  <si>
    <t>CUSHION COVER SATEEN PRINT GEO45:PASTEL GREEN:F:PRINT:CUSHION</t>
  </si>
  <si>
    <t>3301 2023 H2 B1D90</t>
  </si>
  <si>
    <t>INSCU30</t>
  </si>
  <si>
    <t>CUSHION INSERT INSCU30:WHITE:F:SOLID:CUSHION</t>
  </si>
  <si>
    <t>PRNGEO1</t>
  </si>
  <si>
    <t>CUSHION COVER PRNGEO1:NAVY BLUE:F:PRINT:CUSHION</t>
  </si>
  <si>
    <t>PRNGEO2</t>
  </si>
  <si>
    <t>CUSHION COVER PRNGEO2:RUSTIC ORANGE:F:PRINT:CUSHION</t>
  </si>
  <si>
    <t>PRNGEO3</t>
  </si>
  <si>
    <t>CUSHION COVER PRNGEO3:PASTEL BLUE:F:PRINT:CUSHION</t>
  </si>
  <si>
    <t>WATCOL445</t>
  </si>
  <si>
    <t>CUSHION COVER - SATIN PRINTED WATCOL445:LIGHT BLUE:F:PRINT:CUSHION</t>
  </si>
  <si>
    <t>WATCOL345</t>
  </si>
  <si>
    <t>CUSHION COVER - SATIN PRINTED WATCOL345:PASTEL PINK:F:PRINT:CUSHION</t>
  </si>
  <si>
    <t>WATCOL145</t>
  </si>
  <si>
    <t>CUSHION COVER - SATIN PRINTED WATCOL145:SALMON:F:PRINT:CUSHION</t>
  </si>
  <si>
    <t>WATCOL245</t>
  </si>
  <si>
    <t>CUSHION COVER - SATIN PRINTED WATCOL245:NAVY BLUE:F:PRINT:CUSHION</t>
  </si>
  <si>
    <t>WATCOLR</t>
  </si>
  <si>
    <t>TABLE RUNNER - SATIN PRINTED WATCOLR:SALMON:F:PRINT:TABLE RUNNER</t>
  </si>
  <si>
    <t>STAR2</t>
  </si>
  <si>
    <t>BLANKET STAR2:ASSORTIVE COLOR:F:PRINT:BLANKET</t>
  </si>
  <si>
    <t>FLOLEAF2</t>
  </si>
  <si>
    <t>BLANKET FLOLEAF2:PASTEL GREY:F:PRINT:BLANKET</t>
  </si>
  <si>
    <t>BICYCLE</t>
  </si>
  <si>
    <t>BLANKET BICYCLE:CLASSIC BLUE:F:PRINT:BLANKET</t>
  </si>
  <si>
    <t>LEAF3</t>
  </si>
  <si>
    <t>BLANKET LEAF3:SAND:F:PRINT:BLANKET</t>
  </si>
  <si>
    <t>B-STYVESG</t>
  </si>
  <si>
    <t>PILLOW MICROTEC DACRON 650GR:WHITE:F</t>
  </si>
  <si>
    <t>G-STYVESG</t>
  </si>
  <si>
    <t>BOLSTER MICROTEC DACRON 650GR:WHITE:F</t>
  </si>
  <si>
    <t>H1 2023 D90</t>
  </si>
  <si>
    <t>INSERTCU</t>
  </si>
  <si>
    <t>CUSHION INSERT INSERTCU:WHITE:F:SOLID:CUSHION</t>
  </si>
  <si>
    <t>POMPOM</t>
  </si>
  <si>
    <t>CUSHION COVER POMPOM:RUSTIC GOLD:F:SOLID:CUSHION</t>
  </si>
  <si>
    <t>CUSHION COVER POMPOM:WINE:F:SOLID:CUSHION</t>
  </si>
  <si>
    <t>CUSHION COVER POMPOM:TEAL:F:SOLID:CUSHION</t>
  </si>
  <si>
    <t>STAR1</t>
  </si>
  <si>
    <t>BLANKET STAR1:ASSORTIVE COLOR:F:PRINT:BLANKET</t>
  </si>
  <si>
    <t>SHAPED1</t>
  </si>
  <si>
    <t>BLANKET SHAPED1:ASSORTIVE COLOR:F:PRINT:BLANKET</t>
  </si>
  <si>
    <t>LEAF2</t>
  </si>
  <si>
    <t>BLANKET LEAF2:ASSORTIVE COLOR:F:PRINT:BLANKET</t>
  </si>
  <si>
    <t>HEART2</t>
  </si>
  <si>
    <t>BLANKET HEART2:ASSORTIVE COLOR:F:PRINT:BLANKET</t>
  </si>
  <si>
    <t>FEATHER2</t>
  </si>
  <si>
    <t>BLANKET FEATHER2:ASSORTIVE COLOR:F:PRINT:BLANKET</t>
  </si>
  <si>
    <t>CUSCR30</t>
  </si>
  <si>
    <t>CUSHION COVER CUSCR30:RUSTIC ORANGE:F:PRINT:CUSHION</t>
  </si>
  <si>
    <t>CUSHION COVER CUSCR30:RUSTIC BROWN:F:PRINT:CUSHION</t>
  </si>
  <si>
    <t>CUSCR45</t>
  </si>
  <si>
    <t>CUSHION COVER CUSCR45:RUSTIC ORANGE:F:PRINT:CUSHION</t>
  </si>
  <si>
    <t>CUSHION COVER CUSCR45:RUSTIC BROWN:F:PRINT:CUSHION</t>
  </si>
  <si>
    <t>BDPILLOW</t>
  </si>
  <si>
    <t>PILLOW BODY 1000GR BDPILLOW:ASSORTIVE COLOR:F:CHECKS:PILLOW</t>
  </si>
  <si>
    <t>B-SLEEP</t>
  </si>
  <si>
    <t>PILLOW MICROTEC DACRON 750GR:WHITE:F</t>
  </si>
  <si>
    <t>G-SLEEP</t>
  </si>
  <si>
    <t>BOLSTER MICROTEC DACRON 750GR:WHITE:F</t>
  </si>
  <si>
    <t>3301 CONNEXION D90</t>
  </si>
  <si>
    <t>BPSETPRM</t>
  </si>
  <si>
    <t>PILLOW BOLSTER SET POLYESTER  BPSETPRM:WHITE:F:SOLID:PILLOW BOLSTER</t>
  </si>
  <si>
    <t>H1 &amp; H2 2022 D90</t>
  </si>
  <si>
    <t>HEART</t>
  </si>
  <si>
    <t>BLANKET 150X200 HEART:ASSORTIVE COLOR:F:PRINT:BLANKET</t>
  </si>
  <si>
    <t>POLKA</t>
  </si>
  <si>
    <t>BLANKET 150X200 POLKA:ASSORTIVE COLOR:F:PRINT:BLANKET</t>
  </si>
  <si>
    <t>2020-2021 ALL ITEM ST YVES D90</t>
  </si>
  <si>
    <t>ST YVES</t>
  </si>
  <si>
    <t>CUSHAM</t>
  </si>
  <si>
    <t>CUSHION SOLID WITH SHAM 350GR CUSHAM:BLACK:F:SOLID:CUSHION</t>
  </si>
  <si>
    <t>CUSHION SOLID WITH SHAM 350GR CUSHAM:CLASSIC BLUE:F:SOLID:CUSHION</t>
  </si>
  <si>
    <t>BPMAR120</t>
  </si>
  <si>
    <t>PILLOW BODY BPMAR120:ASSORTIVE COLOR:F:PRINT:PILLOW</t>
  </si>
  <si>
    <t>G-STVEST</t>
  </si>
  <si>
    <t>BOLSTER MICROTEC DACRON 600GR:WHITE:F</t>
  </si>
  <si>
    <t>B-STVEST</t>
  </si>
  <si>
    <t>PILLOW MICROTEC DACRON 600GR:WHITE:F</t>
  </si>
  <si>
    <t>2019 ALL TROOS D90</t>
  </si>
  <si>
    <t>TROOS</t>
  </si>
  <si>
    <t>B-TROOS</t>
  </si>
  <si>
    <t>BANTAL TROOS MICROTEC + 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</si>
</sst>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38" fontId="0" fillId="0" borderId="1" xfId="0" applyNumberForma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70" zoomScaleNormal="70" workbookViewId="0">
      <pane ySplit="1" topLeftCell="A2" activePane="bottomLeft" state="frozen"/>
      <selection/>
      <selection pane="bottomLeft" activeCell="B2" sqref="B2:C11"/>
    </sheetView>
  </sheetViews>
  <sheetFormatPr defaultColWidth="8.72727272727273" defaultRowHeight="14.5"/>
  <cols>
    <col min="1" max="1" width="12.3636363636364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27272727272727" style="1" customWidth="1"/>
    <col min="12" max="12" width="61.7272727272727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16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16102719</v>
      </c>
      <c r="K2" s="10" t="s">
        <v>18</v>
      </c>
      <c r="L2" s="10" t="s">
        <v>19</v>
      </c>
      <c r="M2" s="12">
        <v>179900</v>
      </c>
      <c r="N2" s="13">
        <v>0.7</v>
      </c>
      <c r="O2" s="12">
        <f t="shared" ref="O2:O11" si="0">M2*(1-N2)</f>
        <v>53970</v>
      </c>
      <c r="P2" s="10" t="s">
        <v>20</v>
      </c>
    </row>
    <row r="3" spans="1:16">
      <c r="A3" s="10" t="s">
        <v>16</v>
      </c>
      <c r="B3" s="11">
        <v>46121</v>
      </c>
      <c r="C3" s="11">
        <v>46127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16102728</v>
      </c>
      <c r="K3" s="10" t="s">
        <v>21</v>
      </c>
      <c r="L3" s="10" t="s">
        <v>22</v>
      </c>
      <c r="M3" s="12">
        <v>179900</v>
      </c>
      <c r="N3" s="13">
        <v>0.7</v>
      </c>
      <c r="O3" s="12">
        <f t="shared" si="0"/>
        <v>53970</v>
      </c>
      <c r="P3" s="10" t="s">
        <v>20</v>
      </c>
    </row>
    <row r="4" spans="1:16">
      <c r="A4" s="10" t="s">
        <v>16</v>
      </c>
      <c r="B4" s="11">
        <v>46121</v>
      </c>
      <c r="C4" s="11">
        <v>46127</v>
      </c>
      <c r="D4" s="10">
        <v>3301</v>
      </c>
      <c r="E4" s="10">
        <v>340</v>
      </c>
      <c r="F4" s="10">
        <v>6</v>
      </c>
      <c r="G4" s="10">
        <v>2</v>
      </c>
      <c r="H4" s="10">
        <v>81776</v>
      </c>
      <c r="I4" s="10" t="s">
        <v>17</v>
      </c>
      <c r="J4" s="10">
        <v>16102737</v>
      </c>
      <c r="K4" s="10" t="s">
        <v>23</v>
      </c>
      <c r="L4" s="10" t="s">
        <v>24</v>
      </c>
      <c r="M4" s="12">
        <v>179900</v>
      </c>
      <c r="N4" s="13">
        <v>0.7</v>
      </c>
      <c r="O4" s="12">
        <f t="shared" si="0"/>
        <v>53970</v>
      </c>
      <c r="P4" s="10" t="s">
        <v>20</v>
      </c>
    </row>
    <row r="5" spans="1:16">
      <c r="A5" s="10" t="s">
        <v>16</v>
      </c>
      <c r="B5" s="11">
        <v>46121</v>
      </c>
      <c r="C5" s="11">
        <v>46127</v>
      </c>
      <c r="D5" s="10">
        <v>3301</v>
      </c>
      <c r="E5" s="10">
        <v>340</v>
      </c>
      <c r="F5" s="10">
        <v>6</v>
      </c>
      <c r="G5" s="10">
        <v>2</v>
      </c>
      <c r="H5" s="10">
        <v>81776</v>
      </c>
      <c r="I5" s="10" t="s">
        <v>17</v>
      </c>
      <c r="J5" s="10">
        <v>16102746</v>
      </c>
      <c r="K5" s="10" t="s">
        <v>25</v>
      </c>
      <c r="L5" s="10" t="s">
        <v>26</v>
      </c>
      <c r="M5" s="12">
        <v>179900</v>
      </c>
      <c r="N5" s="13">
        <v>0.7</v>
      </c>
      <c r="O5" s="12">
        <f t="shared" si="0"/>
        <v>53970</v>
      </c>
      <c r="P5" s="10" t="s">
        <v>20</v>
      </c>
    </row>
    <row r="6" spans="1:16">
      <c r="A6" s="10" t="s">
        <v>16</v>
      </c>
      <c r="B6" s="11">
        <v>46121</v>
      </c>
      <c r="C6" s="11">
        <v>46127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16102755</v>
      </c>
      <c r="K6" s="10" t="s">
        <v>27</v>
      </c>
      <c r="L6" s="10" t="s">
        <v>28</v>
      </c>
      <c r="M6" s="12">
        <v>179900</v>
      </c>
      <c r="N6" s="13">
        <v>0.7</v>
      </c>
      <c r="O6" s="12">
        <f t="shared" si="0"/>
        <v>53970</v>
      </c>
      <c r="P6" s="10" t="s">
        <v>20</v>
      </c>
    </row>
    <row r="7" spans="1:16">
      <c r="A7" s="10" t="s">
        <v>16</v>
      </c>
      <c r="B7" s="11">
        <v>46121</v>
      </c>
      <c r="C7" s="11">
        <v>46127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16118597</v>
      </c>
      <c r="K7" s="10" t="s">
        <v>29</v>
      </c>
      <c r="L7" s="10" t="s">
        <v>30</v>
      </c>
      <c r="M7" s="12">
        <v>179900</v>
      </c>
      <c r="N7" s="13">
        <v>0.7</v>
      </c>
      <c r="O7" s="12">
        <f t="shared" si="0"/>
        <v>53970</v>
      </c>
      <c r="P7" s="10" t="s">
        <v>20</v>
      </c>
    </row>
    <row r="8" spans="1:16">
      <c r="A8" s="10" t="s">
        <v>16</v>
      </c>
      <c r="B8" s="11">
        <v>46121</v>
      </c>
      <c r="C8" s="11">
        <v>46127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16118604</v>
      </c>
      <c r="K8" s="10" t="s">
        <v>31</v>
      </c>
      <c r="L8" s="10" t="s">
        <v>32</v>
      </c>
      <c r="M8" s="12">
        <v>179900</v>
      </c>
      <c r="N8" s="13">
        <v>0.7</v>
      </c>
      <c r="O8" s="12">
        <f t="shared" si="0"/>
        <v>53970</v>
      </c>
      <c r="P8" s="10" t="s">
        <v>20</v>
      </c>
    </row>
    <row r="9" spans="1:16">
      <c r="A9" s="10" t="s">
        <v>16</v>
      </c>
      <c r="B9" s="11">
        <v>46121</v>
      </c>
      <c r="C9" s="11">
        <v>46127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16118613</v>
      </c>
      <c r="K9" s="10" t="s">
        <v>33</v>
      </c>
      <c r="L9" s="10" t="s">
        <v>34</v>
      </c>
      <c r="M9" s="12">
        <v>179900</v>
      </c>
      <c r="N9" s="13">
        <v>0.7</v>
      </c>
      <c r="O9" s="12">
        <f t="shared" si="0"/>
        <v>53970</v>
      </c>
      <c r="P9" s="10" t="s">
        <v>20</v>
      </c>
    </row>
    <row r="10" spans="1:16">
      <c r="A10" s="10" t="s">
        <v>16</v>
      </c>
      <c r="B10" s="11">
        <v>46121</v>
      </c>
      <c r="C10" s="11">
        <v>46127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0">
        <v>16102693</v>
      </c>
      <c r="K10" s="10" t="s">
        <v>35</v>
      </c>
      <c r="L10" s="10" t="s">
        <v>36</v>
      </c>
      <c r="M10" s="12">
        <v>119900</v>
      </c>
      <c r="N10" s="13">
        <v>0.7</v>
      </c>
      <c r="O10" s="12">
        <f t="shared" si="0"/>
        <v>35970</v>
      </c>
      <c r="P10" s="10" t="s">
        <v>20</v>
      </c>
    </row>
    <row r="11" spans="1:16">
      <c r="A11" s="10" t="s">
        <v>16</v>
      </c>
      <c r="B11" s="11">
        <v>46121</v>
      </c>
      <c r="C11" s="11">
        <v>46127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8">
        <v>16102700</v>
      </c>
      <c r="K11" s="20" t="s">
        <v>37</v>
      </c>
      <c r="L11" s="18" t="s">
        <v>38</v>
      </c>
      <c r="M11" s="21">
        <v>119900</v>
      </c>
      <c r="N11" s="13">
        <v>0.7</v>
      </c>
      <c r="O11" s="12">
        <f t="shared" si="0"/>
        <v>35970</v>
      </c>
      <c r="P11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70" zoomScaleNormal="70" workbookViewId="0">
      <pane ySplit="1" topLeftCell="A2" activePane="bottomLeft" state="frozen"/>
      <selection/>
      <selection pane="bottomLeft" activeCell="B2" sqref="B2:C16"/>
    </sheetView>
  </sheetViews>
  <sheetFormatPr defaultColWidth="8.72727272727273" defaultRowHeight="14.5"/>
  <cols>
    <col min="1" max="1" width="19.6363636363636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9.54545454545454" style="1" customWidth="1"/>
    <col min="11" max="11" width="11.0909090909091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39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7">
        <v>82422197</v>
      </c>
      <c r="K2" s="10" t="s">
        <v>40</v>
      </c>
      <c r="L2" s="10" t="s">
        <v>41</v>
      </c>
      <c r="M2" s="12">
        <v>59900</v>
      </c>
      <c r="N2" s="13">
        <v>0.9</v>
      </c>
      <c r="O2" s="12">
        <f>M2*(1-N2)</f>
        <v>5990</v>
      </c>
      <c r="P2" s="10" t="s">
        <v>20</v>
      </c>
    </row>
    <row r="3" spans="1:16">
      <c r="A3" s="10" t="s">
        <v>39</v>
      </c>
      <c r="B3" s="11">
        <v>46121</v>
      </c>
      <c r="C3" s="11">
        <v>46127</v>
      </c>
      <c r="D3" s="10">
        <v>3301</v>
      </c>
      <c r="E3" s="10">
        <v>340</v>
      </c>
      <c r="F3" s="10">
        <v>6</v>
      </c>
      <c r="G3" s="10">
        <v>2</v>
      </c>
      <c r="H3" s="10">
        <v>81799</v>
      </c>
      <c r="I3" s="10" t="s">
        <v>17</v>
      </c>
      <c r="J3" s="17">
        <v>82422240</v>
      </c>
      <c r="K3" s="10" t="s">
        <v>42</v>
      </c>
      <c r="L3" s="10" t="s">
        <v>43</v>
      </c>
      <c r="M3" s="12">
        <v>119900</v>
      </c>
      <c r="N3" s="13">
        <v>0.9</v>
      </c>
      <c r="O3" s="12">
        <f>M3*(1-N3)</f>
        <v>11990</v>
      </c>
      <c r="P3" s="10" t="s">
        <v>20</v>
      </c>
    </row>
    <row r="4" spans="1:16">
      <c r="A4" s="10" t="s">
        <v>39</v>
      </c>
      <c r="B4" s="11">
        <v>46121</v>
      </c>
      <c r="C4" s="11">
        <v>46127</v>
      </c>
      <c r="D4" s="10">
        <v>3301</v>
      </c>
      <c r="E4" s="10">
        <v>340</v>
      </c>
      <c r="F4" s="10">
        <v>6</v>
      </c>
      <c r="G4" s="10">
        <v>2</v>
      </c>
      <c r="H4" s="10">
        <v>81799</v>
      </c>
      <c r="I4" s="10" t="s">
        <v>17</v>
      </c>
      <c r="J4" s="17">
        <v>82422259</v>
      </c>
      <c r="K4" s="10" t="s">
        <v>44</v>
      </c>
      <c r="L4" s="10" t="s">
        <v>45</v>
      </c>
      <c r="M4" s="12">
        <v>119900</v>
      </c>
      <c r="N4" s="13">
        <v>0.9</v>
      </c>
      <c r="O4" s="12">
        <f t="shared" ref="O4:O16" si="0">M4*(1-N4)</f>
        <v>11990</v>
      </c>
      <c r="P4" s="10" t="s">
        <v>20</v>
      </c>
    </row>
    <row r="5" spans="1:16">
      <c r="A5" s="10" t="s">
        <v>39</v>
      </c>
      <c r="B5" s="11">
        <v>46121</v>
      </c>
      <c r="C5" s="11">
        <v>46127</v>
      </c>
      <c r="D5" s="10">
        <v>3301</v>
      </c>
      <c r="E5" s="10">
        <v>340</v>
      </c>
      <c r="F5" s="10">
        <v>6</v>
      </c>
      <c r="G5" s="10">
        <v>2</v>
      </c>
      <c r="H5" s="10">
        <v>81799</v>
      </c>
      <c r="I5" s="10" t="s">
        <v>17</v>
      </c>
      <c r="J5" s="17">
        <v>82422268</v>
      </c>
      <c r="K5" s="10" t="s">
        <v>46</v>
      </c>
      <c r="L5" s="10" t="s">
        <v>47</v>
      </c>
      <c r="M5" s="12">
        <v>119900</v>
      </c>
      <c r="N5" s="13">
        <v>0.9</v>
      </c>
      <c r="O5" s="12">
        <f t="shared" si="0"/>
        <v>11990</v>
      </c>
      <c r="P5" s="10" t="s">
        <v>20</v>
      </c>
    </row>
    <row r="6" spans="1:16">
      <c r="A6" s="10" t="s">
        <v>39</v>
      </c>
      <c r="B6" s="11">
        <v>46121</v>
      </c>
      <c r="C6" s="11">
        <v>46127</v>
      </c>
      <c r="D6" s="10">
        <v>3301</v>
      </c>
      <c r="E6" s="10">
        <v>340</v>
      </c>
      <c r="F6" s="10">
        <v>6</v>
      </c>
      <c r="G6" s="10">
        <v>2</v>
      </c>
      <c r="H6" s="10">
        <v>81799</v>
      </c>
      <c r="I6" s="10" t="s">
        <v>17</v>
      </c>
      <c r="J6" s="17">
        <v>84073892</v>
      </c>
      <c r="K6" s="10" t="s">
        <v>48</v>
      </c>
      <c r="L6" s="10" t="s">
        <v>49</v>
      </c>
      <c r="M6" s="12">
        <v>119900</v>
      </c>
      <c r="N6" s="13">
        <v>0.9</v>
      </c>
      <c r="O6" s="12">
        <f t="shared" si="0"/>
        <v>11990</v>
      </c>
      <c r="P6" s="10" t="s">
        <v>20</v>
      </c>
    </row>
    <row r="7" spans="1:16">
      <c r="A7" s="10" t="s">
        <v>39</v>
      </c>
      <c r="B7" s="11">
        <v>46121</v>
      </c>
      <c r="C7" s="11">
        <v>46127</v>
      </c>
      <c r="D7" s="10">
        <v>3301</v>
      </c>
      <c r="E7" s="10">
        <v>340</v>
      </c>
      <c r="F7" s="10">
        <v>6</v>
      </c>
      <c r="G7" s="10">
        <v>2</v>
      </c>
      <c r="H7" s="10">
        <v>81799</v>
      </c>
      <c r="I7" s="10" t="s">
        <v>17</v>
      </c>
      <c r="J7" s="17">
        <v>84073909</v>
      </c>
      <c r="K7" s="10" t="s">
        <v>50</v>
      </c>
      <c r="L7" s="10" t="s">
        <v>51</v>
      </c>
      <c r="M7" s="12">
        <v>119900</v>
      </c>
      <c r="N7" s="13">
        <v>0.9</v>
      </c>
      <c r="O7" s="12">
        <f t="shared" si="0"/>
        <v>11990</v>
      </c>
      <c r="P7" s="10" t="s">
        <v>20</v>
      </c>
    </row>
    <row r="8" spans="1:16">
      <c r="A8" s="10" t="s">
        <v>39</v>
      </c>
      <c r="B8" s="11">
        <v>46121</v>
      </c>
      <c r="C8" s="11">
        <v>46127</v>
      </c>
      <c r="D8" s="10">
        <v>3301</v>
      </c>
      <c r="E8" s="10">
        <v>340</v>
      </c>
      <c r="F8" s="10">
        <v>6</v>
      </c>
      <c r="G8" s="10">
        <v>2</v>
      </c>
      <c r="H8" s="10">
        <v>81799</v>
      </c>
      <c r="I8" s="10" t="s">
        <v>17</v>
      </c>
      <c r="J8" s="17">
        <v>84073918</v>
      </c>
      <c r="K8" s="10" t="s">
        <v>52</v>
      </c>
      <c r="L8" s="10" t="s">
        <v>53</v>
      </c>
      <c r="M8" s="12">
        <v>119900</v>
      </c>
      <c r="N8" s="13">
        <v>0.9</v>
      </c>
      <c r="O8" s="12">
        <f t="shared" si="0"/>
        <v>11990</v>
      </c>
      <c r="P8" s="10" t="s">
        <v>20</v>
      </c>
    </row>
    <row r="9" spans="1:16">
      <c r="A9" s="10" t="s">
        <v>39</v>
      </c>
      <c r="B9" s="11">
        <v>46121</v>
      </c>
      <c r="C9" s="11">
        <v>46127</v>
      </c>
      <c r="D9" s="10">
        <v>3301</v>
      </c>
      <c r="E9" s="10">
        <v>340</v>
      </c>
      <c r="F9" s="10">
        <v>6</v>
      </c>
      <c r="G9" s="10">
        <v>2</v>
      </c>
      <c r="H9" s="10">
        <v>81799</v>
      </c>
      <c r="I9" s="10" t="s">
        <v>17</v>
      </c>
      <c r="J9" s="17">
        <v>84073927</v>
      </c>
      <c r="K9" s="10" t="s">
        <v>54</v>
      </c>
      <c r="L9" s="10" t="s">
        <v>55</v>
      </c>
      <c r="M9" s="12">
        <v>119900</v>
      </c>
      <c r="N9" s="13">
        <v>0.9</v>
      </c>
      <c r="O9" s="12">
        <f t="shared" si="0"/>
        <v>11990</v>
      </c>
      <c r="P9" s="10" t="s">
        <v>20</v>
      </c>
    </row>
    <row r="10" spans="1:16">
      <c r="A10" s="10" t="s">
        <v>39</v>
      </c>
      <c r="B10" s="11">
        <v>46121</v>
      </c>
      <c r="C10" s="11">
        <v>46127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7">
        <v>84073945</v>
      </c>
      <c r="K10" s="10" t="s">
        <v>56</v>
      </c>
      <c r="L10" s="10" t="s">
        <v>57</v>
      </c>
      <c r="M10" s="12">
        <v>229900</v>
      </c>
      <c r="N10" s="13">
        <v>0.9</v>
      </c>
      <c r="O10" s="12">
        <f t="shared" si="0"/>
        <v>22990</v>
      </c>
      <c r="P10" s="10" t="s">
        <v>20</v>
      </c>
    </row>
    <row r="11" spans="1:16">
      <c r="A11" s="10" t="s">
        <v>39</v>
      </c>
      <c r="B11" s="11">
        <v>46121</v>
      </c>
      <c r="C11" s="11">
        <v>46127</v>
      </c>
      <c r="D11" s="10">
        <v>3301</v>
      </c>
      <c r="E11" s="10">
        <v>340</v>
      </c>
      <c r="F11" s="10">
        <v>6</v>
      </c>
      <c r="G11" s="10">
        <v>2</v>
      </c>
      <c r="H11" s="18">
        <v>81776</v>
      </c>
      <c r="I11" s="18" t="s">
        <v>17</v>
      </c>
      <c r="J11" s="19">
        <v>81648786</v>
      </c>
      <c r="K11" s="20" t="s">
        <v>58</v>
      </c>
      <c r="L11" s="18" t="s">
        <v>59</v>
      </c>
      <c r="M11" s="21">
        <v>179900</v>
      </c>
      <c r="N11" s="13">
        <v>0.9</v>
      </c>
      <c r="O11" s="12">
        <f t="shared" si="0"/>
        <v>17990</v>
      </c>
      <c r="P11" s="10" t="s">
        <v>20</v>
      </c>
    </row>
    <row r="12" spans="1:16">
      <c r="A12" s="10" t="s">
        <v>39</v>
      </c>
      <c r="B12" s="11">
        <v>46121</v>
      </c>
      <c r="C12" s="11">
        <v>46127</v>
      </c>
      <c r="D12" s="10">
        <v>3301</v>
      </c>
      <c r="E12" s="10">
        <v>340</v>
      </c>
      <c r="F12" s="10">
        <v>6</v>
      </c>
      <c r="G12" s="10">
        <v>2</v>
      </c>
      <c r="H12" s="18">
        <v>81776</v>
      </c>
      <c r="I12" s="18" t="s">
        <v>17</v>
      </c>
      <c r="J12" s="19">
        <v>84073954</v>
      </c>
      <c r="K12" s="20" t="s">
        <v>60</v>
      </c>
      <c r="L12" s="18" t="s">
        <v>61</v>
      </c>
      <c r="M12" s="21">
        <v>179900</v>
      </c>
      <c r="N12" s="13">
        <v>0.9</v>
      </c>
      <c r="O12" s="12">
        <f t="shared" si="0"/>
        <v>17990</v>
      </c>
      <c r="P12" s="10" t="s">
        <v>20</v>
      </c>
    </row>
    <row r="13" spans="1:16">
      <c r="A13" s="10" t="s">
        <v>39</v>
      </c>
      <c r="B13" s="11">
        <v>46121</v>
      </c>
      <c r="C13" s="11">
        <v>46127</v>
      </c>
      <c r="D13" s="10">
        <v>3301</v>
      </c>
      <c r="E13" s="10">
        <v>340</v>
      </c>
      <c r="F13" s="10">
        <v>6</v>
      </c>
      <c r="G13" s="10">
        <v>2</v>
      </c>
      <c r="H13" s="18">
        <v>81776</v>
      </c>
      <c r="I13" s="18" t="s">
        <v>17</v>
      </c>
      <c r="J13" s="19">
        <v>84073963</v>
      </c>
      <c r="K13" s="20" t="s">
        <v>62</v>
      </c>
      <c r="L13" s="18" t="s">
        <v>63</v>
      </c>
      <c r="M13" s="21">
        <v>179900</v>
      </c>
      <c r="N13" s="13">
        <v>0.9</v>
      </c>
      <c r="O13" s="12">
        <f t="shared" si="0"/>
        <v>17990</v>
      </c>
      <c r="P13" s="10" t="s">
        <v>20</v>
      </c>
    </row>
    <row r="14" spans="1:16">
      <c r="A14" s="10" t="s">
        <v>39</v>
      </c>
      <c r="B14" s="11">
        <v>46121</v>
      </c>
      <c r="C14" s="11">
        <v>46127</v>
      </c>
      <c r="D14" s="10">
        <v>3301</v>
      </c>
      <c r="E14" s="10">
        <v>340</v>
      </c>
      <c r="F14" s="10">
        <v>6</v>
      </c>
      <c r="G14" s="10">
        <v>2</v>
      </c>
      <c r="H14" s="18">
        <v>81776</v>
      </c>
      <c r="I14" s="18" t="s">
        <v>17</v>
      </c>
      <c r="J14" s="19">
        <v>84073972</v>
      </c>
      <c r="K14" s="20" t="s">
        <v>64</v>
      </c>
      <c r="L14" s="18" t="s">
        <v>65</v>
      </c>
      <c r="M14" s="21">
        <v>179900</v>
      </c>
      <c r="N14" s="13">
        <v>0.9</v>
      </c>
      <c r="O14" s="12">
        <f t="shared" si="0"/>
        <v>17990</v>
      </c>
      <c r="P14" s="10" t="s">
        <v>20</v>
      </c>
    </row>
    <row r="15" spans="1:16">
      <c r="A15" s="10" t="s">
        <v>39</v>
      </c>
      <c r="B15" s="11">
        <v>46121</v>
      </c>
      <c r="C15" s="11">
        <v>46127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22880091</v>
      </c>
      <c r="K15" s="10" t="s">
        <v>66</v>
      </c>
      <c r="L15" s="10" t="s">
        <v>67</v>
      </c>
      <c r="M15" s="12">
        <v>79900</v>
      </c>
      <c r="N15" s="13">
        <v>0.9</v>
      </c>
      <c r="O15" s="12">
        <f t="shared" si="0"/>
        <v>7990</v>
      </c>
      <c r="P15" s="10" t="s">
        <v>20</v>
      </c>
    </row>
    <row r="16" spans="1:16">
      <c r="A16" s="10" t="s">
        <v>39</v>
      </c>
      <c r="B16" s="11">
        <v>46121</v>
      </c>
      <c r="C16" s="11">
        <v>46127</v>
      </c>
      <c r="D16" s="10">
        <v>3301</v>
      </c>
      <c r="E16" s="10">
        <v>340</v>
      </c>
      <c r="F16" s="10">
        <v>6</v>
      </c>
      <c r="G16" s="10">
        <v>1</v>
      </c>
      <c r="H16" s="10">
        <v>81513</v>
      </c>
      <c r="I16" s="10" t="s">
        <v>17</v>
      </c>
      <c r="J16" s="10">
        <v>22880288</v>
      </c>
      <c r="K16" s="10" t="s">
        <v>68</v>
      </c>
      <c r="L16" s="10" t="s">
        <v>69</v>
      </c>
      <c r="M16" s="12">
        <v>89900</v>
      </c>
      <c r="N16" s="13">
        <v>0.9</v>
      </c>
      <c r="O16" s="12">
        <f t="shared" si="0"/>
        <v>8990</v>
      </c>
      <c r="P1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workbookViewId="0">
      <pane ySplit="1" topLeftCell="A2" activePane="bottomLeft" state="frozen"/>
      <selection/>
      <selection pane="bottomLeft" activeCell="B2" sqref="B2:C17"/>
    </sheetView>
  </sheetViews>
  <sheetFormatPr defaultColWidth="8.72727272727273" defaultRowHeight="14.5"/>
  <cols>
    <col min="1" max="1" width="12.7272727272727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54545454545454" style="1" customWidth="1"/>
    <col min="12" max="12" width="60.545454545454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70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79223926</v>
      </c>
      <c r="K2" s="14" t="s">
        <v>71</v>
      </c>
      <c r="L2" s="10" t="s">
        <v>72</v>
      </c>
      <c r="M2" s="12">
        <v>59900</v>
      </c>
      <c r="N2" s="15">
        <v>0.9</v>
      </c>
      <c r="O2" s="12">
        <f t="shared" ref="O2:O17" si="0">M2*(1-N2)</f>
        <v>5990</v>
      </c>
      <c r="P2" s="15" t="s">
        <v>20</v>
      </c>
    </row>
    <row r="3" spans="1:16">
      <c r="A3" s="10" t="s">
        <v>70</v>
      </c>
      <c r="B3" s="11">
        <v>46121</v>
      </c>
      <c r="C3" s="11">
        <v>46127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17</v>
      </c>
      <c r="J3" s="16">
        <v>79223935</v>
      </c>
      <c r="K3" s="14" t="s">
        <v>73</v>
      </c>
      <c r="L3" s="10" t="s">
        <v>74</v>
      </c>
      <c r="M3" s="12">
        <v>119900</v>
      </c>
      <c r="N3" s="15">
        <v>0.9</v>
      </c>
      <c r="O3" s="12">
        <f t="shared" si="0"/>
        <v>11990</v>
      </c>
      <c r="P3" s="15" t="s">
        <v>20</v>
      </c>
    </row>
    <row r="4" spans="1:16">
      <c r="A4" s="10" t="s">
        <v>70</v>
      </c>
      <c r="B4" s="11">
        <v>46121</v>
      </c>
      <c r="C4" s="11">
        <v>46127</v>
      </c>
      <c r="D4" s="10">
        <v>3301</v>
      </c>
      <c r="E4" s="10">
        <v>340</v>
      </c>
      <c r="F4" s="10">
        <v>6</v>
      </c>
      <c r="G4" s="10">
        <v>2</v>
      </c>
      <c r="H4" s="10">
        <v>81513</v>
      </c>
      <c r="I4" s="10" t="s">
        <v>17</v>
      </c>
      <c r="J4" s="16">
        <v>79223944</v>
      </c>
      <c r="K4" s="14" t="s">
        <v>73</v>
      </c>
      <c r="L4" s="10" t="s">
        <v>75</v>
      </c>
      <c r="M4" s="12">
        <v>119900</v>
      </c>
      <c r="N4" s="15">
        <v>0.9</v>
      </c>
      <c r="O4" s="12">
        <f t="shared" si="0"/>
        <v>11990</v>
      </c>
      <c r="P4" s="15" t="s">
        <v>20</v>
      </c>
    </row>
    <row r="5" spans="1:16">
      <c r="A5" s="10" t="s">
        <v>70</v>
      </c>
      <c r="B5" s="11">
        <v>46121</v>
      </c>
      <c r="C5" s="11">
        <v>46127</v>
      </c>
      <c r="D5" s="10">
        <v>3301</v>
      </c>
      <c r="E5" s="10">
        <v>340</v>
      </c>
      <c r="F5" s="10">
        <v>6</v>
      </c>
      <c r="G5" s="10">
        <v>2</v>
      </c>
      <c r="H5" s="10">
        <v>81513</v>
      </c>
      <c r="I5" s="10" t="s">
        <v>17</v>
      </c>
      <c r="J5" s="16">
        <v>79223953</v>
      </c>
      <c r="K5" s="14" t="s">
        <v>73</v>
      </c>
      <c r="L5" s="10" t="s">
        <v>76</v>
      </c>
      <c r="M5" s="12">
        <v>119900</v>
      </c>
      <c r="N5" s="15">
        <v>0.9</v>
      </c>
      <c r="O5" s="12">
        <f t="shared" si="0"/>
        <v>11990</v>
      </c>
      <c r="P5" s="15" t="s">
        <v>20</v>
      </c>
    </row>
    <row r="6" spans="1:16">
      <c r="A6" s="10" t="s">
        <v>70</v>
      </c>
      <c r="B6" s="11">
        <v>46121</v>
      </c>
      <c r="C6" s="11">
        <v>46127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80798545</v>
      </c>
      <c r="K6" s="14" t="s">
        <v>77</v>
      </c>
      <c r="L6" s="10" t="s">
        <v>78</v>
      </c>
      <c r="M6" s="12">
        <v>179900</v>
      </c>
      <c r="N6" s="15">
        <v>0.9</v>
      </c>
      <c r="O6" s="12">
        <f t="shared" si="0"/>
        <v>17990</v>
      </c>
      <c r="P6" s="15" t="s">
        <v>20</v>
      </c>
    </row>
    <row r="7" spans="1:16">
      <c r="A7" s="10" t="s">
        <v>70</v>
      </c>
      <c r="B7" s="11">
        <v>46121</v>
      </c>
      <c r="C7" s="11">
        <v>46127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81192385</v>
      </c>
      <c r="K7" s="14" t="s">
        <v>79</v>
      </c>
      <c r="L7" s="10" t="s">
        <v>80</v>
      </c>
      <c r="M7" s="12">
        <v>179900</v>
      </c>
      <c r="N7" s="15">
        <v>0.9</v>
      </c>
      <c r="O7" s="12">
        <f t="shared" si="0"/>
        <v>17990</v>
      </c>
      <c r="P7" s="15" t="s">
        <v>20</v>
      </c>
    </row>
    <row r="8" spans="1:16">
      <c r="A8" s="10" t="s">
        <v>70</v>
      </c>
      <c r="B8" s="11">
        <v>46121</v>
      </c>
      <c r="C8" s="11">
        <v>46127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81648759</v>
      </c>
      <c r="K8" s="14" t="s">
        <v>81</v>
      </c>
      <c r="L8" s="10" t="s">
        <v>82</v>
      </c>
      <c r="M8" s="12">
        <v>179900</v>
      </c>
      <c r="N8" s="15">
        <v>0.9</v>
      </c>
      <c r="O8" s="12">
        <f t="shared" si="0"/>
        <v>17990</v>
      </c>
      <c r="P8" s="15" t="s">
        <v>20</v>
      </c>
    </row>
    <row r="9" spans="1:16">
      <c r="A9" s="10" t="s">
        <v>70</v>
      </c>
      <c r="B9" s="11">
        <v>46121</v>
      </c>
      <c r="C9" s="11">
        <v>46127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81648768</v>
      </c>
      <c r="K9" s="14" t="s">
        <v>83</v>
      </c>
      <c r="L9" s="10" t="s">
        <v>84</v>
      </c>
      <c r="M9" s="12">
        <v>179900</v>
      </c>
      <c r="N9" s="15">
        <v>0.9</v>
      </c>
      <c r="O9" s="12">
        <f t="shared" si="0"/>
        <v>17990</v>
      </c>
      <c r="P9" s="15" t="s">
        <v>20</v>
      </c>
    </row>
    <row r="10" spans="1:16">
      <c r="A10" s="10" t="s">
        <v>70</v>
      </c>
      <c r="B10" s="11">
        <v>46121</v>
      </c>
      <c r="C10" s="11">
        <v>46127</v>
      </c>
      <c r="D10" s="10">
        <v>3301</v>
      </c>
      <c r="E10" s="10">
        <v>340</v>
      </c>
      <c r="F10" s="10">
        <v>6</v>
      </c>
      <c r="G10" s="10">
        <v>2</v>
      </c>
      <c r="H10" s="10">
        <v>81776</v>
      </c>
      <c r="I10" s="10" t="s">
        <v>17</v>
      </c>
      <c r="J10" s="10">
        <v>81648777</v>
      </c>
      <c r="K10" s="14" t="s">
        <v>85</v>
      </c>
      <c r="L10" s="10" t="s">
        <v>86</v>
      </c>
      <c r="M10" s="12">
        <v>179900</v>
      </c>
      <c r="N10" s="15">
        <v>0.9</v>
      </c>
      <c r="O10" s="12">
        <f t="shared" si="0"/>
        <v>17990</v>
      </c>
      <c r="P10" s="15" t="s">
        <v>20</v>
      </c>
    </row>
    <row r="11" spans="1:16">
      <c r="A11" s="10" t="s">
        <v>70</v>
      </c>
      <c r="B11" s="11">
        <v>46121</v>
      </c>
      <c r="C11" s="11">
        <v>46127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0">
        <v>82422204</v>
      </c>
      <c r="K11" s="14" t="s">
        <v>87</v>
      </c>
      <c r="L11" s="10" t="s">
        <v>88</v>
      </c>
      <c r="M11" s="12">
        <v>119900</v>
      </c>
      <c r="N11" s="15">
        <v>0.9</v>
      </c>
      <c r="O11" s="12">
        <f t="shared" si="0"/>
        <v>11990</v>
      </c>
      <c r="P11" s="15" t="s">
        <v>20</v>
      </c>
    </row>
    <row r="12" spans="1:16">
      <c r="A12" s="10" t="s">
        <v>70</v>
      </c>
      <c r="B12" s="11">
        <v>46121</v>
      </c>
      <c r="C12" s="11">
        <v>46127</v>
      </c>
      <c r="D12" s="10">
        <v>3301</v>
      </c>
      <c r="E12" s="10">
        <v>340</v>
      </c>
      <c r="F12" s="10">
        <v>6</v>
      </c>
      <c r="G12" s="10">
        <v>2</v>
      </c>
      <c r="H12" s="10">
        <v>81799</v>
      </c>
      <c r="I12" s="10" t="s">
        <v>17</v>
      </c>
      <c r="J12" s="10">
        <v>82422213</v>
      </c>
      <c r="K12" s="14" t="s">
        <v>87</v>
      </c>
      <c r="L12" s="10" t="s">
        <v>89</v>
      </c>
      <c r="M12" s="12">
        <v>119900</v>
      </c>
      <c r="N12" s="15">
        <v>0.9</v>
      </c>
      <c r="O12" s="12">
        <f t="shared" si="0"/>
        <v>11990</v>
      </c>
      <c r="P12" s="15" t="s">
        <v>20</v>
      </c>
    </row>
    <row r="13" spans="1:16">
      <c r="A13" s="10" t="s">
        <v>70</v>
      </c>
      <c r="B13" s="11">
        <v>46121</v>
      </c>
      <c r="C13" s="11">
        <v>46127</v>
      </c>
      <c r="D13" s="10">
        <v>3301</v>
      </c>
      <c r="E13" s="10">
        <v>340</v>
      </c>
      <c r="F13" s="10">
        <v>6</v>
      </c>
      <c r="G13" s="10">
        <v>2</v>
      </c>
      <c r="H13" s="10">
        <v>81799</v>
      </c>
      <c r="I13" s="10" t="s">
        <v>17</v>
      </c>
      <c r="J13" s="16">
        <v>82422222</v>
      </c>
      <c r="K13" s="14" t="s">
        <v>90</v>
      </c>
      <c r="L13" s="10" t="s">
        <v>91</v>
      </c>
      <c r="M13" s="12">
        <v>119900</v>
      </c>
      <c r="N13" s="15">
        <v>0.9</v>
      </c>
      <c r="O13" s="12">
        <f t="shared" si="0"/>
        <v>11990</v>
      </c>
      <c r="P13" s="15" t="s">
        <v>20</v>
      </c>
    </row>
    <row r="14" spans="1:16">
      <c r="A14" s="10" t="s">
        <v>70</v>
      </c>
      <c r="B14" s="11">
        <v>46121</v>
      </c>
      <c r="C14" s="11">
        <v>46127</v>
      </c>
      <c r="D14" s="10">
        <v>3301</v>
      </c>
      <c r="E14" s="10">
        <v>340</v>
      </c>
      <c r="F14" s="10">
        <v>6</v>
      </c>
      <c r="G14" s="10">
        <v>2</v>
      </c>
      <c r="H14" s="10">
        <v>81799</v>
      </c>
      <c r="I14" s="10" t="s">
        <v>17</v>
      </c>
      <c r="J14" s="16">
        <v>82422231</v>
      </c>
      <c r="K14" s="14" t="s">
        <v>90</v>
      </c>
      <c r="L14" s="10" t="s">
        <v>92</v>
      </c>
      <c r="M14" s="12">
        <v>119900</v>
      </c>
      <c r="N14" s="15">
        <v>0.9</v>
      </c>
      <c r="O14" s="12">
        <f t="shared" si="0"/>
        <v>11990</v>
      </c>
      <c r="P14" s="15" t="s">
        <v>20</v>
      </c>
    </row>
    <row r="15" spans="1:16">
      <c r="A15" s="10" t="s">
        <v>70</v>
      </c>
      <c r="B15" s="11">
        <v>46121</v>
      </c>
      <c r="C15" s="11">
        <v>46127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32012349</v>
      </c>
      <c r="K15" s="10" t="s">
        <v>93</v>
      </c>
      <c r="L15" s="10" t="s">
        <v>94</v>
      </c>
      <c r="M15" s="12">
        <v>129900</v>
      </c>
      <c r="N15" s="15">
        <v>0.9</v>
      </c>
      <c r="O15" s="12">
        <f t="shared" si="0"/>
        <v>12990</v>
      </c>
      <c r="P15" s="15" t="s">
        <v>20</v>
      </c>
    </row>
    <row r="16" spans="1:16">
      <c r="A16" s="10" t="s">
        <v>70</v>
      </c>
      <c r="B16" s="11">
        <v>46121</v>
      </c>
      <c r="C16" s="11">
        <v>46127</v>
      </c>
      <c r="D16" s="10">
        <v>3301</v>
      </c>
      <c r="E16" s="10">
        <v>340</v>
      </c>
      <c r="F16" s="10">
        <v>6</v>
      </c>
      <c r="G16" s="10">
        <v>1</v>
      </c>
      <c r="H16" s="10">
        <v>81681</v>
      </c>
      <c r="I16" s="10" t="s">
        <v>17</v>
      </c>
      <c r="J16" s="10">
        <v>23225672</v>
      </c>
      <c r="K16" s="10" t="s">
        <v>95</v>
      </c>
      <c r="L16" s="10" t="s">
        <v>96</v>
      </c>
      <c r="M16" s="12">
        <v>79900</v>
      </c>
      <c r="N16" s="15">
        <v>0.9</v>
      </c>
      <c r="O16" s="12">
        <f t="shared" si="0"/>
        <v>7990</v>
      </c>
      <c r="P16" s="15" t="s">
        <v>20</v>
      </c>
    </row>
    <row r="17" spans="1:16">
      <c r="A17" s="10" t="s">
        <v>70</v>
      </c>
      <c r="B17" s="11">
        <v>46121</v>
      </c>
      <c r="C17" s="11">
        <v>46127</v>
      </c>
      <c r="D17" s="10">
        <v>3301</v>
      </c>
      <c r="E17" s="10">
        <v>340</v>
      </c>
      <c r="F17" s="10">
        <v>6</v>
      </c>
      <c r="G17" s="10">
        <v>1</v>
      </c>
      <c r="H17" s="10">
        <v>81681</v>
      </c>
      <c r="I17" s="10" t="s">
        <v>17</v>
      </c>
      <c r="J17" s="10">
        <v>23225681</v>
      </c>
      <c r="K17" s="10" t="s">
        <v>97</v>
      </c>
      <c r="L17" s="10" t="s">
        <v>98</v>
      </c>
      <c r="M17" s="12">
        <v>89900</v>
      </c>
      <c r="N17" s="15">
        <v>0.9</v>
      </c>
      <c r="O17" s="12">
        <f t="shared" si="0"/>
        <v>8990</v>
      </c>
      <c r="P17" s="15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24.545454545454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63636363636364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99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33365850</v>
      </c>
      <c r="K2" s="10" t="s">
        <v>100</v>
      </c>
      <c r="L2" s="10" t="s">
        <v>101</v>
      </c>
      <c r="M2" s="12">
        <v>90000</v>
      </c>
      <c r="N2" s="13">
        <v>0.9</v>
      </c>
      <c r="O2" s="12">
        <v>13500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70" zoomScaleNormal="70" workbookViewId="0">
      <pane ySplit="1" topLeftCell="A2" activePane="bottomLeft" state="frozen"/>
      <selection/>
      <selection pane="bottomLeft" activeCell="B2" sqref="B2:C3"/>
    </sheetView>
  </sheetViews>
  <sheetFormatPr defaultColWidth="8.72727272727273" defaultRowHeight="14.5" outlineLevelRow="2"/>
  <cols>
    <col min="1" max="1" width="17.454545454545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7.54545454545455" style="1" customWidth="1"/>
    <col min="12" max="12" width="53.1818181818182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102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75903878</v>
      </c>
      <c r="K2" s="10" t="s">
        <v>103</v>
      </c>
      <c r="L2" s="10" t="s">
        <v>104</v>
      </c>
      <c r="M2" s="12">
        <v>159900</v>
      </c>
      <c r="N2" s="13">
        <v>0.9</v>
      </c>
      <c r="O2" s="12">
        <f>M2*(1-N2)</f>
        <v>15990</v>
      </c>
      <c r="P2" s="10" t="s">
        <v>20</v>
      </c>
    </row>
    <row r="3" spans="1:16">
      <c r="A3" s="10" t="s">
        <v>102</v>
      </c>
      <c r="B3" s="11">
        <v>46121</v>
      </c>
      <c r="C3" s="11">
        <v>46127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75904037</v>
      </c>
      <c r="K3" s="10" t="s">
        <v>105</v>
      </c>
      <c r="L3" s="10" t="s">
        <v>106</v>
      </c>
      <c r="M3" s="12">
        <v>159900</v>
      </c>
      <c r="N3" s="13">
        <v>0.9</v>
      </c>
      <c r="O3" s="12">
        <f>M3*(1-N3)</f>
        <v>15990</v>
      </c>
      <c r="P3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70" zoomScaleNormal="70" workbookViewId="0">
      <pane ySplit="1" topLeftCell="A2" activePane="bottomLeft" state="frozen"/>
      <selection/>
      <selection pane="bottomLeft" activeCell="B2" sqref="B2:C6"/>
    </sheetView>
  </sheetViews>
  <sheetFormatPr defaultColWidth="24.5454545454545" defaultRowHeight="14.5" outlineLevelRow="5"/>
  <cols>
    <col min="1" max="1" width="31.0909090909091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18181818181818" style="1" customWidth="1"/>
    <col min="10" max="10" width="8.81818181818182" style="1" customWidth="1"/>
    <col min="11" max="11" width="9.90909090909091" style="1" customWidth="1"/>
    <col min="12" max="12" width="66.454545454545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24.5454545454545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107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2</v>
      </c>
      <c r="H2" s="10">
        <v>81513</v>
      </c>
      <c r="I2" s="10" t="s">
        <v>108</v>
      </c>
      <c r="J2" s="10">
        <v>33022685</v>
      </c>
      <c r="K2" s="10" t="s">
        <v>109</v>
      </c>
      <c r="L2" s="10" t="s">
        <v>110</v>
      </c>
      <c r="M2" s="12">
        <v>69900</v>
      </c>
      <c r="N2" s="13">
        <v>0.9</v>
      </c>
      <c r="O2" s="12">
        <v>10485</v>
      </c>
      <c r="P2" s="10" t="s">
        <v>20</v>
      </c>
    </row>
    <row r="3" spans="1:16">
      <c r="A3" s="10" t="s">
        <v>107</v>
      </c>
      <c r="B3" s="11">
        <v>46121</v>
      </c>
      <c r="C3" s="11">
        <v>46127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108</v>
      </c>
      <c r="J3" s="10">
        <v>33022710</v>
      </c>
      <c r="K3" s="10" t="s">
        <v>109</v>
      </c>
      <c r="L3" s="10" t="s">
        <v>111</v>
      </c>
      <c r="M3" s="12">
        <v>69900</v>
      </c>
      <c r="N3" s="13">
        <v>0.9</v>
      </c>
      <c r="O3" s="12">
        <v>10485</v>
      </c>
      <c r="P3" s="10" t="s">
        <v>20</v>
      </c>
    </row>
    <row r="4" spans="1:16">
      <c r="A4" s="10" t="s">
        <v>107</v>
      </c>
      <c r="B4" s="11">
        <v>46121</v>
      </c>
      <c r="C4" s="11">
        <v>46127</v>
      </c>
      <c r="D4" s="10">
        <v>3301</v>
      </c>
      <c r="E4" s="10">
        <v>340</v>
      </c>
      <c r="F4" s="10">
        <v>6</v>
      </c>
      <c r="G4" s="10">
        <v>1</v>
      </c>
      <c r="H4" s="10">
        <v>81750</v>
      </c>
      <c r="I4" s="10" t="s">
        <v>108</v>
      </c>
      <c r="J4" s="10">
        <v>26692920</v>
      </c>
      <c r="K4" s="10" t="s">
        <v>112</v>
      </c>
      <c r="L4" s="10" t="s">
        <v>113</v>
      </c>
      <c r="M4" s="12">
        <v>129900</v>
      </c>
      <c r="N4" s="13">
        <v>0.9</v>
      </c>
      <c r="O4" s="12">
        <v>19485</v>
      </c>
      <c r="P4" s="10" t="s">
        <v>20</v>
      </c>
    </row>
    <row r="5" spans="1:16">
      <c r="A5" s="10" t="s">
        <v>107</v>
      </c>
      <c r="B5" s="11">
        <v>46121</v>
      </c>
      <c r="C5" s="11">
        <v>46127</v>
      </c>
      <c r="D5" s="10">
        <v>3301</v>
      </c>
      <c r="E5" s="10">
        <v>340</v>
      </c>
      <c r="F5" s="10">
        <v>6</v>
      </c>
      <c r="G5" s="10">
        <v>1</v>
      </c>
      <c r="H5" s="10">
        <v>81518</v>
      </c>
      <c r="I5" s="10" t="s">
        <v>108</v>
      </c>
      <c r="J5" s="10">
        <v>23632035</v>
      </c>
      <c r="K5" s="10" t="s">
        <v>114</v>
      </c>
      <c r="L5" s="10" t="s">
        <v>115</v>
      </c>
      <c r="M5" s="12">
        <v>79900</v>
      </c>
      <c r="N5" s="13">
        <v>0.9</v>
      </c>
      <c r="O5" s="12">
        <v>11985</v>
      </c>
      <c r="P5" s="10" t="s">
        <v>20</v>
      </c>
    </row>
    <row r="6" spans="1:16">
      <c r="A6" s="10" t="s">
        <v>107</v>
      </c>
      <c r="B6" s="11">
        <v>46121</v>
      </c>
      <c r="C6" s="11">
        <v>46127</v>
      </c>
      <c r="D6" s="10">
        <v>3301</v>
      </c>
      <c r="E6" s="10">
        <v>340</v>
      </c>
      <c r="F6" s="10">
        <v>6</v>
      </c>
      <c r="G6" s="10">
        <v>1</v>
      </c>
      <c r="H6" s="10">
        <v>81518</v>
      </c>
      <c r="I6" s="10" t="s">
        <v>108</v>
      </c>
      <c r="J6" s="10">
        <v>23631974</v>
      </c>
      <c r="K6" s="10" t="s">
        <v>116</v>
      </c>
      <c r="L6" s="10" t="s">
        <v>117</v>
      </c>
      <c r="M6" s="12">
        <v>69900</v>
      </c>
      <c r="N6" s="13">
        <v>0.9</v>
      </c>
      <c r="O6" s="12">
        <v>10485</v>
      </c>
      <c r="P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70" zoomScaleNormal="70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19.8181818181818" style="1" customWidth="1"/>
    <col min="2" max="2" width="11.8181818181818" style="2" customWidth="1"/>
    <col min="3" max="3" width="11" style="2" customWidth="1"/>
    <col min="4" max="4" width="5.90909090909091" style="1" customWidth="1"/>
    <col min="5" max="5" width="7.90909090909091" style="1" customWidth="1"/>
    <col min="6" max="6" width="9.18181818181818" style="1" customWidth="1"/>
    <col min="7" max="7" width="6.45454545454545" style="1" customWidth="1"/>
    <col min="8" max="8" width="9.36363636363636" style="1" customWidth="1"/>
    <col min="9" max="9" width="7.45454545454545" style="1" customWidth="1"/>
    <col min="10" max="10" width="9.54545454545454" style="1" customWidth="1"/>
    <col min="11" max="11" width="9" style="1" customWidth="1"/>
    <col min="12" max="12" width="31" style="1" customWidth="1"/>
    <col min="13" max="13" width="16.1818181818182" style="3" customWidth="1"/>
    <col min="14" max="14" width="8" style="4" customWidth="1"/>
    <col min="15" max="15" width="15.2727272727273" style="3" customWidth="1"/>
    <col min="16" max="16" width="15.4545454545455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118</v>
      </c>
      <c r="B2" s="11">
        <v>46121</v>
      </c>
      <c r="C2" s="11">
        <v>46127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119</v>
      </c>
      <c r="J2" s="10">
        <v>16247699</v>
      </c>
      <c r="K2" s="10" t="s">
        <v>120</v>
      </c>
      <c r="L2" s="10" t="s">
        <v>121</v>
      </c>
      <c r="M2" s="12">
        <v>149900</v>
      </c>
      <c r="N2" s="13">
        <v>0.9</v>
      </c>
      <c r="O2" s="12">
        <v>22485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3301 2024 H1 D70</vt:lpstr>
      <vt:lpstr>3301 2023 H2 B1D90</vt:lpstr>
      <vt:lpstr>3301 2023 H1 B1D90</vt:lpstr>
      <vt:lpstr>3301 CONNEXION D90</vt:lpstr>
      <vt:lpstr>3301 H1 H2 2022 D90</vt:lpstr>
      <vt:lpstr>2020-2021 ALL ITEM ST YVES D90</vt:lpstr>
      <vt:lpstr>2019 ALL TROOS D85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2026-04-07T01:32:01Z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B88753AC41214CF49372913693DBD819_13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