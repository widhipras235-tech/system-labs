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bu Dessy\ANVD 3271\PROMO\PROMO 2026\APR 2026\"/>
    </mc:Choice>
  </mc:AlternateContent>
  <xr:revisionPtr revIDLastSave="0" documentId="13_ncr:1_{4CD1EA15-54F6-4260-A44F-FEE88DB914C2}" xr6:coauthVersionLast="47" xr6:coauthVersionMax="47" xr10:uidLastSave="{00000000-0000-0000-0000-000000000000}"/>
  <bookViews>
    <workbookView xWindow="-120" yWindow="-120" windowWidth="24240" windowHeight="13020" firstSheet="22" activeTab="25" xr2:uid="{08B6A463-FE8F-419B-8220-881E1E28C136}"/>
  </bookViews>
  <sheets>
    <sheet name="2024 70 H1 SHORT KI D75" sheetId="38" r:id="rId1"/>
    <sheet name="2024 70 H1 KI TOP D75" sheetId="1" r:id="rId2"/>
    <sheet name="2024 71 H1 SHORTS KI D75" sheetId="37" r:id="rId3"/>
    <sheet name="2024 71 H1 KI TOP D75" sheetId="2" r:id="rId4"/>
    <sheet name="2024 70 Q3 SHORTS D75" sheetId="36" r:id="rId5"/>
    <sheet name="2024 70 Q3 KI TOP D75" sheetId="3" r:id="rId6"/>
    <sheet name="2024 Q3 SHORT KI BOTTOM D75" sheetId="35" r:id="rId7"/>
    <sheet name="2024 Q3 KI N S D75" sheetId="4" r:id="rId8"/>
    <sheet name="2024 3270 Q4 KI TOP D75" sheetId="5" r:id="rId9"/>
    <sheet name="2024 3271 Q4 KI TOP D75" sheetId="6" r:id="rId10"/>
    <sheet name="2024 Q4 SHORTS KIBOTTOM D60" sheetId="34" r:id="rId11"/>
    <sheet name="2025 Q1 KI TOP D70" sheetId="10" r:id="rId12"/>
    <sheet name="2025 Q1 KI BTM N SHORTS D60" sheetId="11" r:id="rId13"/>
    <sheet name="2025 Q1 KI LP D60" sheetId="12" r:id="rId14"/>
    <sheet name="2025 Q2 KI TOP D70" sheetId="13" r:id="rId15"/>
    <sheet name="2025 Q2 SHORTS D60" sheetId="14" r:id="rId16"/>
    <sheet name="2025 Q2 KI BOTTOM B1G1" sheetId="15" r:id="rId17"/>
    <sheet name="2025 Q3 SHORT KIBOTTOM B1G1" sheetId="31" r:id="rId18"/>
    <sheet name="2025 JUL-AUG KI TOP B1G1" sheetId="16" r:id="rId19"/>
    <sheet name="2025 OCT SHORTS D30" sheetId="21" r:id="rId20"/>
    <sheet name="2025 OCT KIBOTTOM D30" sheetId="22" r:id="rId21"/>
    <sheet name="2025 OKTNOV KITOP D30" sheetId="23" r:id="rId22"/>
    <sheet name="2025 NOV SHORTS D30" sheetId="24" r:id="rId23"/>
    <sheet name="2026 Q1 KI TOP SHORTS B2D20" sheetId="30" r:id="rId24"/>
    <sheet name="2026 Q1 KI BOTTOM B2D20" sheetId="33" r:id="rId25"/>
    <sheet name="2024 H1 BOTTOM D75" sheetId="39" r:id="rId26"/>
  </sheets>
  <definedNames>
    <definedName name="_xlnm._FilterDatabase" localSheetId="25" hidden="1">'2024 H1 BOTTOM D75'!$A$1:$P$121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1" i="39" l="1"/>
  <c r="O120" i="39"/>
  <c r="O119" i="39"/>
  <c r="O118" i="39"/>
  <c r="O117" i="39"/>
  <c r="O116" i="39"/>
  <c r="O115" i="39"/>
  <c r="O114" i="39"/>
  <c r="O113" i="39"/>
  <c r="O112" i="39"/>
  <c r="O111" i="39"/>
  <c r="O110" i="39"/>
  <c r="O109" i="39"/>
  <c r="O108" i="39"/>
  <c r="O107" i="39"/>
  <c r="O106" i="39"/>
  <c r="O105" i="39"/>
  <c r="O104" i="39"/>
  <c r="O103" i="39"/>
  <c r="O102" i="39"/>
  <c r="O101" i="39"/>
  <c r="O100" i="39"/>
  <c r="O99" i="39"/>
  <c r="O98" i="39"/>
  <c r="O97" i="39"/>
  <c r="O96" i="39"/>
  <c r="O95" i="39"/>
  <c r="O94" i="39"/>
  <c r="O93" i="39"/>
  <c r="O92" i="39"/>
  <c r="O91" i="39"/>
  <c r="O90" i="39"/>
  <c r="O89" i="39"/>
  <c r="O88" i="39"/>
  <c r="O87" i="39"/>
  <c r="O86" i="39"/>
  <c r="O85" i="39"/>
  <c r="O84" i="39"/>
  <c r="O83" i="39"/>
  <c r="O82" i="39"/>
  <c r="O81" i="39"/>
  <c r="O80" i="39"/>
  <c r="O79" i="39"/>
  <c r="O78" i="39"/>
  <c r="O77" i="39"/>
  <c r="O76" i="39"/>
  <c r="O75" i="39"/>
  <c r="O74" i="39"/>
  <c r="O73" i="39"/>
  <c r="O72" i="39"/>
  <c r="O71" i="39"/>
  <c r="O70" i="39"/>
  <c r="O69" i="39"/>
  <c r="O68" i="39"/>
  <c r="O67" i="39"/>
  <c r="O66" i="39"/>
  <c r="O65" i="39"/>
  <c r="O64" i="39"/>
  <c r="O63" i="39"/>
  <c r="O62" i="39"/>
  <c r="O61" i="39"/>
  <c r="O60" i="39"/>
  <c r="O59" i="39"/>
  <c r="O58" i="39"/>
  <c r="O57" i="39"/>
  <c r="O56" i="39"/>
  <c r="O55" i="39"/>
  <c r="O54" i="39"/>
  <c r="O53" i="39"/>
  <c r="O52" i="39"/>
  <c r="O51" i="39"/>
  <c r="O50" i="39"/>
  <c r="O49" i="39"/>
  <c r="O48" i="39"/>
  <c r="O47" i="39"/>
  <c r="O46" i="39"/>
  <c r="O45" i="39"/>
  <c r="O44" i="39"/>
  <c r="O43" i="39"/>
  <c r="O42" i="39"/>
  <c r="O41" i="39"/>
  <c r="O40" i="39"/>
  <c r="O39" i="39"/>
  <c r="O38" i="39"/>
  <c r="O37" i="39"/>
  <c r="O36" i="39"/>
  <c r="O35" i="39"/>
  <c r="O34" i="39"/>
  <c r="O33" i="39"/>
  <c r="O32" i="39"/>
  <c r="O31" i="39"/>
  <c r="O30" i="39"/>
  <c r="O29" i="39"/>
  <c r="O28" i="39"/>
  <c r="O27" i="39"/>
  <c r="O26" i="39"/>
  <c r="O25" i="39"/>
  <c r="O24" i="39"/>
  <c r="O23" i="39"/>
  <c r="O22" i="39"/>
  <c r="O21" i="39"/>
  <c r="O20" i="39"/>
  <c r="O19" i="39"/>
  <c r="O18" i="39"/>
  <c r="O17" i="39"/>
  <c r="O16" i="39"/>
  <c r="O15" i="39"/>
  <c r="O14" i="39"/>
  <c r="O13" i="39"/>
  <c r="O12" i="39"/>
  <c r="O11" i="39"/>
  <c r="O10" i="39"/>
  <c r="O9" i="39"/>
  <c r="O8" i="39"/>
  <c r="O7" i="39"/>
  <c r="O6" i="39"/>
  <c r="O5" i="39"/>
  <c r="O4" i="39"/>
  <c r="O3" i="39"/>
  <c r="O2" i="39"/>
  <c r="O189" i="38" l="1"/>
  <c r="O188" i="38"/>
  <c r="O187" i="38"/>
  <c r="O186" i="38"/>
  <c r="O185" i="38"/>
  <c r="O184" i="38"/>
  <c r="O183" i="38"/>
  <c r="O182" i="38"/>
  <c r="O181" i="38"/>
  <c r="O180" i="38"/>
  <c r="O179" i="38"/>
  <c r="O178" i="38"/>
  <c r="O177" i="38"/>
  <c r="O176" i="38"/>
  <c r="O175" i="38"/>
  <c r="O174" i="38"/>
  <c r="O173" i="38"/>
  <c r="O172" i="38"/>
  <c r="O171" i="38"/>
  <c r="O170" i="38"/>
  <c r="O169" i="38"/>
  <c r="O168" i="38"/>
  <c r="O167" i="38"/>
  <c r="O166" i="38"/>
  <c r="O165" i="38"/>
  <c r="O164" i="38"/>
  <c r="O163" i="38"/>
  <c r="O162" i="38"/>
  <c r="O161" i="38"/>
  <c r="O160" i="38"/>
  <c r="O159" i="38"/>
  <c r="O158" i="38"/>
  <c r="O157" i="38"/>
  <c r="O156" i="38"/>
  <c r="O155" i="38"/>
  <c r="O154" i="38"/>
  <c r="O153" i="38"/>
  <c r="O152" i="38"/>
  <c r="O151" i="38"/>
  <c r="O150" i="38"/>
  <c r="O149" i="38"/>
  <c r="O148" i="38"/>
  <c r="O147" i="38"/>
  <c r="O146" i="38"/>
  <c r="O145" i="38"/>
  <c r="O144" i="38"/>
  <c r="O143" i="38"/>
  <c r="O142" i="38"/>
  <c r="O141" i="38"/>
  <c r="O140" i="38"/>
  <c r="O139" i="38"/>
  <c r="O138" i="38"/>
  <c r="O137" i="38"/>
  <c r="O136" i="38"/>
  <c r="O135" i="38"/>
  <c r="O134" i="38"/>
  <c r="O133" i="38"/>
  <c r="O132" i="38"/>
  <c r="O131" i="38"/>
  <c r="O130" i="38"/>
  <c r="O129" i="38"/>
  <c r="O128" i="38"/>
  <c r="O127" i="38"/>
  <c r="O126" i="38"/>
  <c r="O125" i="38"/>
  <c r="O124" i="38"/>
  <c r="O123" i="38"/>
  <c r="O122" i="38"/>
  <c r="O121" i="38"/>
  <c r="O120" i="38"/>
  <c r="O119" i="38"/>
  <c r="O118" i="38"/>
  <c r="O117" i="38"/>
  <c r="O116" i="38"/>
  <c r="O115" i="38"/>
  <c r="O114" i="38"/>
  <c r="O113" i="38"/>
  <c r="O112" i="38"/>
  <c r="O111" i="38"/>
  <c r="O110" i="38"/>
  <c r="O109" i="38"/>
  <c r="O108" i="38"/>
  <c r="O107" i="38"/>
  <c r="O106" i="38"/>
  <c r="O105" i="38"/>
  <c r="O104" i="38"/>
  <c r="O103" i="38"/>
  <c r="O102" i="38"/>
  <c r="O101" i="38"/>
  <c r="O100" i="38"/>
  <c r="O99" i="38"/>
  <c r="O98" i="38"/>
  <c r="O97" i="38"/>
  <c r="O96" i="38"/>
  <c r="O95" i="38"/>
  <c r="O94" i="38"/>
  <c r="O93" i="38"/>
  <c r="O92" i="38"/>
  <c r="O91" i="38"/>
  <c r="O90" i="38"/>
  <c r="O89" i="38"/>
  <c r="O88" i="38"/>
  <c r="O87" i="38"/>
  <c r="O86" i="38"/>
  <c r="O85" i="38"/>
  <c r="O84" i="38"/>
  <c r="O83" i="38"/>
  <c r="O82" i="38"/>
  <c r="O81" i="38"/>
  <c r="O80" i="38"/>
  <c r="O79" i="38"/>
  <c r="O78" i="38"/>
  <c r="O77" i="38"/>
  <c r="O76" i="38"/>
  <c r="O75" i="38"/>
  <c r="O74" i="38"/>
  <c r="O73" i="38"/>
  <c r="O72" i="38"/>
  <c r="O71" i="38"/>
  <c r="O70" i="38"/>
  <c r="O69" i="38"/>
  <c r="O68" i="38"/>
  <c r="O67" i="38"/>
  <c r="O66" i="38"/>
  <c r="O65" i="38"/>
  <c r="O64" i="38"/>
  <c r="O63" i="38"/>
  <c r="O62" i="38"/>
  <c r="O61" i="38"/>
  <c r="O60" i="38"/>
  <c r="O59" i="38"/>
  <c r="O58" i="38"/>
  <c r="O57" i="38"/>
  <c r="O56" i="38"/>
  <c r="O55" i="38"/>
  <c r="O54" i="38"/>
  <c r="O53" i="38"/>
  <c r="O52" i="38"/>
  <c r="O51" i="38"/>
  <c r="O50" i="38"/>
  <c r="O49" i="38"/>
  <c r="O48" i="38"/>
  <c r="O47" i="38"/>
  <c r="O46" i="38"/>
  <c r="O45" i="38"/>
  <c r="O44" i="38"/>
  <c r="O43" i="38"/>
  <c r="O42" i="38"/>
  <c r="O41" i="38"/>
  <c r="O40" i="38"/>
  <c r="O39" i="38"/>
  <c r="O38" i="38"/>
  <c r="O37" i="38"/>
  <c r="O36" i="38"/>
  <c r="O35" i="38"/>
  <c r="O34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107" i="37"/>
  <c r="O106" i="37"/>
  <c r="O105" i="37"/>
  <c r="O104" i="37"/>
  <c r="O103" i="37"/>
  <c r="O102" i="37"/>
  <c r="O101" i="37"/>
  <c r="O100" i="37"/>
  <c r="O99" i="37"/>
  <c r="O98" i="37"/>
  <c r="O97" i="37"/>
  <c r="O96" i="37"/>
  <c r="O95" i="37"/>
  <c r="O94" i="37"/>
  <c r="O93" i="37"/>
  <c r="O92" i="37"/>
  <c r="O91" i="37"/>
  <c r="O90" i="37"/>
  <c r="O89" i="37"/>
  <c r="O88" i="37"/>
  <c r="O87" i="37"/>
  <c r="O86" i="37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81" i="35"/>
  <c r="O80" i="35"/>
  <c r="O79" i="35"/>
  <c r="O78" i="35"/>
  <c r="O77" i="35"/>
  <c r="O76" i="35"/>
  <c r="O75" i="35"/>
  <c r="O74" i="35"/>
  <c r="O73" i="35"/>
  <c r="O72" i="35"/>
  <c r="O71" i="35"/>
  <c r="O70" i="35"/>
  <c r="O69" i="35"/>
  <c r="O68" i="35"/>
  <c r="O67" i="35"/>
  <c r="O66" i="35"/>
  <c r="O65" i="35"/>
  <c r="O64" i="35"/>
  <c r="O63" i="35"/>
  <c r="O62" i="35"/>
  <c r="O61" i="35"/>
  <c r="O60" i="35"/>
  <c r="O59" i="35"/>
  <c r="O58" i="35"/>
  <c r="O57" i="35"/>
  <c r="O56" i="35"/>
  <c r="O55" i="35"/>
  <c r="O54" i="35"/>
  <c r="O53" i="35"/>
  <c r="O52" i="35"/>
  <c r="O51" i="35"/>
  <c r="O50" i="35"/>
  <c r="O49" i="35"/>
  <c r="O48" i="35"/>
  <c r="O47" i="35"/>
  <c r="O46" i="35"/>
  <c r="O45" i="35"/>
  <c r="O44" i="35"/>
  <c r="O43" i="35"/>
  <c r="O42" i="35"/>
  <c r="O41" i="35"/>
  <c r="O40" i="35"/>
  <c r="O39" i="35"/>
  <c r="O38" i="35"/>
  <c r="O37" i="35"/>
  <c r="O36" i="35"/>
  <c r="O35" i="35"/>
  <c r="O34" i="35"/>
  <c r="O33" i="35"/>
  <c r="O32" i="35"/>
  <c r="O31" i="35"/>
  <c r="O30" i="35"/>
  <c r="O29" i="35"/>
  <c r="O28" i="35"/>
  <c r="O27" i="35"/>
  <c r="O26" i="35"/>
  <c r="O25" i="35"/>
  <c r="O24" i="35"/>
  <c r="O23" i="35"/>
  <c r="O22" i="35"/>
  <c r="O21" i="35"/>
  <c r="O20" i="35"/>
  <c r="O19" i="35"/>
  <c r="O18" i="35"/>
  <c r="O17" i="35"/>
  <c r="O16" i="35"/>
  <c r="O15" i="35"/>
  <c r="O14" i="35"/>
  <c r="O13" i="35"/>
  <c r="O12" i="35"/>
  <c r="O11" i="35"/>
  <c r="O10" i="35"/>
  <c r="O9" i="35"/>
  <c r="O8" i="35"/>
  <c r="O7" i="35"/>
  <c r="O6" i="35"/>
  <c r="O5" i="35"/>
  <c r="O4" i="35"/>
  <c r="O3" i="35"/>
  <c r="O2" i="35"/>
  <c r="O263" i="2"/>
  <c r="O262" i="2"/>
  <c r="O261" i="2"/>
  <c r="O260" i="2"/>
  <c r="O259" i="2"/>
  <c r="O258" i="2"/>
  <c r="O257" i="2"/>
  <c r="O256" i="2"/>
  <c r="O13" i="24"/>
  <c r="O12" i="24"/>
  <c r="O11" i="24"/>
  <c r="O10" i="24"/>
  <c r="O9" i="24"/>
  <c r="O8" i="24"/>
  <c r="O7" i="24"/>
  <c r="O6" i="24"/>
  <c r="O5" i="24"/>
  <c r="O4" i="24"/>
  <c r="O3" i="24"/>
  <c r="O2" i="24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O2" i="23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69" i="21"/>
  <c r="O68" i="21"/>
  <c r="O67" i="21"/>
  <c r="O66" i="21"/>
  <c r="O65" i="21"/>
  <c r="O64" i="21"/>
  <c r="O63" i="21"/>
  <c r="O62" i="21"/>
  <c r="O61" i="21"/>
  <c r="O60" i="21"/>
  <c r="O59" i="21"/>
  <c r="O58" i="21"/>
  <c r="O57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  <c r="O77" i="13" l="1"/>
  <c r="O76" i="13"/>
  <c r="O75" i="13"/>
  <c r="O74" i="13"/>
  <c r="O73" i="13"/>
  <c r="O72" i="13"/>
  <c r="O71" i="13"/>
  <c r="O70" i="13"/>
  <c r="O69" i="13"/>
  <c r="O68" i="13"/>
  <c r="O67" i="13"/>
  <c r="O66" i="13"/>
  <c r="O65" i="13"/>
  <c r="O64" i="13"/>
  <c r="O63" i="13"/>
  <c r="O62" i="13"/>
  <c r="O61" i="13"/>
  <c r="O60" i="13"/>
  <c r="O59" i="13"/>
  <c r="O58" i="13"/>
  <c r="O57" i="13"/>
  <c r="O56" i="13"/>
  <c r="O55" i="13"/>
  <c r="O54" i="13"/>
  <c r="O53" i="13"/>
  <c r="O52" i="13"/>
  <c r="O51" i="13"/>
  <c r="O50" i="13"/>
  <c r="O49" i="13"/>
  <c r="O48" i="13"/>
  <c r="O47" i="13"/>
  <c r="O46" i="13"/>
  <c r="O45" i="13"/>
  <c r="O44" i="13"/>
  <c r="O43" i="13"/>
  <c r="O42" i="13"/>
  <c r="O41" i="13"/>
  <c r="O40" i="13"/>
  <c r="O39" i="13"/>
  <c r="O38" i="13"/>
  <c r="O37" i="13"/>
  <c r="O36" i="13"/>
  <c r="O35" i="13"/>
  <c r="O34" i="13"/>
  <c r="O33" i="13"/>
  <c r="O32" i="13"/>
  <c r="O31" i="13"/>
  <c r="O30" i="13"/>
  <c r="O29" i="13"/>
  <c r="O28" i="13"/>
  <c r="O27" i="13"/>
  <c r="O26" i="13"/>
  <c r="O25" i="13"/>
  <c r="O24" i="13"/>
  <c r="O23" i="13"/>
  <c r="O22" i="13"/>
  <c r="O21" i="13"/>
  <c r="O20" i="13"/>
  <c r="O19" i="13"/>
  <c r="O18" i="13"/>
  <c r="O17" i="13"/>
  <c r="O16" i="13"/>
  <c r="O15" i="13"/>
  <c r="O14" i="13"/>
  <c r="O13" i="13"/>
  <c r="O12" i="13"/>
  <c r="O11" i="13"/>
  <c r="O10" i="13"/>
  <c r="O9" i="13"/>
  <c r="O8" i="13"/>
  <c r="O7" i="13"/>
  <c r="O6" i="13"/>
  <c r="O5" i="13"/>
  <c r="O4" i="13"/>
  <c r="O3" i="13"/>
  <c r="O2" i="13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O283" i="11"/>
  <c r="O282" i="11"/>
  <c r="O281" i="11"/>
  <c r="O280" i="11"/>
  <c r="O279" i="11"/>
  <c r="O278" i="11"/>
  <c r="O277" i="11"/>
  <c r="O276" i="11"/>
  <c r="O275" i="11"/>
  <c r="O274" i="11"/>
  <c r="O273" i="11"/>
  <c r="O272" i="11"/>
  <c r="O271" i="11"/>
  <c r="O270" i="11"/>
  <c r="O269" i="11"/>
  <c r="O268" i="11"/>
  <c r="O267" i="11"/>
  <c r="O266" i="11"/>
  <c r="O265" i="11"/>
  <c r="O264" i="11"/>
  <c r="O263" i="11"/>
  <c r="O262" i="11"/>
  <c r="O261" i="11"/>
  <c r="O260" i="11"/>
  <c r="O259" i="11"/>
  <c r="O258" i="11"/>
  <c r="O257" i="11"/>
  <c r="O256" i="11"/>
  <c r="O255" i="11"/>
  <c r="O254" i="11"/>
  <c r="O253" i="11"/>
  <c r="O252" i="11"/>
  <c r="O251" i="11"/>
  <c r="O250" i="11"/>
  <c r="O249" i="11"/>
  <c r="O248" i="11"/>
  <c r="O247" i="11"/>
  <c r="O246" i="11"/>
  <c r="O245" i="11"/>
  <c r="O244" i="11"/>
  <c r="O243" i="11"/>
  <c r="O242" i="11"/>
  <c r="O241" i="11"/>
  <c r="O240" i="11"/>
  <c r="O239" i="11"/>
  <c r="O238" i="11"/>
  <c r="O237" i="11"/>
  <c r="O236" i="11"/>
  <c r="O235" i="11"/>
  <c r="O234" i="11"/>
  <c r="O233" i="11"/>
  <c r="O232" i="11"/>
  <c r="O231" i="11"/>
  <c r="O230" i="11"/>
  <c r="O229" i="11"/>
  <c r="O228" i="11"/>
  <c r="O227" i="11"/>
  <c r="O226" i="11"/>
  <c r="O225" i="11"/>
  <c r="O224" i="11"/>
  <c r="O223" i="11"/>
  <c r="O222" i="11"/>
  <c r="O221" i="11"/>
  <c r="O220" i="11"/>
  <c r="O219" i="11"/>
  <c r="O218" i="11"/>
  <c r="O217" i="11"/>
  <c r="O216" i="11"/>
  <c r="O215" i="11"/>
  <c r="O214" i="11"/>
  <c r="O213" i="11"/>
  <c r="O212" i="11"/>
  <c r="O211" i="11"/>
  <c r="O210" i="11"/>
  <c r="O209" i="11"/>
  <c r="O208" i="11"/>
  <c r="O207" i="11"/>
  <c r="O206" i="11"/>
  <c r="O205" i="11"/>
  <c r="O204" i="11"/>
  <c r="O203" i="11"/>
  <c r="O202" i="11"/>
  <c r="O201" i="11"/>
  <c r="O200" i="11"/>
  <c r="O199" i="11"/>
  <c r="O198" i="11"/>
  <c r="O197" i="11"/>
  <c r="O196" i="11"/>
  <c r="O195" i="11"/>
  <c r="O194" i="11"/>
  <c r="O193" i="11"/>
  <c r="O192" i="11"/>
  <c r="O191" i="11"/>
  <c r="O190" i="11"/>
  <c r="O189" i="11"/>
  <c r="O188" i="11"/>
  <c r="O187" i="11"/>
  <c r="O186" i="11"/>
  <c r="O185" i="11"/>
  <c r="O184" i="11"/>
  <c r="O183" i="11"/>
  <c r="O182" i="11"/>
  <c r="O181" i="11"/>
  <c r="O180" i="11"/>
  <c r="O179" i="11"/>
  <c r="O178" i="11"/>
  <c r="O177" i="11"/>
  <c r="O176" i="11"/>
  <c r="O175" i="11"/>
  <c r="O174" i="11"/>
  <c r="O173" i="11"/>
  <c r="O172" i="11"/>
  <c r="O171" i="11"/>
  <c r="O170" i="11"/>
  <c r="O169" i="11"/>
  <c r="O168" i="11"/>
  <c r="O167" i="11"/>
  <c r="O166" i="11"/>
  <c r="O165" i="11"/>
  <c r="O164" i="11"/>
  <c r="O163" i="11"/>
  <c r="O162" i="11"/>
  <c r="O161" i="11"/>
  <c r="O160" i="11"/>
  <c r="O159" i="11"/>
  <c r="O158" i="11"/>
  <c r="O157" i="11"/>
  <c r="O156" i="11"/>
  <c r="O155" i="11"/>
  <c r="O154" i="11"/>
  <c r="O153" i="11"/>
  <c r="O152" i="11"/>
  <c r="O151" i="11"/>
  <c r="O150" i="11"/>
  <c r="O149" i="11"/>
  <c r="O148" i="11"/>
  <c r="O147" i="11"/>
  <c r="O146" i="11"/>
  <c r="O145" i="11"/>
  <c r="O144" i="11"/>
  <c r="O143" i="11"/>
  <c r="O142" i="11"/>
  <c r="O141" i="11"/>
  <c r="O140" i="11"/>
  <c r="O139" i="11"/>
  <c r="O138" i="11"/>
  <c r="O137" i="11"/>
  <c r="O136" i="11"/>
  <c r="O135" i="11"/>
  <c r="O134" i="11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121" i="11"/>
  <c r="O120" i="11"/>
  <c r="O119" i="11"/>
  <c r="O118" i="11"/>
  <c r="O117" i="11"/>
  <c r="O116" i="11"/>
  <c r="O115" i="11"/>
  <c r="O114" i="11"/>
  <c r="O113" i="11"/>
  <c r="O112" i="11"/>
  <c r="O111" i="11"/>
  <c r="O110" i="11"/>
  <c r="O109" i="11"/>
  <c r="O108" i="11"/>
  <c r="O107" i="11"/>
  <c r="O106" i="11"/>
  <c r="O105" i="11"/>
  <c r="O104" i="11"/>
  <c r="O103" i="11"/>
  <c r="O102" i="11"/>
  <c r="O101" i="11"/>
  <c r="O100" i="11"/>
  <c r="O99" i="11"/>
  <c r="O98" i="11"/>
  <c r="O97" i="11"/>
  <c r="O96" i="11"/>
  <c r="O95" i="11"/>
  <c r="O94" i="11"/>
  <c r="O93" i="11"/>
  <c r="O92" i="11"/>
  <c r="O91" i="11"/>
  <c r="O90" i="11"/>
  <c r="O89" i="11"/>
  <c r="O88" i="11"/>
  <c r="O87" i="11"/>
  <c r="O86" i="11"/>
  <c r="O85" i="11"/>
  <c r="O84" i="11"/>
  <c r="O83" i="11"/>
  <c r="O82" i="11"/>
  <c r="O81" i="11"/>
  <c r="O80" i="11"/>
  <c r="O79" i="11"/>
  <c r="O78" i="11"/>
  <c r="O77" i="11"/>
  <c r="O76" i="11"/>
  <c r="O75" i="11"/>
  <c r="O74" i="11"/>
  <c r="O73" i="11"/>
  <c r="O72" i="11"/>
  <c r="O71" i="11"/>
  <c r="O70" i="11"/>
  <c r="O69" i="11"/>
  <c r="O68" i="11"/>
  <c r="O67" i="11"/>
  <c r="O66" i="11"/>
  <c r="O65" i="11"/>
  <c r="O64" i="11"/>
  <c r="O63" i="11"/>
  <c r="O62" i="11"/>
  <c r="O61" i="11"/>
  <c r="O60" i="11"/>
  <c r="O59" i="11"/>
  <c r="O58" i="11"/>
  <c r="O57" i="11"/>
  <c r="O56" i="11"/>
  <c r="O55" i="11"/>
  <c r="O54" i="11"/>
  <c r="O53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O5" i="11"/>
  <c r="O4" i="11"/>
  <c r="O3" i="11"/>
  <c r="O2" i="11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45" i="34"/>
  <c r="O344" i="34"/>
  <c r="O343" i="34"/>
  <c r="O342" i="34"/>
  <c r="O341" i="34"/>
  <c r="O340" i="34"/>
  <c r="O339" i="34"/>
  <c r="O338" i="34"/>
  <c r="O337" i="34"/>
  <c r="O336" i="34"/>
  <c r="O335" i="34"/>
  <c r="O334" i="34"/>
  <c r="O333" i="34"/>
  <c r="O332" i="34"/>
  <c r="O331" i="34"/>
  <c r="O330" i="34"/>
  <c r="O329" i="34"/>
  <c r="O328" i="34"/>
  <c r="O327" i="34"/>
  <c r="O326" i="34"/>
  <c r="O325" i="34"/>
  <c r="O324" i="34"/>
  <c r="O323" i="34"/>
  <c r="O322" i="34"/>
  <c r="O321" i="34"/>
  <c r="O320" i="34"/>
  <c r="O319" i="34"/>
  <c r="O318" i="34"/>
  <c r="O317" i="34"/>
  <c r="O316" i="34"/>
  <c r="O315" i="34"/>
  <c r="O314" i="34"/>
  <c r="O313" i="34"/>
  <c r="O312" i="34"/>
  <c r="O311" i="34"/>
  <c r="O310" i="34"/>
  <c r="O309" i="34"/>
  <c r="O308" i="34"/>
  <c r="O307" i="34"/>
  <c r="O306" i="34"/>
  <c r="O305" i="34"/>
  <c r="O304" i="34"/>
  <c r="O303" i="34"/>
  <c r="O302" i="34"/>
  <c r="O301" i="34"/>
  <c r="O300" i="34"/>
  <c r="O299" i="34"/>
  <c r="O298" i="34"/>
  <c r="O297" i="34"/>
  <c r="O296" i="34"/>
  <c r="O295" i="34"/>
  <c r="O294" i="34"/>
  <c r="O293" i="34"/>
  <c r="O292" i="34"/>
  <c r="O291" i="34"/>
  <c r="O290" i="34"/>
  <c r="O289" i="34"/>
  <c r="O288" i="34"/>
  <c r="O287" i="34"/>
  <c r="O286" i="34"/>
  <c r="O285" i="34"/>
  <c r="O284" i="34"/>
  <c r="O283" i="34"/>
  <c r="O282" i="34"/>
  <c r="O281" i="34"/>
  <c r="O280" i="34"/>
  <c r="O279" i="34"/>
  <c r="O278" i="34"/>
  <c r="O277" i="34"/>
  <c r="O276" i="34"/>
  <c r="O275" i="34"/>
  <c r="O274" i="34"/>
  <c r="O273" i="34"/>
  <c r="O272" i="34"/>
  <c r="O271" i="34"/>
  <c r="O270" i="34"/>
  <c r="O269" i="34"/>
  <c r="O268" i="34"/>
  <c r="O267" i="34"/>
  <c r="O266" i="34"/>
  <c r="O265" i="34"/>
  <c r="O264" i="34"/>
  <c r="O263" i="34"/>
  <c r="O262" i="34"/>
  <c r="O261" i="34"/>
  <c r="O260" i="34"/>
  <c r="O259" i="34"/>
  <c r="O258" i="34"/>
  <c r="O257" i="34"/>
  <c r="O256" i="34"/>
  <c r="O255" i="34"/>
  <c r="O254" i="34"/>
  <c r="O253" i="34"/>
  <c r="O252" i="34"/>
  <c r="O251" i="34"/>
  <c r="O250" i="34"/>
  <c r="O249" i="34"/>
  <c r="O248" i="34"/>
  <c r="O247" i="34"/>
  <c r="O246" i="34"/>
  <c r="O245" i="34"/>
  <c r="O244" i="34"/>
  <c r="O243" i="34"/>
  <c r="O242" i="34"/>
  <c r="O241" i="34"/>
  <c r="O240" i="34"/>
  <c r="O239" i="34"/>
  <c r="O238" i="34"/>
  <c r="O237" i="34"/>
  <c r="O236" i="34"/>
  <c r="O235" i="34"/>
  <c r="O234" i="34"/>
  <c r="O233" i="34"/>
  <c r="O232" i="34"/>
  <c r="O231" i="34"/>
  <c r="O230" i="34"/>
  <c r="O229" i="34"/>
  <c r="O228" i="34"/>
  <c r="O227" i="34"/>
  <c r="O226" i="34"/>
  <c r="O225" i="34"/>
  <c r="O224" i="34"/>
  <c r="O223" i="34"/>
  <c r="O222" i="34"/>
  <c r="O221" i="34"/>
  <c r="O220" i="34"/>
  <c r="O219" i="34"/>
  <c r="O218" i="34"/>
  <c r="O217" i="34"/>
  <c r="O216" i="34"/>
  <c r="O215" i="34"/>
  <c r="O214" i="34"/>
  <c r="O213" i="34"/>
  <c r="O212" i="34"/>
  <c r="O211" i="34"/>
  <c r="O210" i="34"/>
  <c r="O209" i="34"/>
  <c r="O208" i="34"/>
  <c r="O207" i="34"/>
  <c r="O206" i="34"/>
  <c r="O205" i="34"/>
  <c r="O204" i="34"/>
  <c r="O203" i="34"/>
  <c r="O202" i="34"/>
  <c r="O201" i="34"/>
  <c r="O200" i="34"/>
  <c r="O199" i="34"/>
  <c r="O198" i="34"/>
  <c r="O197" i="34"/>
  <c r="O196" i="34"/>
  <c r="O195" i="34"/>
  <c r="O194" i="34"/>
  <c r="O193" i="34"/>
  <c r="O192" i="34"/>
  <c r="O191" i="34"/>
  <c r="O190" i="34"/>
  <c r="O189" i="34"/>
  <c r="O188" i="34"/>
  <c r="O187" i="34"/>
  <c r="O186" i="34"/>
  <c r="O185" i="34"/>
  <c r="O184" i="34"/>
  <c r="O183" i="34"/>
  <c r="O182" i="34"/>
  <c r="O181" i="34"/>
  <c r="O180" i="34"/>
  <c r="O179" i="34"/>
  <c r="O178" i="34"/>
  <c r="O177" i="34"/>
  <c r="O176" i="34"/>
  <c r="O175" i="34"/>
  <c r="O174" i="34"/>
  <c r="O173" i="34"/>
  <c r="O172" i="34"/>
  <c r="O171" i="34"/>
  <c r="O170" i="34"/>
  <c r="O169" i="34"/>
  <c r="O168" i="34"/>
  <c r="O167" i="34"/>
  <c r="O166" i="34"/>
  <c r="O165" i="34"/>
  <c r="O164" i="34"/>
  <c r="O163" i="34"/>
  <c r="O162" i="34"/>
  <c r="O161" i="34"/>
  <c r="O160" i="34"/>
  <c r="O159" i="34"/>
  <c r="O158" i="34"/>
  <c r="O157" i="34"/>
  <c r="O156" i="34"/>
  <c r="O155" i="34"/>
  <c r="O154" i="34"/>
  <c r="O153" i="34"/>
  <c r="O152" i="34"/>
  <c r="O151" i="34"/>
  <c r="O150" i="34"/>
  <c r="O149" i="34"/>
  <c r="O148" i="34"/>
  <c r="O147" i="34"/>
  <c r="O146" i="34"/>
  <c r="O145" i="34"/>
  <c r="O144" i="34"/>
  <c r="O143" i="34"/>
  <c r="O142" i="34"/>
  <c r="O141" i="34"/>
  <c r="O140" i="34"/>
  <c r="O139" i="34"/>
  <c r="O138" i="34"/>
  <c r="O137" i="34"/>
  <c r="O136" i="34"/>
  <c r="O135" i="34"/>
  <c r="O134" i="34"/>
  <c r="O133" i="34"/>
  <c r="O132" i="34"/>
  <c r="O131" i="34"/>
  <c r="O130" i="34"/>
  <c r="O129" i="34"/>
  <c r="O128" i="34"/>
  <c r="O127" i="34"/>
  <c r="O126" i="34"/>
  <c r="O125" i="34"/>
  <c r="O124" i="34"/>
  <c r="O123" i="34"/>
  <c r="O122" i="34"/>
  <c r="O121" i="34"/>
  <c r="O120" i="34"/>
  <c r="O119" i="34"/>
  <c r="O118" i="34"/>
  <c r="O117" i="34"/>
  <c r="O116" i="34"/>
  <c r="O115" i="34"/>
  <c r="O114" i="34"/>
  <c r="O113" i="34"/>
  <c r="O112" i="34"/>
  <c r="O111" i="34"/>
  <c r="O110" i="34"/>
  <c r="O109" i="34"/>
  <c r="O108" i="34"/>
  <c r="O107" i="34"/>
  <c r="O106" i="34"/>
  <c r="O105" i="34"/>
  <c r="O104" i="34"/>
  <c r="O103" i="34"/>
  <c r="O102" i="34"/>
  <c r="O101" i="34"/>
  <c r="O100" i="34"/>
  <c r="O99" i="34"/>
  <c r="O98" i="34"/>
  <c r="O97" i="34"/>
  <c r="O96" i="34"/>
  <c r="O95" i="34"/>
  <c r="O94" i="34"/>
  <c r="O93" i="34"/>
  <c r="O92" i="34"/>
  <c r="O91" i="34"/>
  <c r="O90" i="34"/>
  <c r="O89" i="34"/>
  <c r="O88" i="34"/>
  <c r="O87" i="34"/>
  <c r="O86" i="34"/>
  <c r="O85" i="34"/>
  <c r="O84" i="34"/>
  <c r="O83" i="34"/>
  <c r="O82" i="34"/>
  <c r="O81" i="34"/>
  <c r="O80" i="34"/>
  <c r="O79" i="34"/>
  <c r="O78" i="34"/>
  <c r="O77" i="34"/>
  <c r="O76" i="34"/>
  <c r="O75" i="34"/>
  <c r="O74" i="34"/>
  <c r="O73" i="34"/>
  <c r="O72" i="34"/>
  <c r="O71" i="34"/>
  <c r="O70" i="34"/>
  <c r="O69" i="34"/>
  <c r="O68" i="34"/>
  <c r="O67" i="34"/>
  <c r="O66" i="34"/>
  <c r="O65" i="34"/>
  <c r="O64" i="34"/>
  <c r="O63" i="34"/>
  <c r="O62" i="34"/>
  <c r="O61" i="34"/>
  <c r="O60" i="34"/>
  <c r="O59" i="34"/>
  <c r="O58" i="34"/>
  <c r="O57" i="34"/>
  <c r="O56" i="34"/>
  <c r="O55" i="34"/>
  <c r="O54" i="34"/>
  <c r="O53" i="34"/>
  <c r="O52" i="34"/>
  <c r="O51" i="34"/>
  <c r="O50" i="34"/>
  <c r="O49" i="34"/>
  <c r="O48" i="34"/>
  <c r="O47" i="34"/>
  <c r="O46" i="34"/>
  <c r="O45" i="34"/>
  <c r="O44" i="34"/>
  <c r="O43" i="34"/>
  <c r="O42" i="34"/>
  <c r="O41" i="34"/>
  <c r="O40" i="34"/>
  <c r="O39" i="34"/>
  <c r="O38" i="34"/>
  <c r="O37" i="34"/>
  <c r="O36" i="34"/>
  <c r="O35" i="34"/>
  <c r="O34" i="34"/>
  <c r="O33" i="34"/>
  <c r="O32" i="34"/>
  <c r="O31" i="34"/>
  <c r="O30" i="34"/>
  <c r="O29" i="34"/>
  <c r="O28" i="34"/>
  <c r="O27" i="34"/>
  <c r="O26" i="34"/>
  <c r="O25" i="34"/>
  <c r="O24" i="34"/>
  <c r="O23" i="34"/>
  <c r="O22" i="34"/>
  <c r="O21" i="34"/>
  <c r="O20" i="34"/>
  <c r="O19" i="34"/>
  <c r="O18" i="34"/>
  <c r="O17" i="34"/>
  <c r="O16" i="34"/>
  <c r="O15" i="34"/>
  <c r="O14" i="34"/>
  <c r="O13" i="34"/>
  <c r="O12" i="34"/>
  <c r="O11" i="34"/>
  <c r="O10" i="34"/>
  <c r="O9" i="34"/>
  <c r="O8" i="34"/>
  <c r="O7" i="34"/>
  <c r="O6" i="34"/>
  <c r="O5" i="34"/>
  <c r="O4" i="34"/>
  <c r="O3" i="34"/>
  <c r="O2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2D24EA3-C8F7-49AD-90AD-C165707D3A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75BFF3-27F8-4588-9DD1-045F454F13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6A3B0C7-1612-4E5D-8B86-A506EE84AA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702DD16-BCB0-4798-8327-BBB58E2CF0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E621E93-5603-44C0-8691-B682C12FFE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59F2A5F-ECCD-496B-AA64-2EEC76A1F4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6806938-11F4-4A52-A63A-3A3E69E08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87214C8-4EFB-4D01-AEFD-65B501FBCD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F9E9175-0F5B-490D-9CE5-3B4F0CA0F0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569F417-B50B-4E2F-84E4-2191FF84C8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1A5D044-66D4-4A12-9DA8-CF060B3325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7BE1969-4B10-4245-8ED7-87C19F3C1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30C8699-3616-4604-BE1B-F871F2CC55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2CE6EC-6955-4E1B-A78A-4F80EA8F55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57D1748-6EA4-4575-A6ED-9B0A3D01F7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95C9624-EE45-4EFD-A34B-1A3B07B0AF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4CD0569-C3DE-4B75-8D68-AF65290CF3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91FF8B9-41E7-4BDC-9125-C3EA10422E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D5007A2-9242-4C40-AE21-CBF6170B29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BCFC6B6-007E-452F-B59D-630418233A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9BD1F9E-A997-4209-AF32-7058FA7E0A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D0BF431-EA72-4C0F-B15B-3C71A6840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4C315F8-8552-4F99-A358-C48CCEFA55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9DB3733-068B-4BBA-842F-7768DA5ABA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6A4E037-7183-4280-AD6B-AB66F548A1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80BC94E-D268-4B8B-8483-FA88362301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7AC4778-ACB0-408A-B2FB-5AA9AAB959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BB9575A-13F1-44A7-A305-B09ACF03A3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CBE3AA0-8238-4669-9460-0C50216699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806A73-550D-4659-863C-14C2A288AE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029C76D-C95C-46D4-A5C3-70A729A96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B0BD733-3BE3-4DC9-A522-1C3C1E2D04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67D17DF-7B2F-458B-A48B-381F67D987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D4B656-BCD1-4AF9-A78F-A95A181FED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C46C1A8-1A96-467A-BF1C-6D728D6F7D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505A7B94-6E1D-4E31-B9E2-3AC56B7A4E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2D9C2AD-AE01-46F1-8659-4A6A72EE05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D9BDA3-B342-4FD1-9EE2-16A8874FEC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5690BC-F1E9-4A7A-90AC-70C869709C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80288B5-E306-471E-BB1C-06F7136BD8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BF8B583-F677-41D0-947F-CA5833ABC7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E370EA-A897-4BB2-A2C8-F1272F62914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AC32FBE-AF1F-449F-AA8F-E127C42FE3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D1B284-AF4D-49BE-BAB8-6C3887008E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44AA1DC-AB3E-4FB5-94C4-EF53C57223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26782A6-3B94-4C39-B77C-256E6B43BD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A659541-7B23-4DF1-8395-45B66F430C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E020387-F464-4597-87D3-E400AE1D0F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659FD0-049A-4783-A1DD-3CEC3F9C9A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F6187C-57E3-42B8-A932-8FD5166696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8D1BAFC-D599-4A37-8BDB-B9B16822F6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45CD661-BFDA-495F-9D33-B50951A945E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0628AE-7A46-486F-852E-DE3A3B2E0D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C8BA9B1-5261-4B21-B0B9-E7EB4D3BA1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31B8687-77ED-48A6-8A73-C786AE0464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7972D4-C12D-47FC-B70D-FE8AA1B88F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80F4446-D0E9-4C52-B4C0-B1E01FFB29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9846A04-9C67-4ADE-8884-5214C0EBE6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08040A0-1277-4027-8C79-21F1C25E16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E7DD7D2-B090-4965-9028-72DF64F894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801C5C5-0DB3-49D8-83DF-F0FF45EAB5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A23B0B-5671-4274-A136-7514F8C063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607500E-F306-4628-86CE-0075E8F6AF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EE937C1-BCC7-42AE-863C-D5C6CE8EB0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B771EC8-53E8-4D04-B79D-C169913BF4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51AAF72-F26A-4B48-B82B-D3BB39ED29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AECA54E-08FC-47D8-8E58-2FBDE7420F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B799A96-2EA8-4CC2-BC60-CDD9C6068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E6AF1A0-E341-4765-B72C-78923AF5B2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21A4B44-34C1-43BE-BC21-0847FF2AA4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AAAE4A4-B7D6-4187-9693-D14B3E41A0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EDE3BC-C692-4973-98EC-B2AB75EECB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BCB4FEC-E848-434F-8CC6-B505A402CAC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3D4BEC-DA4B-4E80-8312-DED83095C5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2BB4549-2AC2-40AB-9C41-CB944FD57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44AF875-1F20-44FA-B727-1421D63ED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B1EF95F-D3DA-439F-B940-19B5D6978EB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582DCB-B00B-48D7-91F6-A3AABC15DF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84D42ED-C27C-447A-A375-8D98A00992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54C75D-3140-4354-87F9-DAFAA9EEDB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EB67BAF-5FD2-40EB-8485-895099F3630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E927DD-E94E-45D2-A31A-EB542A8F95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96E7B43-C902-4B71-ADCB-171E2AC483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7335186-EB7C-4DF2-8A53-EB86054776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12BEB8D-380B-4F22-9877-D0ACC4D5DB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3A8E611-26E1-4589-939A-4C15EF61E1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DE683A5-1C9C-4D1E-96B3-48C1542211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E2CAB7E-38E9-4412-8EE3-7945C42779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0A2309D-16F2-4E17-A9FC-452B6D82D6E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7440D75-98B4-4BF4-B99B-1CEF43AF3A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B1B2D48-D77E-4F7A-8E6F-989C138041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CFF2EA6-ACE6-426C-961F-F7C2D3AC06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AF8E199-A09B-42B5-8CAF-EE06A739B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B973D7F-4082-48CA-B0C9-1D480F096D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01C7A76-6CEF-4CAE-99A6-55570082E7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70536E-E375-46E3-ADCD-30E02B927D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CE478DF-A156-4A48-A7C5-38E3209D0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9398158-E2E6-46A9-A34F-E769DB673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94BCB9D-97C1-461B-8783-5CD0D36DF7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2FB315E-5178-44F8-A4CD-2110DDF4CA3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29EE0B6-7449-494C-9145-67AC37A14B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F1597A7-D118-4230-91A0-A90C7275A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792EA9A-DA32-4462-AF9F-9C9169D950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5B8FF38-DAD0-429C-99EC-ECC3258CDF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7E14518-C3C2-439F-A677-1D23168038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17B8DEB-EDC5-4434-B715-567C88BB5F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441EE8D-BC0C-43F0-AB7F-A77C931A89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A67BC7E-7EF4-40C0-B4D9-DC70E6A70D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BC6E6DA-A234-49B0-9D21-E67112FF0F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C9ABD08-6799-4A60-981D-A11BC3B29F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3276FAF-1180-4937-9831-983E83F10B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2CA4781-8840-4CA9-B82D-0123AC8FC1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DB5E8CF-B366-4F10-83E3-878D371880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75C1D4D-1115-4A07-9B81-EC818E7890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BE5C941A-857B-4A66-982C-410F6D5095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7C90659-9AE9-4F6B-8828-AAFC6ACC44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CC2B50E-B952-4C42-8988-B9E666AA1F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2E8BD13-B648-4F17-B4C3-F66FCD930F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13E1C44-5C8D-4264-A1FC-21462F33FF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5226B6D-6E7C-40A7-94F2-0DE585B43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CA4A2FD-AEAE-4FBF-97C0-3EEC16115A8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87CF20-ED71-4CD5-B82A-06D59DE16D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EC1E403-BEAD-4764-92B9-99C870CE42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D9A3C26-C75A-4F8E-A249-D7C01CCD43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7908352-47D2-4893-B05D-9070499ED9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CADC0A98-AAE3-4657-8B91-B9045AE9AB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42C73CC-3191-494C-B370-9CB731F0FF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1142F63-1F4D-401A-AD55-DE22667D87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2E2DF37-50D6-4EA6-8E9A-7A7A03A96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CE4DC44-3834-41A0-8BB8-09645F4EB1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EB2B790-3FF0-4FC1-BEA5-C109434477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ECCA72F-85D4-4064-8471-F6CF6F3DB8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F30F5A3-D4BB-426A-B6AF-DFA6E2EF75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449E2A-4908-4400-A971-D0DDA424597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5118FF6-8B73-4488-9138-E13A0425C7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CA9AD9-17AF-40EB-81F8-A7762EBF0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4894EB3-5A82-4281-A24B-C4552C8886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9B0C21C-7BA1-405A-A4C2-0C4CBE8FE1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59FB601-AEF7-44D4-818B-0B6FB7F632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784F70C-04A0-4E0F-88EC-2BF0D8C9D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97DAD95-67B5-4E7E-9DD5-DBE051669E0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8750941-8CAA-445A-9D33-ED4B8A238A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01462C8-C34E-4B58-8BB9-60574015D79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B172813E-0B44-4FE1-888C-F4D26E135D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DBD7621-1592-4B95-942B-930536FF89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CC7DDB2-C86D-4A1D-85D9-E13C9AE61B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E676A9D-BD53-4B80-8313-24BF8F7D77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BB77F1D-1DC3-4D53-B1FD-24863CA049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7142D5-344B-45F9-BE93-919B9F0EB7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EAE8C32-0E25-4832-8E0C-A77F7610C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973CCE0-1B0C-4FBF-8DB6-BB6C5A8E1E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22D6380-506D-44E8-B845-480CEDB8F8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6FB6A93-B492-4E96-B388-B76E1206B9B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984CD8D-5A09-49A8-B5F2-87EC330DA0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3C9DAC-9A52-4C94-8123-687D938A24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3C1BF4-DA99-47DE-BBD0-E22368C460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2EE3417-A82A-43B3-AA1B-68262C96B6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2D8D17E-FE57-43BA-88B7-9AE5DBD12C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A06A1AC6-5756-4F0A-B54E-AC4F4C70B68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F2AFB28-4312-4D5C-9CE7-66D30E3E05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195A6-8CA9-4447-BCB2-63541B3E56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AE05AD0-C0FF-47A5-AF3C-A407214148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A9180AA-BCF6-4C72-B303-6AA01FDFD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49FADCA-DA48-49D4-B16C-7B177194BD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C6EB1A2-1E0D-4E4D-B70A-2EA60ADC1D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AC559A9-08E6-4A44-B815-D3869E3B1C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18827CD-4FE9-44DF-BD26-5F149DC66E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4D1A1CA-E9AE-4CC4-BC2A-625937B9A2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30A4B4CA-CA20-4B7E-8855-AB43992790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5F8B827-1F03-40E5-9133-C267E2F10C7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0FCDC2A-D14A-4945-8D86-06ED234835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6BF3210-BF07-428A-AB29-AF7ADB74982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2CB2E95-B214-42B0-AA4E-15E3BAC1F9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7F46D13-B5CC-46DA-94B8-DF80B13312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A777708-506F-4FF0-9CE9-62EA4451DC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06572C-1D14-4587-B1F9-1647CC6719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C541993-3E8F-4B3F-B49A-28E6C85F81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936FB6-3E4E-4CD2-920A-57A1BA99E6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B8F6D5E-E756-4905-9B29-38C3209D11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B10391-A636-4BA3-A762-FFED2E7464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D37A5E-C6DD-4E8E-B91D-C2B2C44937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A4A2432-481C-493F-944D-9F0CC56635F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923BDA-BE53-4951-B256-56DB4B34EF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A9240B4-1489-465B-A4C9-7BA001FE5C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BFCA32-3C2A-41F7-9B58-01CA653334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3047549-DE52-4F00-B86B-AD849B2AEA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B93EB28-8E21-4D4A-8978-05D0A91F83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0F34D76-B21E-4D88-A7AE-AC8FFAC2E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3E50377-BC90-41BC-9A1B-AD0FB64488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792A415-3C35-4960-B060-4326C1B22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D3B17F-F3EE-4D5E-B02B-75C0E30604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4FDFC96-6A8F-48CE-94C8-C1425C7C2A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9BA910E-05CB-4FA3-9A0F-B28F90027A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0DF1E5F-4AB8-4972-9F0A-4FE5B8FD0F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A559907-7104-4AFE-AB86-3B8A6FF9A8A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195A0F4-BC2B-441D-89EB-EA181CDE493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8C44802-ED2E-4285-A740-2F90CD1610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39AE11-F2E1-4459-A7B3-A8A60428D9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6EE129F-8A51-4E99-B07D-E9F57BF728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A0162255-926A-4212-90F9-6ED5E0E5463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58C7054-4B0B-4A53-8191-FB2C41BD28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94A4D0-35A3-4DBA-B2F6-6A51546CCE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2AF33EB-87A1-4C32-A171-0DC63F8D9F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036289A-DA9C-41F1-A203-58512AA6C6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5939D2A3-3112-480C-953A-146FB55BD1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334BDDA-F688-4411-9D82-FAC0FF787A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28CD290-D365-4BC6-87EF-EEAC2EE93B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CF1D5B2-756B-4E4F-AE27-3B8196F9B5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448795AE-1D95-471A-A3E9-EF7691B660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F619808-D546-4618-926F-2B1CF83AA6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6CE00A6-139F-4323-BDE7-5BAE369AD3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9167660-C3CD-4DD6-8608-3395F63255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E43EBC2-DF5D-41B6-86E1-483177EA50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A298694-EC80-4A9F-AD2A-A9FB5AC109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A433A3F-A5E5-4A81-8762-4E41D74601C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48BB6E7-414F-4734-B8FB-251C03AE08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1BD90AF3-4F85-4E1B-BAE2-9785F7D146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2145317-05B1-4487-8B72-196392B892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335D32F-D0D0-4683-A778-A0AE8036B7A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809FCC3-EA53-4736-87D0-F73E80176A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D801B530-B440-4440-9A99-568B37D7BF2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78CE1D1C-578C-4C18-8418-6EA0F7758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7577B5A-A4B4-486C-A637-D843EEE6B8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DAE236-6E03-4283-AE27-700997C8C5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3C6668B-213F-490A-93D8-EE0C7B10F5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9EC796C9-DCDF-4A69-B583-297E54CC16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3F101FC-9C9B-4621-A4A6-A7E14534D7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9E10E92F-F736-48F5-9F3A-EF67F158F2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915872-0E7F-4011-9E99-F0736989A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253D366-CC36-4B41-B121-5A9D750AA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236C089-4B7F-44CF-A193-44C1E770BA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256FA01-38D9-4FA0-809A-2E5CF74E1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7B78798-283C-4E01-87A0-F1FB320518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2B5113-F10C-419E-B2F4-4E97B557BB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B9D1D97-E9BB-4BFB-9C19-4E5BD23D3C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08C3702-5447-4BFA-AD93-25A658321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495272C-8D77-47B9-9019-D14CE6B596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FB1B5DC-09BB-411D-A875-768C24D8E7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E404354-9FC3-440B-8A4A-63630C3F02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4C25A34-75D9-41A3-94A1-130F331A2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57F1EEC-6701-486E-A048-300F57A5D4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C6482E9-1E9F-44C0-B160-6E8407D57E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4EB5F33-5F52-409D-A160-996F61EF7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9FE0D64-2D83-4373-B183-7DE76CA51B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05A2B09-332E-4016-A928-C3C278CAB6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C505C70D-9EF2-4978-A8FC-5E6F517D40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72C2BC9-E88A-45CE-A3A0-D2294140A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734CC5C-4DB8-4CAE-8A4D-C780420485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72108DB-0D6E-4B2F-B069-EBFD524791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DF9BEF2-EB2A-41B7-A27F-AB78B8D65C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857491-C0E4-4670-9D6C-D155CE76C5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4538C3C-BB5D-4844-AB78-8FF147379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B05E852-39C7-4761-8102-1AEA9B2A8A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7A26BDE-9136-49B8-B524-7F2D155D3C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67BC132-BAE7-45A4-9B9B-514EACB3A1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FF59129-5009-400C-B0CD-E570D21DEE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ECAB667-A298-4282-B560-1DFF8167EE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8ABE5ED-7B90-457D-A863-BF3504328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A3BDF6B-311C-47E7-BDA0-32B4D6AFB6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78C8A74-6D48-4E34-9C01-5038D05A0B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29D779-D97A-48E4-92EB-C2EA81F35B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B580402-83BD-47E0-8CB4-13310CF52D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0221F0D-F649-4C79-8AA2-44AA0CA87B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AEC754-48B5-49A3-9C23-86D13880936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FCE902E-E614-4A35-B363-AAAA425E0B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B685295-574D-4212-AD6A-C5FAC248D9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33ED539-D382-4AA8-AD2A-3B8E454137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B8FF7272-1AC8-497E-8A99-91E0E5BE35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C97865D-C855-4F36-9FCB-EED84D557A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A9B5F19-8098-4A98-9432-3CDC3A9B4D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8147CD4-981F-42C0-B3FF-DC9C3C4ADD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240D98A-37DB-426E-9A77-73CD791196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1D49C76-F2F2-4F2F-A541-783FD02EED1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6E141F2-F791-4466-8B3A-3332486A02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4F9842E-F089-4D0E-BCD4-0CFE8A6583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3B3BC05-5175-4FFE-8350-3474B86451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6AAAE22-F999-4169-97D7-AE4174B69A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41D5F57-42C0-41B7-9C74-E37BFB4D52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AE8EFBA0-B72F-48BB-9C4D-337D2B38A5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729A6BD-62A5-41DD-A86B-BFBBBA71FA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E90FB032-F432-4AA3-8545-B3F786C296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7189416-4F1C-4283-9BCE-7EA1AE8962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1B8370E-7F5C-47C2-9ECE-ECA205ECE1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18FE5E6-35BE-476B-9B2D-ADC2D77CFB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B998FBF-3DB7-40FE-80AB-E6BA58C89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84A5F7-CA42-46B4-8F3B-996AB155E8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78B3C9C-C09E-473B-AEB5-F6841167A3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191FA1C-3681-476F-89BA-9ADECDC767A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56F2C6D-8D5C-40F3-8C11-C6A890F28B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EBB64C-BD19-4AB1-AC80-ED5AFE23666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792D869-4204-4273-9201-02DF05FA14C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02E7A9E-F8AA-435F-94AA-EA099FDB81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D25BA9B-8686-478D-A982-D0AEC335DA4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276F384-4A3C-47A6-BFC3-EDF89803B7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D3FFB3-86B6-4B07-80BD-49DF51FD537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59CB642-1571-4879-9D1E-8283A9C162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9655AB9-74B4-4477-BE88-7CF7D640E2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E05B18A-6FF7-4D1B-9142-0BCD3A0DF8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8BCA185-3B2F-4A68-8B3B-63F84C96A2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8BFC33F-F484-4116-87A9-CDCC25E943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480656E-5051-4E14-8961-4851AF088F6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26C9C22-E1AD-413C-92CD-4A8593277C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1097D60-AEE7-40BD-AF8B-2B3364EBC6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1B6194-0DCE-4093-B2B4-DBFA736746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78AA523-759A-48C4-B920-A525A92AD2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84FF3DD-266D-427E-9706-87F8879AE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95791E-F9D0-4CB5-81AC-74B7613CE2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D25B3C-E41D-4397-8F0A-A06499BFAF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B11AEB5A-1467-48E8-AA30-FCB9F89F2A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AAC8C03A-7850-41BA-9544-A9C56D743ED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B3E7DEF-955C-4CA2-A148-A3CB9F4C78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2FBB568-6D78-44D1-9267-7FA72A4198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1A27AD-96EC-4511-A342-6470CD0F7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828350-8F13-49EE-8F79-82F154B20A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51CCEAE7-4CAF-4611-904D-4296E97317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6709516-5F89-44F6-8F5E-492B95AB5AA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145DB25-6E88-40D1-BDE6-C04A2963B3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D603069-FBB6-46D5-85F9-1BFC88635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183A284-E0E7-4117-BF8D-B28B73C1A55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FB1B5C2-D361-4C0E-8A16-CED1377098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205ABE1-FE9C-464C-AD35-B03D8D110F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BC22A94-C71F-4872-AA89-1A386F85E9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BAC093D-A4DD-43B1-AC1F-6A33FDF0F01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A45273B-E0C4-49A1-97FA-B792FD3851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C1B8CFB-7648-4A79-9EA7-5BE4D1AD19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3754F72C-420C-44F0-B565-F0066C033E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6BA6652-C23C-47AD-BDA0-4AE411ECE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3F6F17D-511C-4B8F-8C26-3E00A312D7F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B6A521A4-119F-41D7-93C2-40B1D81B29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119A7D5-D6E4-4926-A676-DF1A499FF9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2D435E2-F8A1-4BE4-9105-24E4DAD8BE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FC4624A7-7EA0-41F7-831F-4D735CBB9F6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48BA569-F09E-45C5-BA3C-E7EEE2FE05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CBF5B2-A4D2-4108-82C1-6EFAFA7A49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BD2ACE1E-AC13-4D47-A5EF-49C0E10A10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9EC04E0-D6EF-4671-A776-96229474A0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645587B-654E-437E-85C6-EEE3E851877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F2587CA-B8A3-484F-8D17-35781FE493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5427F290-9C3C-45B8-B87E-29DD2074C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0720BC7-1444-4435-BF3C-823CE92DB00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686FA81-9978-4FFD-8119-A7E24E227E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F0CC317A-7708-4B96-912B-A2F96B25C2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16895FF-84F4-4EF8-A75B-9AF576367AA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AD242A-8E41-4C5A-8C22-5856365B3A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B54C437-F18D-4AA3-AAB3-2433631999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012CFB7-D74A-4664-B677-277BB0E016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C2EFEB8-51E0-49CA-9CBB-1A5CC6D547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3D9635C-CE44-4AC2-AC9A-5A788A36C16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B4491BF-CACC-4BDE-89AB-1A6115DBE9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8427C88-075A-42A8-AB3F-33F5564CF8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1960803-3E58-491E-8A1D-15945C5C6F0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4E2FBF2B-03DF-4376-93D2-ABFD765ED1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99C76888-DE83-43E2-8190-A015C47A839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B2135C9-A0C9-49A3-B1F2-0A132295A17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E8D8F81C-020F-4971-A117-A9F086A3E1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E0F370C4-862F-4D06-89AA-F7C22796B8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A15150-4EB5-4BC2-A1E8-13B2D0410E7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286B3C8-5E63-4742-BB7C-2A373323B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8717874-6EC7-4469-8B65-36FA794C5A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72FE5DE-05D8-4F74-8C4A-1FEF3FDC066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A8E62DC-7EB2-41FF-8C22-865989A181B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40C8473-7969-41AA-A0DA-69D09CA6962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9FBE800-44BD-400C-910F-7BD1CE1C1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675F84A-34A7-4F79-8A63-04DAAF68B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<sst xmlns="http://schemas.openxmlformats.org/spreadsheetml/2006/main" count="16171" uniqueCount="3684">
  <si>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</si>
  <si>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</si>
  <si>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</si>
  <si>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</si>
  <si>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</si>
  <si>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</si>
  <si>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</si>
  <si>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</si>
  <si>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</si>
  <si>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</si>
  <si>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</si>
  <si>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</si>
  <si>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</si>
  <si>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</si>
  <si>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</si>
  <si>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</si>
  <si>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AERO</t>
  </si>
  <si>
    <t>PHANIMESHT</t>
  </si>
  <si>
    <t>SHORT PANTS TERRY ANIME FULL PRINT PHANIMESHT:BLACK:5-6:GRAPHIC:SHORT PANTS</t>
  </si>
  <si>
    <t>BXGY</t>
  </si>
  <si>
    <t>SHORT PANTS TERRY ANIME FULL PRINT PHANIMESHT:BLACK:7-8:GRAPHIC:SHORT PANTS</t>
  </si>
  <si>
    <t>SHORT PANTS TERRY ANIME FULL PRINT PHANIMESHT:BLACK:9-10:GRAPHIC:SHORT PANTS</t>
  </si>
  <si>
    <t>SHORT PANTS TERRY ANIME FULL PRINT PHANIMESHT:BLACK:11-12:GRAPHIC:SHORT PANTS</t>
  </si>
  <si>
    <t>PHBTM2SHT</t>
  </si>
  <si>
    <t>SHORT PANTS TERRY 10 TEAM PHBTM2SHT:MISTY LIGHT GREY:5-6:GRAPHIC:SHORT PANTS</t>
  </si>
  <si>
    <t>SHORT PANTS TERRY 10 TEAM PHBTM2SHT:MISTY LIGHT GREY:7-8:GRAPHIC:SHORT PANTS</t>
  </si>
  <si>
    <t>SHORT PANTS TERRY 10 TEAM PHBTM2SHT:MISTY LIGHT GREY:9-10:GRAPHIC:SHORT PANTS</t>
  </si>
  <si>
    <t>SHORT PANTS TERRY 10 TEAM PHBTM2SHT:MISTY LIGHT GREY:11-12:GRAPHIC:SHORT PANTS</t>
  </si>
  <si>
    <t>PHSOCCSHT</t>
  </si>
  <si>
    <t>SHORT PANTS TERRY STRIPE SOCCER 23 PHSOCCSHT:WHITE:5-6:GRAPHIC:SHORT PANTS</t>
  </si>
  <si>
    <t>SHORT PANTS TERRY STRIPE SOCCER 23 PHSOCCSHT:WHITE:7-8:GRAPHIC:SHORT PANTS</t>
  </si>
  <si>
    <t>SHORT PANTS TERRY STRIPE SOCCER 23 PHSOCCSHT:WHITE:9-10:GRAPHIC:SHORT PANTS</t>
  </si>
  <si>
    <t>SHORT PANTS TERRY STRIPE SOCCER 23 PHSOCCSHT:WHITE:11-12:GRAPHIC:SHORT PANTS</t>
  </si>
  <si>
    <t>PHBTM1SHT</t>
  </si>
  <si>
    <t>SHORT PANTS TERRY KOMBINASI PHBTM1SHT:BLACK:5-6:GRAPHIC:SHORT PANTS</t>
  </si>
  <si>
    <t>SHORT PANTS TERRY KOMBINASI PHBTM1SHT:BLACK:7-8:GRAPHIC:SHORT PANTS</t>
  </si>
  <si>
    <t>SHORT PANTS TERRY KOMBINASI PHBTM1SHT:BLACK:9-10:GRAPHIC:SHORT PANTS</t>
  </si>
  <si>
    <t>SHORT PANTS TERRY KOMBINASI PHBTM1SHT:BLACK:11-12:GRAPHIC:SHORT PANTS</t>
  </si>
  <si>
    <t>MTODNSHT24</t>
  </si>
  <si>
    <t>SHORT PANTS KNIT DINO CAMO MTODNSHT24:MISTY MEDIUM GREY:5-6:PRINT:SHORT PANTS</t>
  </si>
  <si>
    <t>SHORT PANTS KNIT DINO CAMO MTODNSHT24:MISTY MEDIUM GREY:7-8:PRINT:SHORT PANTS</t>
  </si>
  <si>
    <t>SHORT PANTS KNIT DINO CAMO MTODNSHT24:MISTY MEDIUM GREY:9-10:PRINT:SHORT PANTS</t>
  </si>
  <si>
    <t>SHORT PANTS KNIT DINO CAMO MTODNSHT24:MISTY MEDIUM GREY:11-12:PRINT:SHORT PANTS</t>
  </si>
  <si>
    <t>PRANIM1SHT</t>
  </si>
  <si>
    <t>SHORT PANTS TERRY ANIME READY PRANIM1SHT:CLASSIC YELLOW:5-6:GRAPHIC:SHORT PANTS</t>
  </si>
  <si>
    <t>SHORT PANTS TERRY ANIME READY PRANIM1SHT:CLASSIC YELLOW:7-8:GRAPHIC:SHORT PANTS</t>
  </si>
  <si>
    <t>SHORT PANTS TERRY ANIME READY PRANIM1SHT:CLASSIC YELLOW:9-10:GRAPHIC:SHORT PANTS</t>
  </si>
  <si>
    <t>SHORT PANTS TERRY ANIME READY PRANIM1SHT:CLASSIC YELLOW:11-12:GRAPHIC:SHORT PANTS</t>
  </si>
  <si>
    <t>PRANIM3SHT</t>
  </si>
  <si>
    <t>SHORT PANTS TERRY ANIME STRENGHT PRANIM3SHT:NAVY BLUE:5-6:GRAPHIC:SHORT PANTS</t>
  </si>
  <si>
    <t>SHORT PANTS TERRY ANIME STRENGHT PRANIM3SHT:NAVY BLUE:7-8:GRAPHIC:SHORT PANTS</t>
  </si>
  <si>
    <t>SHORT PANTS TERRY ANIME STRENGHT PRANIM3SHT:NAVY BLUE:9-10:GRAPHIC:SHORT PANTS</t>
  </si>
  <si>
    <t>SHORT PANTS TERRY ANIME STRENGHT PRANIM3SHT:NAVY BLUE:11-12:GRAPHIC:SHORT PANTS</t>
  </si>
  <si>
    <t>PRANIM2SHT</t>
  </si>
  <si>
    <t>SHORT PANTS TERRY ANIME COOL BOY PRANIM2SHT:MISTY MEDIUM GREY:5-6:GRAPHIC:SHORT PANTS</t>
  </si>
  <si>
    <t>SHORT PANTS TERRY ANIME COOL BOY PRANIM2SHT:MISTY MEDIUM GREY:7-8:GRAPHIC:SHORT PANTS</t>
  </si>
  <si>
    <t>SHORT PANTS TERRY ANIME COOL BOY PRANIM2SHT:MISTY MEDIUM GREY:9-10:GRAPHIC:SHORT PANTS</t>
  </si>
  <si>
    <t>SHORT PANTS TERRY ANIME COOL BOY PRANIM2SHT:MISTY MEDIUM GREY:11-12:GRAPHIC:SHORT PANTS</t>
  </si>
  <si>
    <t>PSWVNBSC9</t>
  </si>
  <si>
    <t>SHORT PANTS WOVEN KANTONG SAMPING PSWVNBSC9:CHARCOAL:5-6:SOLID:SHORT PANTS</t>
  </si>
  <si>
    <t>SHORT PANTS WOVEN KANTONG SAMPING PSWVNBSC9:CHARCOAL:7-8:SOLID:SHORT PANTS</t>
  </si>
  <si>
    <t>SHORT PANTS WOVEN KANTONG SAMPING PSWVNBSC9:CHARCOAL:9-10:SOLID:SHORT PANTS</t>
  </si>
  <si>
    <t>SHORT PANTS WOVEN KANTONG SAMPING PSWVNBSC9:CHARCOAL:11-12:SOLID:SHORT PANTS</t>
  </si>
  <si>
    <t>PSWVNBSC10</t>
  </si>
  <si>
    <t>SHORT PANTS WOVEN KANTONG SAMPING PSWVNBSC10:TAUPE GREY:5-6:SOLID:SHORT PANTS</t>
  </si>
  <si>
    <t>SHORT PANTS WOVEN KANTONG SAMPING PSWVNBSC10:TAUPE GREY:7-8:SOLID:SHORT PANTS</t>
  </si>
  <si>
    <t>SHORT PANTS WOVEN KANTONG SAMPING PSWVNBSC10:TAUPE GREY:9-10:SOLID:SHORT PANTS</t>
  </si>
  <si>
    <t>SHORT PANTS WOVEN KANTONG SAMPING PSWVNBSC10:TAUPE GREY:11-12:SOLID:SHORT PANTS</t>
  </si>
  <si>
    <t>PSKOTAK2A</t>
  </si>
  <si>
    <t>SHORT PANTS WOVEN KOTAK COKLAT PSKOTAK2A:GOLDEN BROWN:5-6:CHECKS:SHORT PANTS</t>
  </si>
  <si>
    <t>SHORT PANTS WOVEN KOTAK COKLAT PSKOTAK2A:GOLDEN BROWN:7-8:CHECKS:SHORT PANTS</t>
  </si>
  <si>
    <t>SHORT PANTS WOVEN KOTAK COKLAT PSKOTAK2A:GOLDEN BROWN:9-10:CHECKS:SHORT PANTS</t>
  </si>
  <si>
    <t>SHORT PANTS WOVEN KOTAK COKLAT PSKOTAK2A:GOLDEN BROWN:11-12:CHECKS:SHORT PANTS</t>
  </si>
  <si>
    <t>PSKOTAK1B</t>
  </si>
  <si>
    <t>SHORT PANTS WOVEN KOTAK PUTIH HIJAU PSKOTAK1B:CLASSIC GREEN:5-6:CHECKS:SHORT PANTS</t>
  </si>
  <si>
    <t>SHORT PANTS WOVEN KOTAK PUTIH HIJAU PSKOTAK1B:CLASSIC GREEN:7-8:CHECKS:SHORT PANTS</t>
  </si>
  <si>
    <t>SHORT PANTS WOVEN KOTAK PUTIH HIJAU PSKOTAK1B:CLASSIC GREEN:9-10:CHECKS:SHORT PANTS</t>
  </si>
  <si>
    <t>SHORT PANTS WOVEN KOTAK PUTIH HIJAU PSKOTAK1B:CLASSIC GREEN:11-12:CHECKS:SHORT PANTS</t>
  </si>
  <si>
    <t>PSKOTAK2B</t>
  </si>
  <si>
    <t>SHORT PANTS WOVEN KOTAK HIJAU PSKOTAK2B:CLASSIC GREEN:7-8:CHECKS:SHORT PANTS</t>
  </si>
  <si>
    <t>SHORT PANTS WOVEN KOTAK HIJAU PSKOTAK2B:CLASSIC GREEN:9-10:CHECKS:SHORT PANTS</t>
  </si>
  <si>
    <t>SHORT PANTS WOVEN KOTAK HIJAU PSKOTAK2B:CLASSIC GREEN:11-12:CHECKS:SHORT PANTS</t>
  </si>
  <si>
    <t>PSKOTAK3B</t>
  </si>
  <si>
    <t>SHORT PANTS WOVEN KOTAK KUNING PSKOTAK3B:CLASSIC YELLOW:5-6:CHECKS:SHORT PANTS</t>
  </si>
  <si>
    <t>SHORT PANTS WOVEN KOTAK KUNING PSKOTAK3B:CLASSIC YELLOW:7-8:CHECKS:SHORT PANTS</t>
  </si>
  <si>
    <t>SHORT PANTS WOVEN KOTAK KUNING PSKOTAK3B:CLASSIC YELLOW:9-10:CHECKS:SHORT PANTS</t>
  </si>
  <si>
    <t>SHORT PANTS WOVEN KOTAK KUNING PSKOTAK3B:CLASSIC YELLOW:11-12:CHECKS:SHORT PANTS</t>
  </si>
  <si>
    <t>PSKOTAK1A</t>
  </si>
  <si>
    <t>SHORT PANTS WOVEN KOTAK PUTIH BIRU PSKOTAK1A:CLASSIC BLUE:5-6:CHECKS:SHORT PANTS</t>
  </si>
  <si>
    <t>SHORT PANTS WOVEN KOTAK PUTIH BIRU PSKOTAK1A:CLASSIC BLUE:7-8:CHECKS:SHORT PANTS</t>
  </si>
  <si>
    <t>SHORT PANTS WOVEN KOTAK PUTIH BIRU PSKOTAK1A:CLASSIC BLUE:9-10:CHECKS:SHORT PANTS</t>
  </si>
  <si>
    <t>SHORT PANTS WOVEN KOTAK PUTIH BIRU PSKOTAK1A:CLASSIC BLUE:11-12:CHECKS:SHORT PANTS</t>
  </si>
  <si>
    <t>PSKOTAK3A</t>
  </si>
  <si>
    <t>SHORT PANTS WOVEN KOTAK BIRU PSKOTAK3A:CLASSIC BLUE:5-6:CHECKS:SHORT PANTS</t>
  </si>
  <si>
    <t>SHORT PANTS WOVEN KOTAK BIRU PSKOTAK3A:CLASSIC BLUE:7-8:CHECKS:SHORT PANTS</t>
  </si>
  <si>
    <t>SHORT PANTS WOVEN KOTAK BIRU PSKOTAK3A:CLASSIC BLUE:9-10:CHECKS:SHORT PANTS</t>
  </si>
  <si>
    <t>SHORT PANTS WOVEN KOTAK BIRU PSKOTAK3A:CLASSIC BLUE:11-12:CHECKS:SHORT PANTS</t>
  </si>
  <si>
    <t>SHORT PANTS WOVEN KOTAK HIJAU PSKOTAK2B:CLASSIC GREEN:5-6:CHECKS:SHORT PANTS</t>
  </si>
  <si>
    <t>KIDEWNME1B</t>
  </si>
  <si>
    <t>SHORT PANTS COOLEST BRO KIDEWNME1B:BLACK:7-8:GRAPHIC:SHORT PANTS</t>
  </si>
  <si>
    <t>KIDEWNME3B</t>
  </si>
  <si>
    <t>SHORT PANTS ANIME BE BRAVE KIDEWNME3B:CLASSIC RED:11-12:GRAPHIC:SHORT PANTS</t>
  </si>
  <si>
    <t>SHORT PANTS COOLEST BRO KIDEWNME1B:BLACK:5-6:GRAPHIC:SHORT PANTS</t>
  </si>
  <si>
    <t>SHORT PANTS COOLEST BRO KIDEWNME1B:BLACK:9-10:GRAPHIC:SHORT PANTS</t>
  </si>
  <si>
    <t>SHORT PANTS COOLEST BRO KIDEWNME1B:BLACK:11-12:GRAPHIC:SHORT PANTS</t>
  </si>
  <si>
    <t>KIDEWNME2B</t>
  </si>
  <si>
    <t>SHORT PANTS ANIME HOLIDAY KIDEWNME2B:CHRISTMAS GREEN:5-6:GRAPHIC:SHORT PANTS</t>
  </si>
  <si>
    <t>SHORT PANTS ANIME HOLIDAY KIDEWNME2B:CHRISTMAS GREEN:7-8:GRAPHIC:SHORT PANTS</t>
  </si>
  <si>
    <t>SHORT PANTS ANIME HOLIDAY KIDEWNME2B:CHRISTMAS GREEN:9-10:GRAPHIC:SHORT PANTS</t>
  </si>
  <si>
    <t>SHORT PANTS ANIME HOLIDAY KIDEWNME2B:CHRISTMAS GREEN:11-12:GRAPHIC:SHORT PANTS</t>
  </si>
  <si>
    <t>SHORT PANTS ANIME BE BRAVE KIDEWNME3B:CLASSIC RED:5-6:GRAPHIC:SHORT PANTS</t>
  </si>
  <si>
    <t>SHORT PANTS ANIME BE BRAVE KIDEWNME3B:CLASSIC RED:7-8:GRAPHIC:SHORT PANTS</t>
  </si>
  <si>
    <t>SHORT PANTS ANIME BE BRAVE KIDEWNME3B:CLASSIC RED:9-10:GRAPHIC:SHORT PANTS</t>
  </si>
  <si>
    <t>PHSPLASH01</t>
  </si>
  <si>
    <t>SHORT PANTS JERSEY SPLASH PHSPLASH01:BLACK:5-6:PRINT:SHORT PANTS</t>
  </si>
  <si>
    <t>SHORT PANTS JERSEY SPLASH PHSPLASH01:BLACK:7-8:PRINT:SHORT PANTS</t>
  </si>
  <si>
    <t>SHORT PANTS JERSEY SPLASH PHSPLASH01:BLACK:9-10:PRINT:SHORT PANTS</t>
  </si>
  <si>
    <t>SHORT PANTS JERSEY SPLASH PHSPLASH01:BLACK:11-12:PRINT:SHORT PANTS</t>
  </si>
  <si>
    <t>PHDINO02</t>
  </si>
  <si>
    <t>SHORT PANTS JERSEY DINO PRINT PHDINO02:OLIVE:5-6:PRINT:SHORT PANTS</t>
  </si>
  <si>
    <t>SHORT PANTS JERSEY DINO PRINT PHDINO02:OLIVE:7-8:PRINT:SHORT PANTS</t>
  </si>
  <si>
    <t>SHORT PANTS JERSEY DINO PRINT PHDINO02:OLIVE:9-10:PRINT:SHORT PANTS</t>
  </si>
  <si>
    <t>SHORT PANTS JERSEY DINO PRINT PHDINO02:OLIVE:11-12:PRINT:SHORT PANTS</t>
  </si>
  <si>
    <t>PHSHARK03</t>
  </si>
  <si>
    <t>SHORT PANTS JERSEY SHARK PRINT PHSHARK03:MISTY MEDIUM GREY:5-6:PRINT:SHORT PANTS</t>
  </si>
  <si>
    <t>SHORT PANTS JERSEY SHARK PRINT PHSHARK03:MISTY MEDIUM GREY:7-8:PRINT:SHORT PANTS</t>
  </si>
  <si>
    <t>SHORT PANTS JERSEY SHARK PRINT PHSHARK03:MISTY MEDIUM GREY:9-10:PRINT:SHORT PANTS</t>
  </si>
  <si>
    <t>SHORT PANTS JERSEY SHARK PRINT PHSHARK03:MISTY MEDIUM GREY:11-12:PRINT:SHORT PANTS</t>
  </si>
  <si>
    <t>MTOKINGSHT</t>
  </si>
  <si>
    <t>SHORT PANTS TERRY DINO ROAR MTOKINGSHT:NAVY BLUE:9-10:GRAPHIC:SHORT PANTS</t>
  </si>
  <si>
    <t>SHORT PANTS TERRY DINO ROAR MTOKINGSHT:NAVY BLUE:11-12:GRAPHIC:SHORT PANTS</t>
  </si>
  <si>
    <t>SHORT PANTS TERRY DINO ROAR MTOKINGSHT:NAVY BLUE:5-6:GRAPHIC:SHORT PANTS</t>
  </si>
  <si>
    <t>SHORT PANTS TERRY DINO ROAR MTOKINGSHT:NAVY BLUE:7-8:GRAPHIC:SHORT PANTS</t>
  </si>
  <si>
    <t>PSOUT2SHT</t>
  </si>
  <si>
    <t>SHORT PANTS TERRY KTG EXP. W PSOUT2SHT:OLIVE:5-6:GRAPHIC:SHORT PANTS</t>
  </si>
  <si>
    <t>SHORT PANTS TERRY KTG EXP. W PSOUT2SHT:OLIVE:7-8:GRAPHIC:SHORT PANTS</t>
  </si>
  <si>
    <t>SHORT PANTS TERRY KTG EXP. W PSOUT2SHT:OLIVE:9-10:GRAPHIC:SHORT PANTS</t>
  </si>
  <si>
    <t>SHORT PANTS TERRY KTG EXP. W PSOUT2SHT:OLIVE:11-12:GRAPHIC:SHORT PANTS</t>
  </si>
  <si>
    <t>PSOUT1SHT</t>
  </si>
  <si>
    <t>SHORT PANTS TERRY DINO FOSSIL PSOUT1SHT:MUSTARD:5-6:GRAPHIC:SHORT PANTS</t>
  </si>
  <si>
    <t>SHORT PANTS TERRY DINO FOSSIL PSOUT1SHT:MUSTARD:7-8:GRAPHIC:SHORT PANTS</t>
  </si>
  <si>
    <t>SHORT PANTS TERRY DINO FOSSIL PSOUT1SHT:MUSTARD:9-10:GRAPHIC:SHORT PANTS</t>
  </si>
  <si>
    <t>SHORT PANTS TERRY DINO FOSSIL PSOUT1SHT:MUSTARD:11-12:GRAPHIC:SHORT PANTS</t>
  </si>
  <si>
    <t>PSGRFSHT</t>
  </si>
  <si>
    <t>SHORT PANTS PRINT GRAFFITI PSGRFSHT:OFF WHITE:5-6:TEXT:SHORT PANTS</t>
  </si>
  <si>
    <t>SHORT PANTS PRINT GRAFFITI PSGRFSHT:OFF WHITE:7-8:TEXT:SHORT PANTS</t>
  </si>
  <si>
    <t>SHORT PANTS PRINT GRAFFITI PSGRFSHT:OFF WHITE:9-10:TEXT:SHORT PANTS</t>
  </si>
  <si>
    <t>SHORT PANTS PRINT GRAFFITI PSGRFSHT:OFF WHITE:11-12:TEXT:SHORT PANTS</t>
  </si>
  <si>
    <t>PSWVNBSC5</t>
  </si>
  <si>
    <t>SHORT PANTS WOVEN RIB BSC PSWVNBSC5:CHARCOAL:5-6:SOLID:SHORT PANTS</t>
  </si>
  <si>
    <t>SHORT PANTS WOVEN RIB BSC PSWVNBSC5:CHARCOAL:7-8:SOLID:SHORT PANTS</t>
  </si>
  <si>
    <t>SHORT PANTS WOVEN RIB BSC PSWVNBSC5:CHARCOAL:9-10:SOLID:SHORT PANTS</t>
  </si>
  <si>
    <t>SHORT PANTS WOVEN RIB BSC PSWVNBSC5:CHARCOAL:11-12:SOLID:SHORT PANTS</t>
  </si>
  <si>
    <t>PSWVNBSC6</t>
  </si>
  <si>
    <t>SHORT PANTS WOVEN RIB BSC PSWVNBSC6:SAND:5-6:SOLID:SHORT PANTS</t>
  </si>
  <si>
    <t>SHORT PANTS WOVEN RIB BSC PSWVNBSC6:SAND:7-8:SOLID:SHORT PANTS</t>
  </si>
  <si>
    <t>SHORT PANTS WOVEN RIB BSC PSWVNBSC6:SAND:9-10:SOLID:SHORT PANTS</t>
  </si>
  <si>
    <t>SHORT PANTS WOVEN RIB BSC PSWVNBSC6:SAND:11-12:SOLID:SHORT PANTS</t>
  </si>
  <si>
    <t>PSWVNBSC7</t>
  </si>
  <si>
    <t>SHORT PANTS WOVEN CARGO PSWVNBSC7:VANILLA:5-6:SOLID:SHORT PANTS</t>
  </si>
  <si>
    <t>SHORT PANTS WOVEN CARGO PSWVNBSC7:VANILLA:7-8:SOLID:SHORT PANTS</t>
  </si>
  <si>
    <t>SHORT PANTS WOVEN CARGO PSWVNBSC7:VANILLA:9-10:SOLID:SHORT PANTS</t>
  </si>
  <si>
    <t>SHORT PANTS WOVEN CARGO PSWVNBSC7:VANILLA:11-12:SOLID:SHORT PANTS</t>
  </si>
  <si>
    <t>PSWVNBSC8</t>
  </si>
  <si>
    <t>SHORT PANTS WOVEN CARGO PSWVNBSC8:OLIVE:5-6:SOLID:SHORT PANTS</t>
  </si>
  <si>
    <t>SHORT PANTS WOVEN CARGO PSWVNBSC8:OLIVE:7-8:SOLID:SHORT PANTS</t>
  </si>
  <si>
    <t>SHORT PANTS WOVEN CARGO PSWVNBSC8:OLIVE:9-10:SOLID:SHORT PANTS</t>
  </si>
  <si>
    <t>SHORT PANTS WOVEN CARGO PSWVNBSC8:OLIVE:11-12:SOLID:SHORT PANTS</t>
  </si>
  <si>
    <t>KIDEWSPRT3B</t>
  </si>
  <si>
    <t>SHORT PANTS GAME 33 KIDEWSPRT3B:CLASSIC GREEN:9-10:GRAPHIC:SHORT PANTS</t>
  </si>
  <si>
    <t>KIDEWSPRT2B</t>
  </si>
  <si>
    <t>SHORT PANTS SPORT 10 KIDEWSPRT2B:CLASSIC RED:9-10:GRAPHIC:SHORT PANTS</t>
  </si>
  <si>
    <t>SHORT PANTS SPORT 10 KIDEWSPRT2B:CLASSIC RED:11-12:GRAPHIC:SHORT PANTS</t>
  </si>
  <si>
    <t>KIDEWSPRT1B</t>
  </si>
  <si>
    <t>SHORT PANTS RISE ABOVE KIDEWSPRT1B:BLACK:7-8:GRAPHIC:SHORT PANTS</t>
  </si>
  <si>
    <t>SHORT PANTS RISE ABOVE KIDEWSPRT1B:BLACK:9-10:GRAPHIC:SHORT PANTS</t>
  </si>
  <si>
    <t>SHORT PANTS SPORT 10 KIDEWSPRT2B:CLASSIC RED:7-8:GRAPHIC:SHORT PANTS</t>
  </si>
  <si>
    <t>SHORT PANTS RISE ABOVE KIDEWSPRT1B:BLACK:5-6:GRAPHIC:SHORT PANTS</t>
  </si>
  <si>
    <t>SHORT PANTS RISE ABOVE KIDEWSPRT1B:BLACK:11-12:GRAPHIC:SHORT PANTS</t>
  </si>
  <si>
    <t>SHORT PANTS SPORT 10 KIDEWSPRT2B:CLASSIC RED:5-6:GRAPHIC:SHORT PANTS</t>
  </si>
  <si>
    <t>SHORT PANTS GAME 33 KIDEWSPRT3B:CLASSIC GREEN:5-6:GRAPHIC:SHORT PANTS</t>
  </si>
  <si>
    <t>SHORT PANTS GAME 33 KIDEWSPRT3B:CLASSIC GREEN:7-8:GRAPHIC:SHORT PANTS</t>
  </si>
  <si>
    <t>SHORT PANTS GAME 33 KIDEWSPRT3B:CLASSIC GREEN:11-12:GRAPHIC:SHORT PANTS</t>
  </si>
  <si>
    <t>KIPSWRD01</t>
  </si>
  <si>
    <t>SHORT PANTS NEW YORK KIPSWRD01:NAVY BLUE:5-6:GRAPHIC:SHORT PANTS</t>
  </si>
  <si>
    <t>SHORT PANTS NEW YORK KIPSWRD01:NAVY BLUE:7-8:GRAPHIC:SHORT PANTS</t>
  </si>
  <si>
    <t>SHORT PANTS NEW YORK KIPSWRD01:NAVY BLUE:9-10:GRAPHIC:SHORT PANTS</t>
  </si>
  <si>
    <t>SHORT PANTS NEW YORK KIPSWRD01:NAVY BLUE:11-12:GRAPHIC:SHORT PANTS</t>
  </si>
  <si>
    <t>KIPSWRD02</t>
  </si>
  <si>
    <t>SHORT PANTS AWESOME COOL KIPSWRD02:MUSTARD:5-6:GRAPHIC:SHORT PANTS</t>
  </si>
  <si>
    <t>SHORT PANTS AWESOME COOL KIPSWRD02:MUSTARD:7-8:GRAPHIC:SHORT PANTS</t>
  </si>
  <si>
    <t>SHORT PANTS AWESOME COOL KIPSWRD02:MUSTARD:9-10:GRAPHIC:SHORT PANTS</t>
  </si>
  <si>
    <t>SHORT PANTS AWESOME COOL KIPSWRD02:MUSTARD:11-12:GRAPHIC:SHORT PANTS</t>
  </si>
  <si>
    <t>KIPSWRD03</t>
  </si>
  <si>
    <t>SHORT PANTS R ROAR KIPSWRD03:OLIVE:5-6:GRAPHIC:SHORT PANTS</t>
  </si>
  <si>
    <t>SHORT PANTS R ROAR KIPSWRD03:OLIVE:7-8:GRAPHIC:SHORT PANTS</t>
  </si>
  <si>
    <t>SHORT PANTS R ROAR KIPSWRD03:OLIVE:9-10:GRAPHIC:SHORT PANTS</t>
  </si>
  <si>
    <t>SHORT PANTS R ROAR KIPSWRD03:OLIVE:11-12:GRAPHIC:SHORT PANTS</t>
  </si>
  <si>
    <t>PHADVENSHT</t>
  </si>
  <si>
    <t>SHORT PANTS TERRY START ADVENTURE PHADVENSHT:MISTY MEDIUM GREY:5-6:GRAPHIC:SHORT PANTS</t>
  </si>
  <si>
    <t>SHORT PANTS TERRY START ADVENTURE PHADVENSHT:MISTY MEDIUM GREY:7-8:GRAPHIC:SHORT PANTS</t>
  </si>
  <si>
    <t>SHORT PANTS TERRY START ADVENTURE PHADVENSHT:MISTY MEDIUM GREY:9-10:GRAPHIC:SHORT PANTS</t>
  </si>
  <si>
    <t>SHORT PANTS TERRY START ADVENTURE PHADVENSHT:MISTY MEDIUM GREY:11-12:GRAPHIC:SHORT PANTS</t>
  </si>
  <si>
    <t>PSOLYM04SHT</t>
  </si>
  <si>
    <t>SHORT PANTS JERSEY SOCCER PSOLYM04SHT:NAVY BLUE:7-8:GRAPHIC:SHORT PANTS</t>
  </si>
  <si>
    <t>SHORT PANTS JERSEY SOCCER PSOLYM04SHT:NAVY BLUE:9-10:GRAPHIC:SHORT PANTS</t>
  </si>
  <si>
    <t>SHORT PANTS JERSEY SOCCER PSOLYM04SHT:NAVY BLUE:11-12:GRAPHIC:SHORT PANTS</t>
  </si>
  <si>
    <t>SHORT PANTS JERSEY SOCCER PSOLYM04SHT:NAVY BLUE:5-6:GRAPHIC:SHORT PANTS</t>
  </si>
  <si>
    <t>KIPSSPEED</t>
  </si>
  <si>
    <t>SHORT PANTS JERSEY SPEED KIPSSPEED:MISTY MEDIUM GREY:5-6:GRAPHIC:SHORT PANTS</t>
  </si>
  <si>
    <t>SHORT PANTS JERSEY SPEED KIPSSPEED:MISTY MEDIUM GREY:7-8:GRAPHIC:SHORT PANTS</t>
  </si>
  <si>
    <t>SHORT PANTS JERSEY SPEED KIPSSPEED:MISTY MEDIUM GREY:9-10:GRAPHIC:SHORT PANTS</t>
  </si>
  <si>
    <t>SHORT PANTS JERSEY SPEED KIPSSPEED:MISTY MEDIUM GREY:11-12:GRAPHIC:SHORT PANTS</t>
  </si>
  <si>
    <t>KIPSBRAVE</t>
  </si>
  <si>
    <t>SHORT PANTS JERSEY BRAVE KIPSBRAVE:BLACK:5-6:GRAPHIC:SHORT PANTS</t>
  </si>
  <si>
    <t>SHORT PANTS JERSEY BRAVE KIPSBRAVE:BLACK:7-8:GRAPHIC:SHORT PANTS</t>
  </si>
  <si>
    <t>SHORT PANTS JERSEY BRAVE KIPSBRAVE:BLACK:9-10:GRAPHIC:SHORT PANTS</t>
  </si>
  <si>
    <t>SHORT PANTS JERSEY BRAVE KIPSBRAVE:BLACK:11-12:GRAPHIC:SHORT PANTS</t>
  </si>
  <si>
    <t>PHBTM3SHT</t>
  </si>
  <si>
    <t>SHORT PANTS TERRY SUPER SPEED PHBTM3SHT:MISTY MEDIUM GREY:5-6:GRAPHIC:SHORT PANTS</t>
  </si>
  <si>
    <t>SHORT PANTS TERRY SUPER SPEED PHBTM3SHT:MISTY MEDIUM GREY:7-8:GRAPHIC:SHORT PANTS</t>
  </si>
  <si>
    <t>SHORT PANTS TERRY SUPER SPEED PHBTM3SHT:MISTY MEDIUM GREY:9-10:GRAPHIC:SHORT PANTS</t>
  </si>
  <si>
    <t>SHORT PANTS TERRY SUPER SPEED PHBTM3SHT:MISTY MEDIUM GREY:11-12:GRAPHIC:SHORT PANTS</t>
  </si>
  <si>
    <t>PSCARGO01</t>
  </si>
  <si>
    <t>SHORT PANTS CARGO KANTONG 2 PSCARGO01:VANILLA:5-6:SOLID:SHORT PANTS</t>
  </si>
  <si>
    <t>SHORT PANTS CARGO KANTONG 2 PSCARGO01:VANILLA:7-8:SOLID:SHORT PANTS</t>
  </si>
  <si>
    <t>SHORT PANTS CARGO KANTONG 2 PSCARGO01:VANILLA:9-10:SOLID:SHORT PANTS</t>
  </si>
  <si>
    <t>SHORT PANTS CARGO KANTONG 2 PSCARGO01:VANILLA:11-12:SOLID:SHORT PANTS</t>
  </si>
  <si>
    <t>PSCARGO02</t>
  </si>
  <si>
    <t>SHORT PANTS CARGO KANTONG 2 PSCARGO02:PASTEL GREEN:5-6:SOLID:SHORT PANTS</t>
  </si>
  <si>
    <t>SHORT PANTS CARGO KANTONG 2 PSCARGO02:PASTEL GREEN:7-8:SOLID:SHORT PANTS</t>
  </si>
  <si>
    <t>SHORT PANTS CARGO KANTONG 2 PSCARGO02:PASTEL GREEN:9-10:SOLID:SHORT PANTS</t>
  </si>
  <si>
    <t>SHORT PANTS CARGO KANTONG 2 PSCARGO02:PASTEL GREEN:11-12:SOLID:SHORT PANTS</t>
  </si>
  <si>
    <t>PSCARGO03</t>
  </si>
  <si>
    <t>SHORT PANTS CARGO KANTONG 3D PSCARGO03:CHARCOAL:5-6:SOLID:SHORT PANTS</t>
  </si>
  <si>
    <t>SHORT PANTS CARGO KANTONG 3D PSCARGO03:CHARCOAL:7-8:SOLID:SHORT PANTS</t>
  </si>
  <si>
    <t>SHORT PANTS CARGO KANTONG 3D PSCARGO03:CHARCOAL:9-10:SOLID:SHORT PANTS</t>
  </si>
  <si>
    <t>SHORT PANTS CARGO KANTONG 3D PSCARGO03:CHARCOAL:11-12:SOLID:SHORT PANTS</t>
  </si>
  <si>
    <t>KIDEWDUD2B</t>
  </si>
  <si>
    <t>SHORT PANTS SHINJUKU KIDEWDUD2B:MUSTARD:5-6:GRAPHIC:SHORT PANTS</t>
  </si>
  <si>
    <t>SHORT PANTS SHINJUKU KIDEWDUD2B:MUSTARD:7-8:GRAPHIC:SHORT PANTS</t>
  </si>
  <si>
    <t>SHORT PANTS SHINJUKU KIDEWDUD2B:MUSTARD:9-10:GRAPHIC:SHORT PANTS</t>
  </si>
  <si>
    <t>SHORT PANTS SHINJUKU KIDEWDUD2B:MUSTARD:11-12:GRAPHIC:SHORT PANTS</t>
  </si>
  <si>
    <t>KIDEWDUD3B</t>
  </si>
  <si>
    <t>SHORT PANTS MONSTER TRUCK KIDEWDUD3B:PASTEL BLUE:5-6:GRAPHIC:SHORT PANTS</t>
  </si>
  <si>
    <t>SHORT PANTS MONSTER TRUCK KIDEWDUD3B:PASTEL BLUE:7-8:GRAPHIC:SHORT PANTS</t>
  </si>
  <si>
    <t>SHORT PANTS MONSTER TRUCK KIDEWDUD3B:PASTEL BLUE:9-10:GRAPHIC:SHORT PANTS</t>
  </si>
  <si>
    <t>SHORT PANTS MONSTER TRUCK KIDEWDUD3B:PASTEL BLUE:11-12:GRAPHIC:SHORT PANTS</t>
  </si>
  <si>
    <t>KIDEWDUD5B</t>
  </si>
  <si>
    <t>SHORT PANTS JUST BOY LOVES DINO KIDEWDUD5B:CHARCOAL:5-6:GRAPHIC:SHORT PANTS</t>
  </si>
  <si>
    <t>SHORT PANTS JUST BOY LOVES DINO KIDEWDUD5B:CHARCOAL:7-8:GRAPHIC:SHORT PANTS</t>
  </si>
  <si>
    <t>SHORT PANTS JUST BOY LOVES DINO KIDEWDUD5B:CHARCOAL:9-10:GRAPHIC:SHORT PANTS</t>
  </si>
  <si>
    <t>SHORT PANTS JUST BOY LOVES DINO KIDEWDUD5B:CHARCOAL:11-12:GRAPHIC:SHORT PANTS</t>
  </si>
  <si>
    <t>KIPHANM01</t>
  </si>
  <si>
    <t>SS T-SHIRT WALK ON THE WILD SIDE KIPHANM01:OFF WHITE:5-6:GRAPHIC:SS T-SHIRT</t>
  </si>
  <si>
    <t>SS T-SHIRT WALK ON THE WILD SIDE KIPHANM01:OFF WHITE:7-8:GRAPHIC:SS T-SHIRT</t>
  </si>
  <si>
    <t>SS T-SHIRT WALK ON THE WILD SIDE KIPHANM01:OFF WHITE:9-10:GRAPHIC:SS T-SHIRT</t>
  </si>
  <si>
    <t>SS T-SHIRT WALK ON THE WILD SIDE KIPHANM01:OFF WHITE:11-12:GRAPHIC:SS T-SHIRT</t>
  </si>
  <si>
    <t>KIPHANM02</t>
  </si>
  <si>
    <t>SS T-SHIRT DINO AND TRUCK KIPHANM02:MUSTARD:5-6:GRAPHIC:SS T-SHIRT</t>
  </si>
  <si>
    <t>SS T-SHIRT DINO AND TRUCK KIPHANM02:MUSTARD:7-8:GRAPHIC:SS T-SHIRT</t>
  </si>
  <si>
    <t>SS T-SHIRT DINO AND TRUCK KIPHANM02:MUSTARD:9-10:GRAPHIC:SS T-SHIRT</t>
  </si>
  <si>
    <t>SS T-SHIRT DINO AND TRUCK KIPHANM02:MUSTARD:11-12:GRAPHIC:SS T-SHIRT</t>
  </si>
  <si>
    <t>KIPHANM03</t>
  </si>
  <si>
    <t>SS T-SHIRT YEAH CHECK IT OUT KIPHANM03:OLIVE:5-6:GRAPHIC:SS T-SHIRT</t>
  </si>
  <si>
    <t>SS T-SHIRT YEAH CHECK IT OUT KIPHANM03:OLIVE:7-8:GRAPHIC:SS T-SHIRT</t>
  </si>
  <si>
    <t>SS T-SHIRT YEAH CHECK IT OUT KIPHANM03:OLIVE:9-10:GRAPHIC:SS T-SHIRT</t>
  </si>
  <si>
    <t>SS T-SHIRT YEAH CHECK IT OUT KIPHANM03:OLIVE:11-12:GRAPHIC:SS T-SHIRT</t>
  </si>
  <si>
    <t>KIPHANM04</t>
  </si>
  <si>
    <t>SS T-SHIRT BRAVE TIGER KIPHANM04:GOLDEN BROWN:5-6:GRAPHIC:SS T-SHIRT</t>
  </si>
  <si>
    <t>SS T-SHIRT BRAVE TIGER KIPHANM04:GOLDEN BROWN:7-8:GRAPHIC:SS T-SHIRT</t>
  </si>
  <si>
    <t>SS T-SHIRT BRAVE TIGER KIPHANM04:GOLDEN BROWN:9-10:GRAPHIC:SS T-SHIRT</t>
  </si>
  <si>
    <t>SS T-SHIRT BRAVE TIGER KIPHANM04:GOLDEN BROWN:11-12:GRAPHIC:SS T-SHIRT</t>
  </si>
  <si>
    <t>KIPHANM05</t>
  </si>
  <si>
    <t>SS T-SHIRT ROAR TOKYO KIPHANM05:CLASSIC RED:5-6:GRAPHIC:SS T-SHIRT</t>
  </si>
  <si>
    <t>SS T-SHIRT ROAR TOKYO KIPHANM05:CLASSIC RED:7-8:GRAPHIC:SS T-SHIRT</t>
  </si>
  <si>
    <t>SS T-SHIRT ROAR TOKYO KIPHANM05:CLASSIC RED:9-10:GRAPHIC:SS T-SHIRT</t>
  </si>
  <si>
    <t>SS T-SHIRT ROAR TOKYO KIPHANM05:CLASSIC RED:11-12:GRAPHIC:SS T-SHIRT</t>
  </si>
  <si>
    <t>KIPHCITY1</t>
  </si>
  <si>
    <t>SS T-SHIRT COLORADO ADVENTURE KIPHCITY1:OFF WHITE:5-6:GRAPHIC:SS T-SHIRT</t>
  </si>
  <si>
    <t>SS T-SHIRT COLORADO ADVENTURE KIPHCITY1:OFF WHITE:7-8:GRAPHIC:SS T-SHIRT</t>
  </si>
  <si>
    <t>SS T-SHIRT COLORADO ADVENTURE KIPHCITY1:OFF WHITE:9-10:GRAPHIC:SS T-SHIRT</t>
  </si>
  <si>
    <t>SS T-SHIRT COLORADO ADVENTURE KIPHCITY1:OFF WHITE:11-12:GRAPHIC:SS T-SHIRT</t>
  </si>
  <si>
    <t>KIPHCITY2</t>
  </si>
  <si>
    <t>SS T-SHIRT EXPLORE THE CITY KIPHCITY2:PASTEL BLUE:5-6:GRAPHIC:SS T-SHIRT</t>
  </si>
  <si>
    <t>SS T-SHIRT EXPLORE THE CITY KIPHCITY2:PASTEL BLUE:7-8:GRAPHIC:SS T-SHIRT</t>
  </si>
  <si>
    <t>SS T-SHIRT EXPLORE THE CITY KIPHCITY2:PASTEL BLUE:9-10:GRAPHIC:SS T-SHIRT</t>
  </si>
  <si>
    <t>SS T-SHIRT EXPLORE THE CITY KIPHCITY2:PASTEL BLUE:11-12:GRAPHIC:SS T-SHIRT</t>
  </si>
  <si>
    <t>KIPHCITY3</t>
  </si>
  <si>
    <t>SS T-SHIRT STREET LEGEND KIPHCITY3:NAVY BLUE:5-6:GRAPHIC:SS T-SHIRT</t>
  </si>
  <si>
    <t>SS T-SHIRT STREET LEGEND KIPHCITY3:NAVY BLUE:7-8:GRAPHIC:SS T-SHIRT</t>
  </si>
  <si>
    <t>SS T-SHIRT STREET LEGEND KIPHCITY3:NAVY BLUE:9-10:GRAPHIC:SS T-SHIRT</t>
  </si>
  <si>
    <t>SS T-SHIRT STREET LEGEND KIPHCITY3:NAVY BLUE:11-12:GRAPHIC:SS T-SHIRT</t>
  </si>
  <si>
    <t>KIDEWBB5TS</t>
  </si>
  <si>
    <t>SS T-SHIRT UPGRADE LEVEL KIDEWBB5TS:MISTY MEDIUM GREEN:5-6:GRAPHIC:SS T-SHIRT</t>
  </si>
  <si>
    <t>SS T-SHIRT UPGRADE LEVEL KIDEWBB5TS:MISTY MEDIUM GREEN:7-8:GRAPHIC:SS T-SHIRT</t>
  </si>
  <si>
    <t>SS T-SHIRT UPGRADE LEVEL KIDEWBB5TS:MISTY MEDIUM GREEN:9-10:GRAPHIC:SS T-SHIRT</t>
  </si>
  <si>
    <t>SS T-SHIRT UPGRADE LEVEL KIDEWBB5TS:MISTY MEDIUM GREEN:11-12:GRAPHIC:SS T-SHIRT</t>
  </si>
  <si>
    <t>KIDEWBB4TS</t>
  </si>
  <si>
    <t>SS T-SHIRT GAME KIDEWBB4TS:MISTY MEDIUM GREY:5-6:GRAPHIC:SS T-SHIRT</t>
  </si>
  <si>
    <t>SS T-SHIRT GAME KIDEWBB4TS:MISTY MEDIUM GREY:7-8:GRAPHIC:SS T-SHIRT</t>
  </si>
  <si>
    <t>SS T-SHIRT GAME KIDEWBB4TS:MISTY MEDIUM GREY:9-10:GRAPHIC:SS T-SHIRT</t>
  </si>
  <si>
    <t>SS T-SHIRT GAME KIDEWBB4TS:MISTY MEDIUM GREY:11-12:GRAPHIC:SS T-SHIRT</t>
  </si>
  <si>
    <t>KIPSBOS1SS</t>
  </si>
  <si>
    <t>SS T-SHIRT GALAXY EXPLORER KIPSBOS1SS:MISTY MEDIUM GREY:9-10:GRAPHIC:SS T-SHIRT</t>
  </si>
  <si>
    <t>KIPSJN01</t>
  </si>
  <si>
    <t>SS T-SHIRT RACING SPEED KIPSJN01:CLASSIC YELLOW:9-10:GRAPHIC:SS T-SHIRT</t>
  </si>
  <si>
    <t>SS T-SHIRT RACING SPEED KIPSJN01:CLASSIC YELLOW:5-6:GRAPHIC:SS T-SHIRT</t>
  </si>
  <si>
    <t>SS T-SHIRT RACING SPEED KIPSJN01:CLASSIC YELLOW:7-8:GRAPHIC:SS T-SHIRT</t>
  </si>
  <si>
    <t>SS T-SHIRT RACING SPEED KIPSJN01:CLASSIC YELLOW:11-12:GRAPHIC:SS T-SHIRT</t>
  </si>
  <si>
    <t>KIPSJN02</t>
  </si>
  <si>
    <t>SS T-SHIRT RACING 7 KIPSJN02:MISTY MEDIUM GREY:5-6:GRAPHIC:SS T-SHIRT</t>
  </si>
  <si>
    <t>SS T-SHIRT RACING 7 KIPSJN02:MISTY MEDIUM GREY:7-8:GRAPHIC:SS T-SHIRT</t>
  </si>
  <si>
    <t>SS T-SHIRT RACING 7 KIPSJN02:MISTY MEDIUM GREY:9-10:GRAPHIC:SS T-SHIRT</t>
  </si>
  <si>
    <t>SS T-SHIRT RACING 7 KIPSJN02:MISTY MEDIUM GREY:11-12:GRAPHIC:SS T-SHIRT</t>
  </si>
  <si>
    <t>KIPSJN03</t>
  </si>
  <si>
    <t>SS T-SHIRT AEROPLANE TOO FAST KIPSJN03:INDIGO BLUE:5-6:GRAPHIC:SS T-SHIRT</t>
  </si>
  <si>
    <t>SS T-SHIRT AEROPLANE TOO FAST KIPSJN03:INDIGO BLUE:7-8:GRAPHIC:SS T-SHIRT</t>
  </si>
  <si>
    <t>SS T-SHIRT AEROPLANE TOO FAST KIPSJN03:INDIGO BLUE:9-10:GRAPHIC:SS T-SHIRT</t>
  </si>
  <si>
    <t>SS T-SHIRT AEROPLANE TOO FAST KIPSJN03:INDIGO BLUE:11-12:GRAPHIC:SS T-SHIRT</t>
  </si>
  <si>
    <t>KIPSJN04</t>
  </si>
  <si>
    <t>SS T-SHIRT DINO ROBOTIC KIPSJN04:PEPPERMINT:5-6:GRAPHIC:SS T-SHIRT</t>
  </si>
  <si>
    <t>SS T-SHIRT DINO ROBOTIC KIPSJN04:PEPPERMINT:7-8:GRAPHIC:SS T-SHIRT</t>
  </si>
  <si>
    <t>SS T-SHIRT DINO ROBOTIC KIPSJN04:PEPPERMINT:9-10:GRAPHIC:SS T-SHIRT</t>
  </si>
  <si>
    <t>SS T-SHIRT DINO ROBOTIC KIPSJN04:PEPPERMINT:11-12:GRAPHIC:SS T-SHIRT</t>
  </si>
  <si>
    <t>KIPSJN05</t>
  </si>
  <si>
    <t>SS T-SHIRT OUT OF THIS WORLD KIPSJN05:CHARCOAL:5-6:GRAPHIC:SS T-SHIRT</t>
  </si>
  <si>
    <t>SS T-SHIRT OUT OF THIS WORLD KIPSJN05:CHARCOAL:7-8:GRAPHIC:SS T-SHIRT</t>
  </si>
  <si>
    <t>SS T-SHIRT OUT OF THIS WORLD KIPSJN05:CHARCOAL:9-10:GRAPHIC:SS T-SHIRT</t>
  </si>
  <si>
    <t>SS T-SHIRT OUT OF THIS WORLD KIPSJN05:CHARCOAL:11-12:GRAPHIC:SS T-SHIRT</t>
  </si>
  <si>
    <t>KIPSGFF01</t>
  </si>
  <si>
    <t>SS T-SHIRT GRAFF. WHATEVER KIPSGFF01:MISTY LIGHT BLUE:5-6:GRAPHIC:SS T-SHIRT</t>
  </si>
  <si>
    <t>SS T-SHIRT GRAFF. WHATEVER KIPSGFF01:MISTY LIGHT BLUE:7-8:GRAPHIC:SS T-SHIRT</t>
  </si>
  <si>
    <t>SS T-SHIRT GRAFF. WHATEVER KIPSGFF01:MISTY LIGHT BLUE:9-10:GRAPHIC:SS T-SHIRT</t>
  </si>
  <si>
    <t>SS T-SHIRT GRAFF. WHATEVER KIPSGFF01:MISTY LIGHT BLUE:11-12:GRAPHIC:SS T-SHIRT</t>
  </si>
  <si>
    <t>KIPSGFF02</t>
  </si>
  <si>
    <t>SS T-SHIRT GRAFF. GAME KIPSGFF02:CLASSIC RED:5-6:GRAPHIC:SS T-SHIRT</t>
  </si>
  <si>
    <t>SS T-SHIRT GRAFF. GAME KIPSGFF02:CLASSIC RED:7-8:GRAPHIC:SS T-SHIRT</t>
  </si>
  <si>
    <t>SS T-SHIRT GRAFF. GAME KIPSGFF02:CLASSIC RED:9-10:GRAPHIC:SS T-SHIRT</t>
  </si>
  <si>
    <t>SS T-SHIRT GRAFF. GAME KIPSGFF02:CLASSIC RED:11-12:GRAPHIC:SS T-SHIRT</t>
  </si>
  <si>
    <t>KIPSGFF03</t>
  </si>
  <si>
    <t>SS T-SHIRT SPACE WARRIOR KIPSGFF03:CLASSIC YELLOW:5-6:GRAPHIC:SS T-SHIRT</t>
  </si>
  <si>
    <t>SS T-SHIRT SPACE WARRIOR KIPSGFF03:CLASSIC YELLOW:7-8:GRAPHIC:SS T-SHIRT</t>
  </si>
  <si>
    <t>SS T-SHIRT SPACE WARRIOR KIPSGFF03:CLASSIC YELLOW:9-10:GRAPHIC:SS T-SHIRT</t>
  </si>
  <si>
    <t>SS T-SHIRT SPACE WARRIOR KIPSGFF03:CLASSIC YELLOW:11-12:GRAPHIC:SS T-SHIRT</t>
  </si>
  <si>
    <t>KIPSGFF04</t>
  </si>
  <si>
    <t>SS T-SHIRT THESE ARE MY WEAPON KIPSGFF04:BLACK:5-6:GRAPHIC:SS T-SHIRT</t>
  </si>
  <si>
    <t>SS T-SHIRT THESE ARE MY WEAPON KIPSGFF04:BLACK:7-8:GRAPHIC:SS T-SHIRT</t>
  </si>
  <si>
    <t>SS T-SHIRT THESE ARE MY WEAPON KIPSGFF04:BLACK:9-10:GRAPHIC:SS T-SHIRT</t>
  </si>
  <si>
    <t>SS T-SHIRT THESE ARE MY WEAPON KIPSGFF04:BLACK:11-12:GRAPHIC:SS T-SHIRT</t>
  </si>
  <si>
    <t>SS T-SHIRT GALAXY EXPLORER KIPSBOS1SS:MISTY MEDIUM GREY:5-6:GRAPHIC:SS T-SHIRT</t>
  </si>
  <si>
    <t>SS T-SHIRT GALAXY EXPLORER KIPSBOS1SS:MISTY MEDIUM GREY:7-8:GRAPHIC:SS T-SHIRT</t>
  </si>
  <si>
    <t>SS T-SHIRT GALAXY EXPLORER KIPSBOS1SS:MISTY MEDIUM GREY:11-12:GRAPHIC:SS T-SHIRT</t>
  </si>
  <si>
    <t>KIPHMMAX2</t>
  </si>
  <si>
    <t>SS T-SHIRT COURAGE KIPHMMAX2:CLASSIC YELLOW:5-6:GRAPHIC:SS T-SHIRT</t>
  </si>
  <si>
    <t>SS T-SHIRT COURAGE KIPHMMAX2:CLASSIC YELLOW:7-8:GRAPHIC:SS T-SHIRT</t>
  </si>
  <si>
    <t>SS T-SHIRT COURAGE KIPHMMAX2:CLASSIC YELLOW:9-10:GRAPHIC:SS T-SHIRT</t>
  </si>
  <si>
    <t>SS T-SHIRT COURAGE KIPHMMAX2:CLASSIC YELLOW:11-12:GRAPHIC:SS T-SHIRT</t>
  </si>
  <si>
    <t>KIPHSS03</t>
  </si>
  <si>
    <t>SS T-SHIRT KEEP IT REAL KIPHSS03:LIGHT BLUE:9-10:GRAPHIC:SS T-SHIRT</t>
  </si>
  <si>
    <t>KIPHSS02</t>
  </si>
  <si>
    <t>SS T-SHIRT FAST TRACK KIPHSS02:PASTEL GREEN:5-6:GRAPHIC:SS T-SHIRT</t>
  </si>
  <si>
    <t>SS T-SHIRT FAST TRACK KIPHSS02:PASTEL GREEN:7-8:GRAPHIC:SS T-SHIRT</t>
  </si>
  <si>
    <t>SS T-SHIRT FAST TRACK KIPHSS02:PASTEL GREEN:9-10:GRAPHIC:SS T-SHIRT</t>
  </si>
  <si>
    <t>SS T-SHIRT FAST TRACK KIPHSS02:PASTEL GREEN:11-12:GRAPHIC:SS T-SHIRT</t>
  </si>
  <si>
    <t>KIPHSS04</t>
  </si>
  <si>
    <t>SS T-SHIRT COOLEST BROTHER EVER KIPHSS04:CHARCOAL:5-6:GRAPHIC:SS T-SHIRT</t>
  </si>
  <si>
    <t>KIPHSS01</t>
  </si>
  <si>
    <t>SS T-SHIRT LEVEL UP KIPHSS01:MUSTARD:5-6:GRAPHIC:SS T-SHIRT</t>
  </si>
  <si>
    <t>SS T-SHIRT LEVEL UP KIPHSS01:MUSTARD:7-8:GRAPHIC:SS T-SHIRT</t>
  </si>
  <si>
    <t>SS T-SHIRT LEVEL UP KIPHSS01:MUSTARD:9-10:GRAPHIC:SS T-SHIRT</t>
  </si>
  <si>
    <t>SS T-SHIRT LEVEL UP KIPHSS01:MUSTARD:11-12:GRAPHIC:SS T-SHIRT</t>
  </si>
  <si>
    <t>SS T-SHIRT KEEP IT REAL KIPHSS03:LIGHT BLUE:5-6:GRAPHIC:SS T-SHIRT</t>
  </si>
  <si>
    <t>SS T-SHIRT KEEP IT REAL KIPHSS03:LIGHT BLUE:7-8:GRAPHIC:SS T-SHIRT</t>
  </si>
  <si>
    <t>SS T-SHIRT KEEP IT REAL KIPHSS03:LIGHT BLUE:11-12:GRAPHIC:SS T-SHIRT</t>
  </si>
  <si>
    <t>SS T-SHIRT COOLEST BROTHER EVER KIPHSS04:CHARCOAL:7-8:GRAPHIC:SS T-SHIRT</t>
  </si>
  <si>
    <t>SS T-SHIRT COOLEST BROTHER EVER KIPHSS04:CHARCOAL:9-10:GRAPHIC:SS T-SHIRT</t>
  </si>
  <si>
    <t>SS T-SHIRT COOLEST BROTHER EVER KIPHSS04:CHARCOAL:11-12:GRAPHIC:SS T-SHIRT</t>
  </si>
  <si>
    <t>KIDEWGM03</t>
  </si>
  <si>
    <t>SS T-SHIRT EVERYDAY IS GAME DAY KIDEWGM03:NAVY BLUE:9-10:GRAPHIC:SS T-SHIRT</t>
  </si>
  <si>
    <t>SS T-SHIRT EVERYDAY IS GAME DAY KIDEWGM03:NAVY BLUE:7-8:GRAPHIC:SS T-SHIRT</t>
  </si>
  <si>
    <t>KIDEWGM02</t>
  </si>
  <si>
    <t>SS T-SHIRT EXP GAMER KIDEWGM02:MANDARIN ORANGE:5-6:GRAPHIC:SS T-SHIRT</t>
  </si>
  <si>
    <t>SS T-SHIRT EXP GAMER KIDEWGM02:MANDARIN ORANGE:9-10:GRAPHIC:SS T-SHIRT</t>
  </si>
  <si>
    <t>SS T-SHIRT EXP GAMER KIDEWGM02:MANDARIN ORANGE:11-12:GRAPHIC:SS T-SHIRT</t>
  </si>
  <si>
    <t>KIDEWBB3TS</t>
  </si>
  <si>
    <t>SS T-SHIRT SURF DAY KIDEWBB3TS:MISTY MEDIUM BLUE:7-8:GRAPHIC:SS T-SHIRT</t>
  </si>
  <si>
    <t>KIDEWSPRT2</t>
  </si>
  <si>
    <t>SS T-SHIRT SPORT 10 KIDEWSPRT2:CLASSIC RED:9-10:GRAPHIC:SS T-SHIRT</t>
  </si>
  <si>
    <t>KIDEWSPRT1</t>
  </si>
  <si>
    <t>SS T-SHIRT RISE ABOVE KIDEWSPRT1:BLACK:9-10:GRAPHIC:SS T-SHIRT</t>
  </si>
  <si>
    <t>KIDEWGM01</t>
  </si>
  <si>
    <t>SS T-SHIRT SUPER GAMER KIDEWGM01:PASTEL GREEN:5-6:GRAPHIC:SS T-SHIRT</t>
  </si>
  <si>
    <t>SS T-SHIRT SUPER GAMER KIDEWGM01:PASTEL GREEN:7-8:GRAPHIC:SS T-SHIRT</t>
  </si>
  <si>
    <t>SS T-SHIRT SUPER GAMER KIDEWGM01:PASTEL GREEN:9-10:GRAPHIC:SS T-SHIRT</t>
  </si>
  <si>
    <t>SS T-SHIRT SUPER GAMER KIDEWGM01:PASTEL GREEN:11-12:GRAPHIC:SS T-SHIRT</t>
  </si>
  <si>
    <t>SS T-SHIRT EXP GAMER KIDEWGM02:MANDARIN ORANGE:7-8:GRAPHIC:SS T-SHIRT</t>
  </si>
  <si>
    <t>SS T-SHIRT EVERYDAY IS GAME DAY KIDEWGM03:NAVY BLUE:5-6:GRAPHIC:SS T-SHIRT</t>
  </si>
  <si>
    <t>SS T-SHIRT EVERYDAY IS GAME DAY KIDEWGM03:NAVY BLUE:11-12:GRAPHIC:SS T-SHIRT</t>
  </si>
  <si>
    <t>KIDEWBB2TS</t>
  </si>
  <si>
    <t>SS T-SHIRTWILDLIFE CROCODILE KIDEWBB2TS:MISTY DARK GREY:5-6:GRAPHIC:SS T-SHIRT</t>
  </si>
  <si>
    <t>SS T-SHIRTWILDLIFE CROCODILE KIDEWBB2TS:MISTY DARK GREY:7-8:GRAPHIC:SS T-SHIRT</t>
  </si>
  <si>
    <t>SS T-SHIRTWILDLIFE CROCODILE KIDEWBB2TS:MISTY DARK GREY:9-10:GRAPHIC:SS T-SHIRT</t>
  </si>
  <si>
    <t>SS T-SHIRTWILDLIFE CROCODILE KIDEWBB2TS:MISTY DARK GREY:11-12:GRAPHIC:SS T-SHIRT</t>
  </si>
  <si>
    <t>SS T-SHIRT SURF DAY KIDEWBB3TS:MISTY MEDIUM BLUE:5-6:GRAPHIC:SS T-SHIRT</t>
  </si>
  <si>
    <t>SS T-SHIRT SURF DAY KIDEWBB3TS:MISTY MEDIUM BLUE:9-10:GRAPHIC:SS T-SHIRT</t>
  </si>
  <si>
    <t>SS T-SHIRT SURF DAY KIDEWBB3TS:MISTY MEDIUM BLUE:11-12:GRAPHIC:SS T-SHIRT</t>
  </si>
  <si>
    <t>SS T-SHIRT RISE ABOVE KIDEWSPRT1:BLACK:5-6:GRAPHIC:SS T-SHIRT</t>
  </si>
  <si>
    <t>SS T-SHIRT RISE ABOVE KIDEWSPRT1:BLACK:7-8:GRAPHIC:SS T-SHIRT</t>
  </si>
  <si>
    <t>SS T-SHIRT RISE ABOVE KIDEWSPRT1:BLACK:11-12:GRAPHIC:SS T-SHIRT</t>
  </si>
  <si>
    <t>SS T-SHIRT SPORT 10 KIDEWSPRT2:CLASSIC RED:5-6:GRAPHIC:SS T-SHIRT</t>
  </si>
  <si>
    <t>SS T-SHIRT SPORT 10 KIDEWSPRT2:CLASSIC RED:7-8:GRAPHIC:SS T-SHIRT</t>
  </si>
  <si>
    <t>SS T-SHIRT SPORT 10 KIDEWSPRT2:CLASSIC RED:11-12:GRAPHIC:SS T-SHIRT</t>
  </si>
  <si>
    <t>KIDEWSPRT3</t>
  </si>
  <si>
    <t>SS T-SHIRT GAME 33 KIDEWSPRT3:CLASSIC GREEN:5-6:GRAPHIC:SS T-SHIRT</t>
  </si>
  <si>
    <t>SS T-SHIRT GAME 33 KIDEWSPRT3:CLASSIC GREEN:7-8:GRAPHIC:SS T-SHIRT</t>
  </si>
  <si>
    <t>SS T-SHIRT GAME 33 KIDEWSPRT3:CLASSIC GREEN:9-10:GRAPHIC:SS T-SHIRT</t>
  </si>
  <si>
    <t>SS T-SHIRT GAME 33 KIDEWSPRT3:CLASSIC GREEN:11-12:GRAPHIC:SS T-SHIRT</t>
  </si>
  <si>
    <t>KIDEWSPRT4</t>
  </si>
  <si>
    <t>SS T-SHIRT GOAL TIME KIDEWSPRT4:WHITE:5-6:GRAPHIC:SS T-SHIRT</t>
  </si>
  <si>
    <t>SS T-SHIRT GOAL TIME KIDEWSPRT4:WHITE:7-8:GRAPHIC:SS T-SHIRT</t>
  </si>
  <si>
    <t>SS T-SHIRT GOAL TIME KIDEWSPRT4:WHITE:9-10:GRAPHIC:SS T-SHIRT</t>
  </si>
  <si>
    <t>SS T-SHIRT GOAL TIME KIDEWSPRT4:WHITE:11-12:GRAPHIC:SS T-SHIRT</t>
  </si>
  <si>
    <t>KIPSKTG03</t>
  </si>
  <si>
    <t>SS T-SHIRT ITS OK SMP KIRI KIPSKTG03:MUSTARD:11-12:GRAPHIC:SS T-SHIRT</t>
  </si>
  <si>
    <t>KIPSKTG01</t>
  </si>
  <si>
    <t>SS T-SHIRT DINO SBL SMP KIRI KIPSKTG01:OFF WHITE:11-12:GRAPHIC:SS T-SHIRT</t>
  </si>
  <si>
    <t>KIPSKTG04</t>
  </si>
  <si>
    <t>SS T-SHIRT PLAY SMP KIRI KIPSKTG04:OLIVE:9-10:GRAPHIC:SS T-SHIRT</t>
  </si>
  <si>
    <t>SS T-SHIRT PLAY SMP KIRI KIPSKTG04:OLIVE:11-12:GRAPHIC:SS T-SHIRT</t>
  </si>
  <si>
    <t>SS T-SHIRT DINO SBL SMP KIRI KIPSKTG01:OFF WHITE:5-6:GRAPHIC:SS T-SHIRT</t>
  </si>
  <si>
    <t>SS T-SHIRT DINO SBL SMP KIRI KIPSKTG01:OFF WHITE:7-8:GRAPHIC:SS T-SHIRT</t>
  </si>
  <si>
    <t>SS T-SHIRT DINO SBL SMP KIRI KIPSKTG01:OFF WHITE:9-10:GRAPHIC:SS T-SHIRT</t>
  </si>
  <si>
    <t>KIPSKTG02</t>
  </si>
  <si>
    <t>SS T-SHIRT PINEAPPLE SMP KIRI KIPSKTG02:PASTEL GREEN:5-6:GRAPHIC:SS T-SHIRT</t>
  </si>
  <si>
    <t>SS T-SHIRT PINEAPPLE SMP KIRI KIPSKTG02:PASTEL GREEN:7-8:GRAPHIC:SS T-SHIRT</t>
  </si>
  <si>
    <t>SS T-SHIRT PINEAPPLE SMP KIRI KIPSKTG02:PASTEL GREEN:9-10:GRAPHIC:SS T-SHIRT</t>
  </si>
  <si>
    <t>SS T-SHIRT PINEAPPLE SMP KIRI KIPSKTG02:PASTEL GREEN:11-12:GRAPHIC:SS T-SHIRT</t>
  </si>
  <si>
    <t>SS T-SHIRT ITS OK SMP KIRI KIPSKTG03:MUSTARD:5-6:GRAPHIC:SS T-SHIRT</t>
  </si>
  <si>
    <t>SS T-SHIRT ITS OK SMP KIRI KIPSKTG03:MUSTARD:7-8:GRAPHIC:SS T-SHIRT</t>
  </si>
  <si>
    <t>SS T-SHIRT ITS OK SMP KIRI KIPSKTG03:MUSTARD:9-10:GRAPHIC:SS T-SHIRT</t>
  </si>
  <si>
    <t>SS T-SHIRT PLAY SMP KIRI KIPSKTG04:OLIVE:5-6:GRAPHIC:SS T-SHIRT</t>
  </si>
  <si>
    <t>SS T-SHIRT PLAY SMP KIRI KIPSKTG04:OLIVE:7-8:GRAPHIC:SS T-SHIRT</t>
  </si>
  <si>
    <t>KIDEWBB1TS</t>
  </si>
  <si>
    <t>SS T-SHIRT WATCH OUT CREATURES KIDEWBB1TS:MISTY MEDIUM YELLOW:5-6:GRAPHIC:SS T-SHIRT</t>
  </si>
  <si>
    <t>SS T-SHIRT WATCH OUT CREATURES KIDEWBB1TS:MISTY MEDIUM YELLOW:7-8:GRAPHIC:SS T-SHIRT</t>
  </si>
  <si>
    <t>SS T-SHIRT WATCH OUT CREATURES KIDEWBB1TS:MISTY MEDIUM YELLOW:9-10:GRAPHIC:SS T-SHIRT</t>
  </si>
  <si>
    <t>SS T-SHIRT WATCH OUT CREATURES KIDEWBB1TS:MISTY MEDIUM YELLOW:11-12:GRAPHIC:SS T-SHIRT</t>
  </si>
  <si>
    <t>KIDEWDN3S</t>
  </si>
  <si>
    <t>SS T-SHIRT DINO TASK FORCE KIDEWDN3S:PASTEL BLUE:5-6:GRAPHIC:SS T-SHIRT</t>
  </si>
  <si>
    <t>KIDEWDN2S</t>
  </si>
  <si>
    <t>SS T-SHIRT DINO ROAR KIDEWDN2S:MUSTARD:7-8:GRAPHIC:SS T-SHIRT</t>
  </si>
  <si>
    <t>KIDEWDN1S</t>
  </si>
  <si>
    <t>SS T-SHIRT DINO ADVENTURE KIDEWDN1S:KHAKI:5-6:GRAPHIC:SS T-SHIRT</t>
  </si>
  <si>
    <t>SS T-SHIRT DINO ADVENTURE KIDEWDN1S:KHAKI:7-8:GRAPHIC:SS T-SHIRT</t>
  </si>
  <si>
    <t>SS T-SHIRT DINO ADVENTURE KIDEWDN1S:KHAKI:9-10:GRAPHIC:SS T-SHIRT</t>
  </si>
  <si>
    <t>SS T-SHIRT DINO ADVENTURE KIDEWDN1S:KHAKI:11-12:GRAPHIC:SS T-SHIRT</t>
  </si>
  <si>
    <t>SS T-SHIRT DINO ROAR KIDEWDN2S:MUSTARD:5-6:GRAPHIC:SS T-SHIRT</t>
  </si>
  <si>
    <t>SS T-SHIRT DINO ROAR KIDEWDN2S:MUSTARD:9-10:GRAPHIC:SS T-SHIRT</t>
  </si>
  <si>
    <t>SS T-SHIRT DINO ROAR KIDEWDN2S:MUSTARD:11-12:GRAPHIC:SS T-SHIRT</t>
  </si>
  <si>
    <t>SS T-SHIRT DINO TASK FORCE KIDEWDN3S:PASTEL BLUE:7-8:GRAPHIC:SS T-SHIRT</t>
  </si>
  <si>
    <t>SS T-SHIRT DINO TASK FORCE KIDEWDN3S:PASTEL BLUE:9-10:GRAPHIC:SS T-SHIRT</t>
  </si>
  <si>
    <t>SS T-SHIRT DINO TASK FORCE KIDEWDN3S:PASTEL BLUE:11-12:GRAPHIC:SS T-SHIRT</t>
  </si>
  <si>
    <t>KIDEWDIG1</t>
  </si>
  <si>
    <t>SS T-SHIRT BUILT DIFFERENCE KIDEWDIG1:WHITE:5-6:GRAPHIC:SS T-SHIRT</t>
  </si>
  <si>
    <t>SS T-SHIRT BUILT DIFFERENCE KIDEWDIG1:WHITE:7-8:GRAPHIC:SS T-SHIRT</t>
  </si>
  <si>
    <t>SS T-SHIRT BUILT DIFFERENCE KIDEWDIG1:WHITE:9-10:GRAPHIC:SS T-SHIRT</t>
  </si>
  <si>
    <t>SS T-SHIRT BUILT DIFFERENCE KIDEWDIG1:WHITE:11-12:GRAPHIC:SS T-SHIRT</t>
  </si>
  <si>
    <t>KIDEWDIG2</t>
  </si>
  <si>
    <t>SS T-SHIRT GAME ON KIDEWDIG2:CLASSIC RED:5-6:GRAPHIC:SS T-SHIRT</t>
  </si>
  <si>
    <t>SS T-SHIRT GAME ON KIDEWDIG2:CLASSIC RED:7-8:GRAPHIC:SS T-SHIRT</t>
  </si>
  <si>
    <t>SS T-SHIRT GAME ON KIDEWDIG2:CLASSIC RED:9-10:GRAPHIC:SS T-SHIRT</t>
  </si>
  <si>
    <t>SS T-SHIRT GAME ON KIDEWDIG2:CLASSIC RED:11-12:GRAPHIC:SS T-SHIRT</t>
  </si>
  <si>
    <t>KIDEWDIG3</t>
  </si>
  <si>
    <t>SS T-SHIRT GAME DAY KIDEWDIG3:CLASSIC YELLOW:5-6:GRAPHIC:SS T-SHIRT</t>
  </si>
  <si>
    <t>SS T-SHIRT GAME DAY KIDEWDIG3:CLASSIC YELLOW:7-8:GRAPHIC:SS T-SHIRT</t>
  </si>
  <si>
    <t>SS T-SHIRT GAME DAY KIDEWDIG3:CLASSIC YELLOW:9-10:GRAPHIC:SS T-SHIRT</t>
  </si>
  <si>
    <t>SS T-SHIRT GAME DAY KIDEWDIG3:CLASSIC YELLOW:11-12:GRAPHIC:SS T-SHIRT</t>
  </si>
  <si>
    <t>KIDEWDIG4</t>
  </si>
  <si>
    <t>SS T-SHIRT DIGITAL PLAYER KIDEWDIG4:BLACK:5-6:GRAPHIC:SS T-SHIRT</t>
  </si>
  <si>
    <t>SS T-SHIRT DIGITAL PLAYER KIDEWDIG4:BLACK:7-8:GRAPHIC:SS T-SHIRT</t>
  </si>
  <si>
    <t>SS T-SHIRT DIGITAL PLAYER KIDEWDIG4:BLACK:9-10:GRAPHIC:SS T-SHIRT</t>
  </si>
  <si>
    <t>SS T-SHIRT DIGITAL PLAYER KIDEWDIG4:BLACK:11-12:GRAPHIC:SS T-SHIRT</t>
  </si>
  <si>
    <t>KIPSJRS01</t>
  </si>
  <si>
    <t>SS T-SHIRT JURASSIC GIANTS KIPSJRS01:BLACK:5-6:GRAPHIC:SS T-SHIRT</t>
  </si>
  <si>
    <t>SS T-SHIRT JURASSIC GIANTS KIPSJRS01:BLACK:7-8:GRAPHIC:SS T-SHIRT</t>
  </si>
  <si>
    <t>SS T-SHIRT JURASSIC GIANTS KIPSJRS01:BLACK:9-10:GRAPHIC:SS T-SHIRT</t>
  </si>
  <si>
    <t>SS T-SHIRT JURASSIC GIANTS KIPSJRS01:BLACK:11-12:GRAPHIC:SS T-SHIRT</t>
  </si>
  <si>
    <t>KIPSJRS02</t>
  </si>
  <si>
    <t>SS T-SHIRT DINO BASKET KIPSJRS02:WHITE:5-6:GRAPHIC:SS T-SHIRT</t>
  </si>
  <si>
    <t>SS T-SHIRT DINO BASKET KIPSJRS02:WHITE:7-8:GRAPHIC:SS T-SHIRT</t>
  </si>
  <si>
    <t>SS T-SHIRT DINO BASKET KIPSJRS02:WHITE:9-10:GRAPHIC:SS T-SHIRT</t>
  </si>
  <si>
    <t>SS T-SHIRT DINO BASKET KIPSJRS02:WHITE:11-12:GRAPHIC:SS T-SHIRT</t>
  </si>
  <si>
    <t>KIPSJRS03</t>
  </si>
  <si>
    <t>SS T-SHIRT SHARK RIDE WAVE KIPSJRS03:CLASSIC BLUE:5-6:GRAPHIC:SS T-SHIRT</t>
  </si>
  <si>
    <t>SS T-SHIRT SHARK RIDE WAVE KIPSJRS03:CLASSIC BLUE:7-8:GRAPHIC:SS T-SHIRT</t>
  </si>
  <si>
    <t>SS T-SHIRT SHARK RIDE WAVE KIPSJRS03:CLASSIC BLUE:9-10:GRAPHIC:SS T-SHIRT</t>
  </si>
  <si>
    <t>SS T-SHIRT SHARK RIDE WAVE KIPSJRS03:CLASSIC BLUE:11-12:GRAPHIC:SS T-SHIRT</t>
  </si>
  <si>
    <t>KIPSTC01SS</t>
  </si>
  <si>
    <t>SS T-SHIRT BRAVE KIPSTC01SS:NAVY BLUE:5-6:SOLID:SS T-SHIRT</t>
  </si>
  <si>
    <t>SS T-SHIRT BRAVE KIPSTC01SS:NAVY BLUE:7-8:SOLID:SS T-SHIRT</t>
  </si>
  <si>
    <t>SS T-SHIRT BRAVE KIPSTC01SS:NAVY BLUE:9-10:SOLID:SS T-SHIRT</t>
  </si>
  <si>
    <t>SS T-SHIRT BRAVE KIPSTC01SS:NAVY BLUE:11-12:SOLID:SS T-SHIRT</t>
  </si>
  <si>
    <t>KIPSTC02SS</t>
  </si>
  <si>
    <t>SS T-SHIRT WINNERS KIPSTC02SS:PASTEL BLUE:5-6:SOLID:SS T-SHIRT</t>
  </si>
  <si>
    <t>SS T-SHIRT WINNERS KIPSTC02SS:PASTEL BLUE:7-8:SOLID:SS T-SHIRT</t>
  </si>
  <si>
    <t>SS T-SHIRT WINNERS KIPSTC02SS:PASTEL BLUE:9-10:SOLID:SS T-SHIRT</t>
  </si>
  <si>
    <t>SS T-SHIRT WINNERS KIPSTC02SS:PASTEL BLUE:11-12:SOLID:SS T-SHIRT</t>
  </si>
  <si>
    <t>KIPSTC03SS</t>
  </si>
  <si>
    <t>SS T-SHIRT COOL KIDS KIPSTC03SS:DARK JADE:5-6:SOLID:SS T-SHIRT</t>
  </si>
  <si>
    <t>SS T-SHIRT COOL KIDS KIPSTC03SS:DARK JADE:7-8:SOLID:SS T-SHIRT</t>
  </si>
  <si>
    <t>SS T-SHIRT COOL KIDS KIPSTC03SS:DARK JADE:9-10:SOLID:SS T-SHIRT</t>
  </si>
  <si>
    <t>SS T-SHIRT COOL KIDS KIPSTC03SS:DARK JADE:11-12:SOLID:SS T-SHIRT</t>
  </si>
  <si>
    <t>KIPSTC04SS</t>
  </si>
  <si>
    <t>SS T-SHIRT AWESOME KIPSTC04SS:SUNSHINE YELLOW:5-6:SOLID:SS T-SHIRT</t>
  </si>
  <si>
    <t>SS T-SHIRT AWESOME KIPSTC04SS:SUNSHINE YELLOW:7-8:SOLID:SS T-SHIRT</t>
  </si>
  <si>
    <t>SS T-SHIRT AWESOME KIPSTC04SS:SUNSHINE YELLOW:9-10:SOLID:SS T-SHIRT</t>
  </si>
  <si>
    <t>SS T-SHIRT AWESOME KIPSTC04SS:SUNSHINE YELLOW:11-12:SOLID:SS T-SHIRT</t>
  </si>
  <si>
    <t>KIDEWDUD1</t>
  </si>
  <si>
    <t>SS T-SHIRT COOL DUDE KIDEWDUD1:OFF WHITE:5-6:TEXT:SS T-SHIRT</t>
  </si>
  <si>
    <t>SS T-SHIRT COOL DUDE KIDEWDUD1:OFF WHITE:7-8:TEXT:SS T-SHIRT</t>
  </si>
  <si>
    <t>SS T-SHIRT COOL DUDE KIDEWDUD1:OFF WHITE:9-10:TEXT:SS T-SHIRT</t>
  </si>
  <si>
    <t>SS T-SHIRT COOL DUDE KIDEWDUD1:OFF WHITE:11-12:TEXT:SS T-SHIRT</t>
  </si>
  <si>
    <t>KIDEWDUD2</t>
  </si>
  <si>
    <t>SS T-SHIRT SHINJUKU KIDEWDUD2:MUSTARD:5-6:TEXT:SS T-SHIRT</t>
  </si>
  <si>
    <t>SS T-SHIRT SHINJUKU KIDEWDUD2:MUSTARD:7-8:TEXT:SS T-SHIRT</t>
  </si>
  <si>
    <t>SS T-SHIRT SHINJUKU KIDEWDUD2:MUSTARD:9-10:TEXT:SS T-SHIRT</t>
  </si>
  <si>
    <t>SS T-SHIRT SHINJUKU KIDEWDUD2:MUSTARD:11-12:TEXT:SS T-SHIRT</t>
  </si>
  <si>
    <t>KIDEWDUD3</t>
  </si>
  <si>
    <t>SS T-SHIRT MONSTER TRUCK KIDEWDUD3:PASTEL BLUE:5-6:GRAPHIC:SS T-SHIRT</t>
  </si>
  <si>
    <t>SS T-SHIRT MONSTER TRUCK KIDEWDUD3:PASTEL BLUE:7-8:GRAPHIC:SS T-SHIRT</t>
  </si>
  <si>
    <t>SS T-SHIRT MONSTER TRUCK KIDEWDUD3:PASTEL BLUE:9-10:GRAPHIC:SS T-SHIRT</t>
  </si>
  <si>
    <t>SS T-SHIRT MONSTER TRUCK KIDEWDUD3:PASTEL BLUE:11-12:GRAPHIC:SS T-SHIRT</t>
  </si>
  <si>
    <t>KIDEWDUD4</t>
  </si>
  <si>
    <t>SS T-SHIRT SPACE ADVENTURE KIDEWDUD4:PASTEL GREEN:5-6:GRAPHIC:SS T-SHIRT</t>
  </si>
  <si>
    <t>SS T-SHIRT SPACE ADVENTURE KIDEWDUD4:PASTEL GREEN:7-8:GRAPHIC:SS T-SHIRT</t>
  </si>
  <si>
    <t>SS T-SHIRT SPACE ADVENTURE KIDEWDUD4:PASTEL GREEN:9-10:GRAPHIC:SS T-SHIRT</t>
  </si>
  <si>
    <t>SS T-SHIRT SPACE ADVENTURE KIDEWDUD4:PASTEL GREEN:11-12:GRAPHIC:SS T-SHIRT</t>
  </si>
  <si>
    <t>KIDEWDUD5</t>
  </si>
  <si>
    <t>SS T-SHIRT JUST BOY LOVES DINO KIDEWDUD5:CHARCOAL:5-6:GRAPHIC:SS T-SHIRT</t>
  </si>
  <si>
    <t>SS T-SHIRT JUST BOY LOVES DINO KIDEWDUD5:CHARCOAL:7-8:GRAPHIC:SS T-SHIRT</t>
  </si>
  <si>
    <t>SS T-SHIRT JUST BOY LOVES DINO KIDEWDUD5:CHARCOAL:9-10:GRAPHIC:SS T-SHIRT</t>
  </si>
  <si>
    <t>SS T-SHIRT JUST BOY LOVES DINO KIDEWDUD5:CHARCOAL:11-12:GRAPHIC:SS T-SHIRT</t>
  </si>
  <si>
    <t>NEVADA</t>
  </si>
  <si>
    <t>KSBD6</t>
  </si>
  <si>
    <t>SS SHIRT KOKO CASUAL LINEN SLUB PRINT BAHU KSBD6:WHITE:13-14:PRINT:SS KOKO</t>
  </si>
  <si>
    <t>SS SHIRT KOKO CASUAL LINEN SLUB PRINT BAHU KSBD6:WHITE:15-16:PRINT:SS KOKO</t>
  </si>
  <si>
    <t>KSBD7</t>
  </si>
  <si>
    <t>SS SHIRT KOKO CASUAL TEXTURED SALUR KSBD7:WHITE:9-10:STRIPES:SS KOKO</t>
  </si>
  <si>
    <t>SS SHIRT KOKO CASUAL TEXTURED SALUR KSBD7:WHITE:11-12:STRIPES:SS KOKO</t>
  </si>
  <si>
    <t>SS SHIRT KOKO CASUAL TEXTURED SALUR KSBD7:WHITE:13-14:STRIPES:SS KOKO</t>
  </si>
  <si>
    <t>SS SHIRT KOKO CASUAL TEXTURED SALUR KSBD7:WHITE:15-16:STRIPES:SS KOKO</t>
  </si>
  <si>
    <t>KSBD8</t>
  </si>
  <si>
    <t>SS SHIRT KOKO CASUAL TEXTURED SALUR KSBD8:VANILLA:9-10:TEXTURE:SS KOKO</t>
  </si>
  <si>
    <t>SS SHIRT KOKO CASUAL TEXTURED SALUR KSBD8:VANILLA:11-12:TEXTURE:SS KOKO</t>
  </si>
  <si>
    <t>SS SHIRT KOKO CASUAL TEXTURED SALUR KSBD8:VANILLA:13-14:TEXTURE:SS KOKO</t>
  </si>
  <si>
    <t>SS SHIRT KOKO CASUAL TEXTURED SALUR KSBD8:VANILLA:15-16:TEXTURE:SS KOKO</t>
  </si>
  <si>
    <t>KSBD9</t>
  </si>
  <si>
    <t>SS SHIRT KOKO CASUAL POPLIN STRIPES KSBD9:WHITE:9-10:STRIPES:SS KOKO</t>
  </si>
  <si>
    <t>SS SHIRT KOKO CASUAL POPLIN STRIPES KSBD9:WHITE:11-12:STRIPES:SS KOKO</t>
  </si>
  <si>
    <t>SS SHIRT KOKO CASUAL POPLIN STRIPES KSBD9:WHITE:13-14:STRIPES:SS KOKO</t>
  </si>
  <si>
    <t>SS SHIRT KOKO CASUAL POPLIN STRIPES KSBD9:WHITE:15-16:STRIPES:SS KOKO</t>
  </si>
  <si>
    <t>KSSOLIDBD</t>
  </si>
  <si>
    <t>SS SHIRT KOKO CASUAL LINEN SLUB SOLID KSSOLIDBD:NAVY BLUE:9-10:SOLID:SS KOKO</t>
  </si>
  <si>
    <t>SS SHIRT KOKO CASUAL LINEN SLUB SOLID KSSOLIDBD:NAVY BLUE:11-12:SOLID:SS KOKO</t>
  </si>
  <si>
    <t>SS SHIRT KOKO CASUAL LINEN SLUB SOLID KSSOLIDBD:NAVY BLUE:13-14:SOLID:SS KOKO</t>
  </si>
  <si>
    <t>SS SHIRT KOKO CASUAL LINEN SLUB SOLID KSSOLIDBD:NAVY BLUE:15-16:SOLID:SS KOKO</t>
  </si>
  <si>
    <t>SS SHIRT KOKO CASUAL TEXTURED SALUR KSBD8:PASTEL BLUE:9-10:TEXTURE:SS KOKO</t>
  </si>
  <si>
    <t>SS SHIRT KOKO CASUAL TEXTURED SALUR KSBD8:PASTEL BLUE:11-12:TEXTURE:SS KOKO</t>
  </si>
  <si>
    <t>SS SHIRT KOKO CASUAL TEXTURED SALUR KSBD8:PASTEL BLUE:13-14:TEXTURE:SS KOKO</t>
  </si>
  <si>
    <t>SS SHIRT KOKO CASUAL TEXTURED SALUR KSBD8:PASTEL BLUE:15-16:TEXTURE:SS KOKO</t>
  </si>
  <si>
    <t>KSCTNSLUB</t>
  </si>
  <si>
    <t>SS SHIRT KOKO CASUAL 2 SLUB SOLID KSCTNSLUB:GRASS GREEN:9-10:SOLID:SS KOKO</t>
  </si>
  <si>
    <t>SS SHIRT KOKO CASUAL 2 SLUB SOLID KSCTNSLUB:GRASS GREEN:11-12:SOLID:SS KOKO</t>
  </si>
  <si>
    <t>SS SHIRT KOKO CASUAL 2 SLUB SOLID KSCTNSLUB:GRASS GREEN:13-14:SOLID:SS KOKO</t>
  </si>
  <si>
    <t>SS SHIRT KOKO CASUAL 2 SLUB SOLID KSCTNSLUB:GRASS GREEN:15-16:SOLID:SS KOKO</t>
  </si>
  <si>
    <t>KSLINENC</t>
  </si>
  <si>
    <t>SS SHIRT KOKO CASUAL LINEN CREPE SOLID KSLINENC:GRASS GREEN:9-10:SOLID:SS KOKO</t>
  </si>
  <si>
    <t>SS SHIRT KOKO CASUAL LINEN CREPE SOLID KSLINENC:GRASS GREEN:11-12:SOLID:SS KOKO</t>
  </si>
  <si>
    <t>SS SHIRT KOKO CASUAL LINEN CREPE SOLID KSLINENC:GRASS GREEN:13-14:SOLID:SS KOKO</t>
  </si>
  <si>
    <t>SS SHIRT KOKO CASUAL LINEN CREPE SOLID KSLINENC:GRASS GREEN:15-16:SOLID:SS KOKO</t>
  </si>
  <si>
    <t>SS SHIRT KOKO CASUAL LINEN CREPE SOLID KSLINENC:CLASSIC YELLOW:9-10:SOLID:SS KOKO</t>
  </si>
  <si>
    <t>SS SHIRT KOKO CASUAL LINEN CREPE SOLID KSLINENC:CLASSIC YELLOW:11-12:SOLID:SS KOKO</t>
  </si>
  <si>
    <t>SS SHIRT KOKO CASUAL LINEN CREPE SOLID KSLINENC:CLASSIC YELLOW:13-14:SOLID:SS KOKO</t>
  </si>
  <si>
    <t>SS SHIRT KOKO CASUAL LINEN CREPE SOLID KSLINENC:CLASSIC YELLOW:15-16:SOLID:SS KOKO</t>
  </si>
  <si>
    <t>SS SHIRT KOKO CASUAL LINEN CREPE SOLID KSLINENC:MANDARIN ORANGE:9-10:SOLID:SS KOKO</t>
  </si>
  <si>
    <t>SS SHIRT KOKO CASUAL LINEN CREPE SOLID KSLINENC:MANDARIN ORANGE:11-12:SOLID:SS KOKO</t>
  </si>
  <si>
    <t>SS SHIRT KOKO CASUAL LINEN CREPE SOLID KSLINENC:MANDARIN ORANGE:13-14:SOLID:SS KOKO</t>
  </si>
  <si>
    <t>SS SHIRT KOKO CASUAL LINEN CREPE SOLID KSLINENC:MANDARIN ORANGE:15-16:SOLID:SS KOKO</t>
  </si>
  <si>
    <t>KSMP3</t>
  </si>
  <si>
    <t>SS SHIRT KOKO CASUAL TEXTURED  KSMP3:KHAKI:9-10:TEXTURE:SS KOKO</t>
  </si>
  <si>
    <t>SS SHIRT KOKO CASUAL TEXTURED  KSMP3:KHAKI:11-12:TEXTURE:SS KOKO</t>
  </si>
  <si>
    <t>SS SHIRT KOKO CASUAL TEXTURED  KSMP3:KHAKI:13-14:TEXTURE:SS KOKO</t>
  </si>
  <si>
    <t>SS SHIRT KOKO CASUAL TEXTURED  KSMP3:KHAKI:15-16:TEXTURE:SS KOKO</t>
  </si>
  <si>
    <t>KSMP4</t>
  </si>
  <si>
    <t>SS SHIRT KOKO CASUAL RAMI STRIPES KSMP4:WHITE:9-10:STRIPES:SS KOKO</t>
  </si>
  <si>
    <t>SS SHIRT KOKO CASUAL RAMI STRIPES KSMP4:WHITE:11-12:STRIPES:SS KOKO</t>
  </si>
  <si>
    <t>SS SHIRT KOKO CASUAL RAMI STRIPES KSMP4:WHITE:13-14:STRIPES:SS KOKO</t>
  </si>
  <si>
    <t>SS SHIRT KOKO CASUAL RAMI STRIPES KSMP4:WHITE:15-16:STRIPES:SS KOKO</t>
  </si>
  <si>
    <t>KSMP5</t>
  </si>
  <si>
    <t>SS SHIRT KOKO CASUAL YARNDYED STRIPES KSMP5:KHAKI:9-10:STRIPES:SS KOKO</t>
  </si>
  <si>
    <t>SS SHIRT KOKO CASUAL YARNDYED STRIPES KSMP5:KHAKI:11-12:STRIPES:SS KOKO</t>
  </si>
  <si>
    <t>SS SHIRT KOKO CASUAL YARNDYED STRIPES KSMP5:KHAKI:13-14:STRIPES:SS KOKO</t>
  </si>
  <si>
    <t>SS SHIRT KOKO CASUAL YARNDYED STRIPES KSMP5:KHAKI:15-16:STRIPES:SS KOKO</t>
  </si>
  <si>
    <t>KSMP6</t>
  </si>
  <si>
    <t>SS SHIRT KOKO CASUAL YARNDYED STRIPES KSMP6:PASTEL GREY:9-10:STRIPES:SS KOKO</t>
  </si>
  <si>
    <t>SS SHIRT KOKO CASUAL YARNDYED STRIPES KSMP6:PASTEL GREY:11-12:STRIPES:SS KOKO</t>
  </si>
  <si>
    <t>SS SHIRT KOKO CASUAL YARNDYED STRIPES KSMP6:PASTEL GREY:13-14:STRIPES:SS KOKO</t>
  </si>
  <si>
    <t>SS SHIRT KOKO CASUAL YARNDYED STRIPES KSMP6:PASTEL GREY:15-16:STRIPES:SS KOKO</t>
  </si>
  <si>
    <t>KSMP7</t>
  </si>
  <si>
    <t>SS SHIRT KOKO CASUAL YARNDYED STRIPES KSMP7:CLASSIC YELLOW:9-10:STRIPES:SS KOKO</t>
  </si>
  <si>
    <t>SS SHIRT KOKO CASUAL YARNDYED STRIPES KSMP7:CLASSIC YELLOW:11-12:STRIPES:SS KOKO</t>
  </si>
  <si>
    <t>SS SHIRT KOKO CASUAL YARNDYED STRIPES KSMP7:CLASSIC YELLOW:13-14:STRIPES:SS KOKO</t>
  </si>
  <si>
    <t>SS SHIRT KOKO CASUAL YARNDYED STRIPES KSMP7:CLASSIC YELLOW:15-16:STRIPES:SS KOKO</t>
  </si>
  <si>
    <t>SS SHIRT KOKO CASUAL 2 SLUB SOLID KSCTNSLUB:CLASSIC BLUE:9-10:SOLID:SS KOKO</t>
  </si>
  <si>
    <t>SS SHIRT KOKO CASUAL 2 SLUB SOLID KSCTNSLUB:CLASSIC BLUE:11-12:SOLID:SS KOKO</t>
  </si>
  <si>
    <t>SS SHIRT KOKO CASUAL 2 SLUB SOLID KSCTNSLUB:CLASSIC BLUE:13-14:SOLID:SS KOKO</t>
  </si>
  <si>
    <t>SS SHIRT KOKO CASUAL 2 SLUB SOLID KSCTNSLUB:CLASSIC BLUE:15-16:SOLID:SS KOKO</t>
  </si>
  <si>
    <t>KSCNSIN1</t>
  </si>
  <si>
    <t>SS SHIRT KOKO CASUAL OXFORD CUT N SEW COLOR BLOCK KSCNSIN1:WHITE:9-10:SOLID:SS KOKO</t>
  </si>
  <si>
    <t>SS SHIRT KOKO CASUAL OXFORD CUT N SEW COLOR BLOCK KSCNSIN1:WHITE:11-12:SOLID:SS KOKO</t>
  </si>
  <si>
    <t>SS SHIRT KOKO CASUAL OXFORD CUT N SEW COLOR BLOCK KSCNSIN1:WHITE:13-14:SOLID:SS KOKO</t>
  </si>
  <si>
    <t>SS SHIRT KOKO CASUAL OXFORD CUT N SEW COLOR BLOCK KSCNSIN1:WHITE:15-16:SOLID:SS KOKO</t>
  </si>
  <si>
    <t>KSIN2</t>
  </si>
  <si>
    <t>SS SHIRT KOKO CASUAL TEXTURED KSIN2:BLACK:9-10:TEXTURE:SS KOKO</t>
  </si>
  <si>
    <t>SS SHIRT KOKO CASUAL TEXTURED KSIN2:BLACK:11-12:TEXTURE:SS KOKO</t>
  </si>
  <si>
    <t>SS SHIRT KOKO CASUAL TEXTURED KSIN2:BLACK:13-14:TEXTURE:SS KOKO</t>
  </si>
  <si>
    <t>SS SHIRT KOKO CASUAL TEXTURED KSIN2:BLACK:15-16:TEXTURE:SS KOKO</t>
  </si>
  <si>
    <t>KSIN3</t>
  </si>
  <si>
    <t>SS SHIRT KOKO CASUAL TEXTURED FULLPRINT SPLASH KSIN3:WHITE:9-10:PRINT:SS KOKO</t>
  </si>
  <si>
    <t>SS SHIRT KOKO CASUAL TEXTURED FULLPRINT SPLASH KSIN3:WHITE:11-12:PRINT:SS KOKO</t>
  </si>
  <si>
    <t>SS SHIRT KOKO CASUAL TEXTURED FULLPRINT SPLASH KSIN3:WHITE:13-14:PRINT:SS KOKO</t>
  </si>
  <si>
    <t>SS SHIRT KOKO CASUAL TEXTURED FULLPRINT SPLASH KSIN3:WHITE:15-16:PRINT:SS KOKO</t>
  </si>
  <si>
    <t>KSMPM3A</t>
  </si>
  <si>
    <t>SS KOKO CASUAL LINEN SLUB PRINT KSMPM3A:KHAKI:9-10:PRINT:SS KOKO</t>
  </si>
  <si>
    <t>SS KOKO CASUAL LINEN SLUB PRINT KSMPM3A:KHAKI:11-12:PRINT:SS KOKO</t>
  </si>
  <si>
    <t>SS KOKO CASUAL LINEN SLUB PRINT KSMPM3A:KHAKI:13-14:PRINT:SS KOKO</t>
  </si>
  <si>
    <t>SS KOKO CASUAL LINEN SLUB PRINT KSMPM3A:KHAKI:15-16:PRINT:SS KOKO</t>
  </si>
  <si>
    <t>KSMPM4A</t>
  </si>
  <si>
    <t>SS KOKO CASUAL LINEN SLUB PRINT KSMPM4A:NAVY BLUE:9-10:PRINT:SS KOKO</t>
  </si>
  <si>
    <t>SS KOKO CASUAL LINEN SLUB PRINT KSMPM4A:NAVY BLUE:11-12:PRINT:SS KOKO</t>
  </si>
  <si>
    <t>SS KOKO CASUAL LINEN SLUB PRINT KSMPM4A:NAVY BLUE:13-14:PRINT:SS KOKO</t>
  </si>
  <si>
    <t>SS KOKO CASUAL LINEN SLUB PRINT KSMPM4A:NAVY BLUE:15-16:PRINT:SS KOKO</t>
  </si>
  <si>
    <t>KSMPM3</t>
  </si>
  <si>
    <t>SS SHIRT KOKO CASUAL POPLIN VISION SOLID KSMPM3:CLASSIC GREEN:9-10:SOLID:SS SHIRT</t>
  </si>
  <si>
    <t>SS SHIRT KOKO CASUAL POPLIN VISION SOLID KSMPM3:CLASSIC GREEN:11-12:SOLID:SS SHIRT</t>
  </si>
  <si>
    <t>SS SHIRT KOKO CASUAL POPLIN VISION SOLID KSMPM3:CLASSIC GREEN:13-14:SOLID:SS SHIRT</t>
  </si>
  <si>
    <t>SS SHIRT KOKO CASUAL POPLIN VISION SOLID KSMPM3:CLASSIC GREEN:15-16:SOLID:SS SHIRT</t>
  </si>
  <si>
    <t>SS SHIRT KOKO CASUAL POPLIN VISION SOLID KSMPM3:NAVY BLUE:9-10:SOLID:SS SHIRT</t>
  </si>
  <si>
    <t>SS SHIRT KOKO CASUAL POPLIN VISION SOLID KSMPM3:NAVY BLUE:11-12:SOLID:SS SHIRT</t>
  </si>
  <si>
    <t>SS SHIRT KOKO CASUAL POPLIN VISION SOLID KSMPM3:NAVY BLUE:13-14:SOLID:SS SHIRT</t>
  </si>
  <si>
    <t>SS SHIRT KOKO CASUAL POPLIN VISION SOLID KSMPM3:NAVY BLUE:15-16:SOLID:SS SHIRT</t>
  </si>
  <si>
    <t>KSYD4</t>
  </si>
  <si>
    <t>SS SHIRT KOKO CASUAL TEXTURED WITH POCKET KSYD4:CLASSIC BLUE:9-10:TEXTURE:SS KOKO</t>
  </si>
  <si>
    <t>SS SHIRT KOKO CASUAL TEXTURED WITH POCKET KSYD4:CLASSIC BLUE:11-12:TEXTURE:SS KOKO</t>
  </si>
  <si>
    <t>SS SHIRT KOKO CASUAL TEXTURED WITH POCKET KSYD4:CLASSIC BLUE:13-14:TEXTURE:SS KOKO</t>
  </si>
  <si>
    <t>SS SHIRT KOKO CASUAL TEXTURED WITH POCKET KSYD4:CLASSIC BLUE:15-16:TEXTURE:SS KOKO</t>
  </si>
  <si>
    <t>FPTN8</t>
  </si>
  <si>
    <t>SS SHIRT OXFORD LENO FP ABSTRACT TRENDY FPTN8:GRASS GREEN:9-10:PRINT:SS SHIRT</t>
  </si>
  <si>
    <t>SS SHIRT OXFORD LENO FP ABSTRACT TRENDY FPTN8:GRASS GREEN:11-12:PRINT:SS SHIRT</t>
  </si>
  <si>
    <t>SS SHIRT OXFORD LENO FP ABSTRACT TRENDY FPTN8:GRASS GREEN:13-14:PRINT:SS SHIRT</t>
  </si>
  <si>
    <t>SS SHIRT OXFORD LENO FP ABSTRACT TRENDY FPTN8:GRASS GREEN:15-16:PRINT:SS SHIRT</t>
  </si>
  <si>
    <t>FPTN9</t>
  </si>
  <si>
    <t>SS SHIRT OXFORD LENO FP ABSTRACT TRENDY FPTN9:KHAKI:9-10:PRINT:SS SHIRT</t>
  </si>
  <si>
    <t>SS SHIRT OXFORD LENO FP ABSTRACT TRENDY FPTN9:KHAKI:11-12:PRINT:SS SHIRT</t>
  </si>
  <si>
    <t>SS SHIRT OXFORD LENO FP ABSTRACT TRENDY FPTN9:KHAKI:13-14:PRINT:SS SHIRT</t>
  </si>
  <si>
    <t>SS SHIRT OXFORD LENO FP ABSTRACT TRENDY FPTN9:KHAKI:15-16:PRINT:SS SHIRT</t>
  </si>
  <si>
    <t>FPTN22</t>
  </si>
  <si>
    <t>SS SHIRT LINEN CROSS SLUB FP ETNIK FPTN22:CACTUS GREEN:9-10:PRINT:SS SHIRT</t>
  </si>
  <si>
    <t>SS SHIRT LINEN CROSS SLUB FP ETNIK FPTN22:CACTUS GREEN:11-12:PRINT:SS SHIRT</t>
  </si>
  <si>
    <t>SS SHIRT LINEN CROSS SLUB FP ETNIK FPTN22:CACTUS GREEN:13-14:PRINT:SS SHIRT</t>
  </si>
  <si>
    <t>SS SHIRT LINEN CROSS SLUB FP ETNIK FPTN22:CACTUS GREEN:15-16:PRINT:SS SHIRT</t>
  </si>
  <si>
    <t>FPTS17</t>
  </si>
  <si>
    <t>SS SHIRT LINEN SLUB FP SUMMER LEAF FPTS17:CLASSIC BLUE:9-10:PRINT:SS SHIRT</t>
  </si>
  <si>
    <t>SS SHIRT LINEN SLUB FP SUMMER LEAF FPTS17:CLASSIC BLUE:11-12:PRINT:SS SHIRT</t>
  </si>
  <si>
    <t>SS SHIRT LINEN SLUB FP SUMMER LEAF FPTS17:CLASSIC BLUE:13-14:PRINT:SS SHIRT</t>
  </si>
  <si>
    <t>SS SHIRT LINEN SLUB FP SUMMER LEAF FPTS17:CLASSIC BLUE:15-16:PRINT:SS SHIRT</t>
  </si>
  <si>
    <t>FPTS18</t>
  </si>
  <si>
    <t>SS SHIRT LINEN SLUB FP SUMMER LEAF FPTS18:CACTUS GREEN:9-10:PRINT:SS SHIRT</t>
  </si>
  <si>
    <t>SS SHIRT LINEN SLUB FP SUMMER LEAF FPTS18:CACTUS GREEN:11-12:PRINT:SS SHIRT</t>
  </si>
  <si>
    <t>SS SHIRT LINEN SLUB FP SUMMER LEAF FPTS18:CACTUS GREEN:13-14:PRINT:SS SHIRT</t>
  </si>
  <si>
    <t>SS SHIRT LINEN SLUB FP SUMMER LEAF FPTS18:CACTUS GREEN:15-16:PRINT:SS SHIRT</t>
  </si>
  <si>
    <t>KSSOLIDTN</t>
  </si>
  <si>
    <t>SS SHIRT KOKO CASUAL LINEN SLUB SOLID WITH POCKET KSSOLIDTN:CLASSIC BLUE:9-10:SOLID:SS KOKO</t>
  </si>
  <si>
    <t>SS SHIRT KOKO CASUAL LINEN SLUB SOLID WITH POCKET KSSOLIDTN:CLASSIC BLUE:11-12:SOLID:SS KOKO</t>
  </si>
  <si>
    <t>SS SHIRT KOKO CASUAL LINEN SLUB SOLID WITH POCKET KSSOLIDTN:CLASSIC BLUE:13-14:SOLID:SS KOKO</t>
  </si>
  <si>
    <t>SS SHIRT KOKO CASUAL LINEN SLUB SOLID WITH POCKET KSSOLIDTN:CLASSIC BLUE:15-16:SOLID:SS KOKO</t>
  </si>
  <si>
    <t>KSTN18</t>
  </si>
  <si>
    <t>SS SHIRT KOKO CASUAL LINEN SLUB FP STRIPES KSTN18:CLASSIC BLUE:9-10:STRIPES:SS KOKO</t>
  </si>
  <si>
    <t>SS SHIRT KOKO CASUAL LINEN SLUB FP STRIPES KSTN18:CLASSIC BLUE:11-12:STRIPES:SS KOKO</t>
  </si>
  <si>
    <t>SS SHIRT KOKO CASUAL LINEN SLUB FP STRIPES KSTN18:CLASSIC BLUE:13-14:STRIPES:SS KOKO</t>
  </si>
  <si>
    <t>SS SHIRT KOKO CASUAL LINEN SLUB FP STRIPES KSTN18:CLASSIC BLUE:15-16:STRIPES:SS KOKO</t>
  </si>
  <si>
    <t>KSTN19</t>
  </si>
  <si>
    <t>SS SHIRT KOKO CASUAL LINEN SLUB FP STRIPES KSTN19:KHAKI:9-10:STRIPES:SS KOKO</t>
  </si>
  <si>
    <t>SS SHIRT KOKO CASUAL LINEN SLUB FP STRIPES KSTN19:KHAKI:11-12:STRIPES:SS KOKO</t>
  </si>
  <si>
    <t>SS SHIRT KOKO CASUAL LINEN SLUB FP STRIPES KSTN19:KHAKI:13-14:STRIPES:SS KOKO</t>
  </si>
  <si>
    <t>SS SHIRT KOKO CASUAL LINEN SLUB FP STRIPES KSTN19:KHAKI:15-16:STRIPES:SS KOKO</t>
  </si>
  <si>
    <t>KSTN20</t>
  </si>
  <si>
    <t>SS SHIRT KOKO CASUAL LINEN SLUB FP ABSTRAK KSTN20:CLASSIC BLUE:9-10:PRINT:SS KOKO</t>
  </si>
  <si>
    <t>SS SHIRT KOKO CASUAL LINEN SLUB FP ABSTRAK KSTN20:CLASSIC BLUE:11-12:PRINT:SS KOKO</t>
  </si>
  <si>
    <t>SS SHIRT KOKO CASUAL LINEN SLUB FP ABSTRAK KSTN20:CLASSIC BLUE:13-14:PRINT:SS KOKO</t>
  </si>
  <si>
    <t>SS SHIRT KOKO CASUAL LINEN SLUB FP ABSTRAK KSTN20:CLASSIC BLUE:15-16:PRINT:SS KOKO</t>
  </si>
  <si>
    <t>KSTO1</t>
  </si>
  <si>
    <t>SS SHIRT KOKO CASUAL LINEN SLUB FP ETNIK GEOMETRI KSTO1:MANDARIN ORANGE:9-10:PRINT:SS KOKO</t>
  </si>
  <si>
    <t>SS SHIRT KOKO CASUAL LINEN SLUB FP ETNIK GEOMETRI KSTO1:MANDARIN ORANGE:11-12:PRINT:SS KOKO</t>
  </si>
  <si>
    <t>SS SHIRT KOKO CASUAL LINEN SLUB FP ETNIK GEOMETRI KSTO1:MANDARIN ORANGE:13-14:PRINT:SS KOKO</t>
  </si>
  <si>
    <t>SS SHIRT KOKO CASUAL LINEN SLUB FP ETNIK GEOMETRI KSTO1:MANDARIN ORANGE:15-16:PRINT:SS KOKO</t>
  </si>
  <si>
    <t>KSTO10</t>
  </si>
  <si>
    <t>SS SHIRT KOKO CASUAL LINEN SLUB PRINT PINTU KSTO10:LIGHT BLUE:9-10:PRINT:SS KOKO</t>
  </si>
  <si>
    <t>SS SHIRT KOKO CASUAL LINEN SLUB PRINT PINTU KSTO10:LIGHT BLUE:11-12:PRINT:SS KOKO</t>
  </si>
  <si>
    <t>SS SHIRT KOKO CASUAL LINEN SLUB PRINT PINTU KSTO10:LIGHT BLUE:13-14:PRINT:SS KOKO</t>
  </si>
  <si>
    <t>SS SHIRT KOKO CASUAL LINEN SLUB PRINT PINTU KSTO10:LIGHT BLUE:15-16:PRINT:SS KOKO</t>
  </si>
  <si>
    <t>KSTO11</t>
  </si>
  <si>
    <t>SS SHIRT KOKO CASUAL LINEN SLUB GEOMETRY KSTO11:NAVY BLUE:9-10:PRINT:SS KOKO</t>
  </si>
  <si>
    <t>SS SHIRT KOKO CASUAL LINEN SLUB GEOMETRY KSTO11:NAVY BLUE:11-12:PRINT:SS KOKO</t>
  </si>
  <si>
    <t>SS SHIRT KOKO CASUAL LINEN SLUB GEOMETRY KSTO11:NAVY BLUE:13-14:PRINT:SS KOKO</t>
  </si>
  <si>
    <t>SS SHIRT KOKO CASUAL LINEN SLUB GEOMETRY KSTO11:NAVY BLUE:15-16:PRINT:SS KOKO</t>
  </si>
  <si>
    <t>KSTO12</t>
  </si>
  <si>
    <t>SS SHIRT KOKO CASUAL LINEN SLUB GEOMETRY KSTO12:WHITE:9-10:PRINT:SS KOKO</t>
  </si>
  <si>
    <t>SS SHIRT KOKO CASUAL LINEN SLUB GEOMETRY KSTO12:WHITE:11-12:PRINT:SS KOKO</t>
  </si>
  <si>
    <t>SS SHIRT KOKO CASUAL LINEN SLUB GEOMETRY KSTO12:WHITE:13-14:PRINT:SS KOKO</t>
  </si>
  <si>
    <t>SS SHIRT KOKO CASUAL LINEN SLUB GEOMETRY KSTO12:WHITE:15-16:PRINT:SS KOKO</t>
  </si>
  <si>
    <t>KSTO13</t>
  </si>
  <si>
    <t>SS SHIRT KOKO CASUAL DOBBY GEOMETRY ETNIC KSTO13:CACTUS GREEN:9-10:PRINT:SS KOKO</t>
  </si>
  <si>
    <t>SS SHIRT KOKO CASUAL DOBBY GEOMETRY ETNIC KSTO13:CACTUS GREEN:11-12:PRINT:SS KOKO</t>
  </si>
  <si>
    <t>SS SHIRT KOKO CASUAL DOBBY GEOMETRY ETNIC KSTO13:CACTUS GREEN:13-14:PRINT:SS KOKO</t>
  </si>
  <si>
    <t>SS SHIRT KOKO CASUAL DOBBY GEOMETRY ETNIC KSTO13:CACTUS GREEN:15-16:PRINT:SS KOKO</t>
  </si>
  <si>
    <t>KSTO14</t>
  </si>
  <si>
    <t>SS SHIRT KOKO CASUAL DOBBY GEOMETRY ETNIC KSTO14:CLASSIC YELLOW:9-10:PRINT:SS KOKO</t>
  </si>
  <si>
    <t>SS SHIRT KOKO CASUAL DOBBY GEOMETRY ETNIC KSTO14:CLASSIC YELLOW:11-12:PRINT:SS KOKO</t>
  </si>
  <si>
    <t>SS SHIRT KOKO CASUAL DOBBY GEOMETRY ETNIC KSTO14:CLASSIC YELLOW:13-14:PRINT:SS KOKO</t>
  </si>
  <si>
    <t>SS SHIRT KOKO CASUAL DOBBY GEOMETRY ETNIC KSTO14:CLASSIC YELLOW:15-16:PRINT:SS KOKO</t>
  </si>
  <si>
    <t>KSTO15</t>
  </si>
  <si>
    <t>SS SHIRT KOKO CASUAL DOBBY FP GEOMETRI KSTO15:CLASSIC BLUE:9-10:PRINT:SS KOKO</t>
  </si>
  <si>
    <t>SS SHIRT KOKO CASUAL DOBBY FP GEOMETRI KSTO15:CLASSIC BLUE:11-12:PRINT:SS KOKO</t>
  </si>
  <si>
    <t>SS SHIRT KOKO CASUAL DOBBY FP GEOMETRI KSTO15:CLASSIC BLUE:13-14:PRINT:SS KOKO</t>
  </si>
  <si>
    <t>SS SHIRT KOKO CASUAL DOBBY FP GEOMETRI KSTO15:CLASSIC BLUE:15-16:PRINT:SS KOKO</t>
  </si>
  <si>
    <t>KSTO16</t>
  </si>
  <si>
    <t>SS SHIRT KOKO CASUAL DOBBY FP GEOMETRI KSTO16:TAUPE GREY:9-10:PRINT:SS KOKO</t>
  </si>
  <si>
    <t>SS SHIRT KOKO CASUAL DOBBY FP GEOMETRI KSTO16:TAUPE GREY:11-12:PRINT:SS KOKO</t>
  </si>
  <si>
    <t>SS SHIRT KOKO CASUAL DOBBY FP GEOMETRI KSTO16:TAUPE GREY:13-14:PRINT:SS KOKO</t>
  </si>
  <si>
    <t>SS SHIRT KOKO CASUAL DOBBY FP GEOMETRI KSTO16:TAUPE GREY:15-16:PRINT:SS KOKO</t>
  </si>
  <si>
    <t>KSTO17</t>
  </si>
  <si>
    <t>SS SHIRT KOKO CASUAL DOBBY SOLID KSTO17:WHITE:9-10:SOLID:SS KOKO</t>
  </si>
  <si>
    <t>SS SHIRT KOKO CASUAL DOBBY SOLID KSTO17:WHITE:11-12:SOLID:SS KOKO</t>
  </si>
  <si>
    <t>SS SHIRT KOKO CASUAL DOBBY SOLID KSTO17:WHITE:13-14:SOLID:SS KOKO</t>
  </si>
  <si>
    <t>SS SHIRT KOKO CASUAL DOBBY SOLID KSTO17:WHITE:15-16:SOLID:SS KOKO</t>
  </si>
  <si>
    <t>KSTO18</t>
  </si>
  <si>
    <t>SS SHIRT KOKO CASUAL LINEN SLUB FP STRIPES KSTO18:VANILLA:9-10:STRIPES:SS KOKO</t>
  </si>
  <si>
    <t>SS SHIRT KOKO CASUAL LINEN SLUB FP STRIPES KSTO18:VANILLA:11-12:STRIPES:SS KOKO</t>
  </si>
  <si>
    <t>SS SHIRT KOKO CASUAL LINEN SLUB FP STRIPES KSTO18:VANILLA:13-14:STRIPES:SS KOKO</t>
  </si>
  <si>
    <t>SS SHIRT KOKO CASUAL LINEN SLUB FP STRIPES KSTO18:VANILLA:15-16:STRIPES:SS KOKO</t>
  </si>
  <si>
    <t>KSTO19</t>
  </si>
  <si>
    <t>SS SHIRT KOKO CASUAL LINEN SLUB FP STRIPES KSTO19:CHARCOAL:9-10:STRIPES:SS KOKO</t>
  </si>
  <si>
    <t>SS SHIRT KOKO CASUAL LINEN SLUB FP STRIPES KSTO19:CHARCOAL:11-12:STRIPES:SS KOKO</t>
  </si>
  <si>
    <t>SS SHIRT KOKO CASUAL LINEN SLUB FP STRIPES KSTO19:CHARCOAL:13-14:STRIPES:SS KOKO</t>
  </si>
  <si>
    <t>SS SHIRT KOKO CASUAL LINEN SLUB FP STRIPES KSTO19:CHARCOAL:15-16:STRIPES:SS KOKO</t>
  </si>
  <si>
    <t>KSTO2</t>
  </si>
  <si>
    <t>SS SHIRT KOKO CASUAL LINEN SLUB FP ETNIK GEOMETRI KSTO2:CLASSIC BLUE:9-10:PRINT:SS KOKO</t>
  </si>
  <si>
    <t>SS SHIRT KOKO CASUAL LINEN SLUB FP ETNIK GEOMETRI KSTO2:CLASSIC BLUE:11-12:PRINT:SS KOKO</t>
  </si>
  <si>
    <t>SS SHIRT KOKO CASUAL LINEN SLUB FP ETNIK GEOMETRI KSTO2:CLASSIC BLUE:13-14:PRINT:SS KOKO</t>
  </si>
  <si>
    <t>SS SHIRT KOKO CASUAL LINEN SLUB FP ETNIK GEOMETRI KSTO2:CLASSIC BLUE:15-16:PRINT:SS KOKO</t>
  </si>
  <si>
    <t>KSTO3</t>
  </si>
  <si>
    <t>SS SHIRT KOKO CASUAL POPLIN VISION FP STRIPES KSTO3:CACTUS GREEN:9-10:STRIPES:SS KOKO</t>
  </si>
  <si>
    <t>SS SHIRT KOKO CASUAL POPLIN VISION FP STRIPES KSTO3:CACTUS GREEN:11-12:STRIPES:SS KOKO</t>
  </si>
  <si>
    <t>SS SHIRT KOKO CASUAL POPLIN VISION FP STRIPES KSTO3:CACTUS GREEN:13-14:STRIPES:SS KOKO</t>
  </si>
  <si>
    <t>SS SHIRT KOKO CASUAL POPLIN VISION FP STRIPES KSTO3:CACTUS GREEN:15-16:STRIPES:SS KOKO</t>
  </si>
  <si>
    <t>KSTO4</t>
  </si>
  <si>
    <t>SS SHIRT KOKO CASUAL DOBBY WITH POCKET KSTO4:WHITE:9-10:TEXTURE:SS KOKO</t>
  </si>
  <si>
    <t>SS SHIRT KOKO CASUAL DOBBY WITH POCKET KSTO4:WHITE:11-12:TEXTURE:SS KOKO</t>
  </si>
  <si>
    <t>SS SHIRT KOKO CASUAL DOBBY WITH POCKET KSTO4:WHITE:13-14:TEXTURE:SS KOKO</t>
  </si>
  <si>
    <t>SS SHIRT KOKO CASUAL DOBBY WITH POCKET KSTO4:WHITE:15-16:TEXTURE:SS KOKO</t>
  </si>
  <si>
    <t>KSTO5</t>
  </si>
  <si>
    <t>SS SHIRT KOKO CASUAL PIQUE FP BATIK KSTO5:NAVY BLUE:9-10:PRINT:SS KOKO</t>
  </si>
  <si>
    <t>SS SHIRT KOKO CASUAL PIQUE FP BATIK KSTO5:NAVY BLUE:11-12:PRINT:SS KOKO</t>
  </si>
  <si>
    <t>SS SHIRT KOKO CASUAL PIQUE FP BATIK KSTO5:NAVY BLUE:13-14:PRINT:SS KOKO</t>
  </si>
  <si>
    <t>SS SHIRT KOKO CASUAL PIQUE FP BATIK KSTO5:NAVY BLUE:15-16:PRINT:SS KOKO</t>
  </si>
  <si>
    <t>KSTO6</t>
  </si>
  <si>
    <t>SS SHIRT KOKO CASUAL PIQUE FP BATIK KSTO6:CACTUS GREEN:9-10:PRINT:SS KOKO</t>
  </si>
  <si>
    <t>SS SHIRT KOKO CASUAL PIQUE FP BATIK KSTO6:CACTUS GREEN:11-12:PRINT:SS KOKO</t>
  </si>
  <si>
    <t>SS SHIRT KOKO CASUAL PIQUE FP BATIK KSTO6:CACTUS GREEN:13-14:PRINT:SS KOKO</t>
  </si>
  <si>
    <t>SS SHIRT KOKO CASUAL PIQUE FP BATIK KSTO6:CACTUS GREEN:15-16:PRINT:SS KOKO</t>
  </si>
  <si>
    <t>KSTO9</t>
  </si>
  <si>
    <t>SS SHIRT KOKO CASUAL LINEN SLUB PRINT PINTU KSTO9:KHAKI:9-10:PRINT:SS KOKO</t>
  </si>
  <si>
    <t>SS SHIRT KOKO CASUAL LINEN SLUB PRINT PINTU KSTO9:KHAKI:11-12:PRINT:SS KOKO</t>
  </si>
  <si>
    <t>SS SHIRT KOKO CASUAL LINEN SLUB PRINT PINTU KSTO9:KHAKI:13-14:PRINT:SS KOKO</t>
  </si>
  <si>
    <t>SS SHIRT KOKO CASUAL LINEN SLUB PRINT PINTU KSTO9:KHAKI:15-16:PRINT:SS KOKO</t>
  </si>
  <si>
    <t>CHKTO2</t>
  </si>
  <si>
    <t>SS SHIRT KOKO CASUAL YARNDYED CHECK  CHKTO2:CLASSIC RED:9-10:CHECKS:SS SHIRT</t>
  </si>
  <si>
    <t>SS SHIRT KOKO CASUAL YARNDYED CHECK  CHKTO2:CLASSIC RED:11-12:CHECKS:SS SHIRT</t>
  </si>
  <si>
    <t>SS SHIRT KOKO CASUAL YARNDYED CHECK  CHKTO2:CLASSIC RED:13-14:CHECKS:SS SHIRT</t>
  </si>
  <si>
    <t>SS SHIRT KOKO CASUAL YARNDYED CHECK  CHKTO2:CLASSIC RED:15-16:CHECKS:SS SHIRT</t>
  </si>
  <si>
    <t>CHKTO3</t>
  </si>
  <si>
    <t>SS SHIRT KOKO CASUAL YARNDYED CHECK  CHKTO3:CLASSIC BLUE:9-10:CHECKS:SS SHIRT</t>
  </si>
  <si>
    <t>SS SHIRT KOKO CASUAL YARNDYED CHECK  CHKTO3:CLASSIC BLUE:11-12:CHECKS:SS SHIRT</t>
  </si>
  <si>
    <t>SS SHIRT KOKO CASUAL YARNDYED CHECK  CHKTO3:CLASSIC BLUE:13-14:CHECKS:SS SHIRT</t>
  </si>
  <si>
    <t>SS SHIRT KOKO CASUAL YARNDYED CHECK  CHKTO3:CLASSIC BLUE:15-16:CHECKS:SS SHIRT</t>
  </si>
  <si>
    <t>CHKTO4</t>
  </si>
  <si>
    <t>SS SHIRT KOKO CASUAL YARNDYED CHECK  CHKTO4:MAROON:9-10:CHECKS:SS SHIRT</t>
  </si>
  <si>
    <t>SS SHIRT KOKO CASUAL YARNDYED CHECK  CHKTO4:MAROON:11-12:CHECKS:SS SHIRT</t>
  </si>
  <si>
    <t>SS SHIRT KOKO CASUAL YARNDYED CHECK  CHKTO4:MAROON:13-14:CHECKS:SS SHIRT</t>
  </si>
  <si>
    <t>SS SHIRT KOKO CASUAL YARNDYED CHECK  CHKTO4:MAROON:15-16:CHECKS:SS SHIRT</t>
  </si>
  <si>
    <t>CHKTO5</t>
  </si>
  <si>
    <t>SS SHIRT KOKO CASUAL YARNDYED CHECK  CHKTO5:CLASSIC GREEN:9-10:CHECKS:SS SHIRT</t>
  </si>
  <si>
    <t>SS SHIRT KOKO CASUAL YARNDYED CHECK  CHKTO5:CLASSIC GREEN:11-12:CHECKS:SS SHIRT</t>
  </si>
  <si>
    <t>SS SHIRT KOKO CASUAL YARNDYED CHECK  CHKTO5:CLASSIC GREEN:13-14:CHECKS:SS SHIRT</t>
  </si>
  <si>
    <t>SS SHIRT KOKO CASUAL YARNDYED CHECK  CHKTO5:CLASSIC GREEN:15-16:CHECKS:SS SHIRT</t>
  </si>
  <si>
    <t>FPTN21</t>
  </si>
  <si>
    <t>SS SHIRT LINEN CROSS SLUB FP ETNIK FPTN21:KHAKI:9-10:PRINT:SS SHIRT</t>
  </si>
  <si>
    <t>SS SHIRT LINEN CROSS SLUB FP ETNIK FPTN21:KHAKI:11-12:PRINT:SS SHIRT</t>
  </si>
  <si>
    <t>SS SHIRT LINEN CROSS SLUB FP ETNIK FPTN21:KHAKI:13-14:PRINT:SS SHIRT</t>
  </si>
  <si>
    <t>SS SHIRT LINEN CROSS SLUB FP ETNIK FPTN21:KHAKI:15-16:PRINT:SS SHIRT</t>
  </si>
  <si>
    <t>KSCNSMKG1</t>
  </si>
  <si>
    <t>SS SHIRT KOKO CASUAL OXFORD CUT N SEW COLOR BLOCK KSCNSMKG1:WHITE:9-10:SOLID:SS KOKO</t>
  </si>
  <si>
    <t>SS SHIRT KOKO CASUAL OXFORD CUT N SEW COLOR BLOCK KSCNSMKG1:WHITE:11-12:SOLID:SS KOKO</t>
  </si>
  <si>
    <t>SS SHIRT KOKO CASUAL OXFORD CUT N SEW COLOR BLOCK KSCNSMKG1:WHITE:13-14:SOLID:SS KOKO</t>
  </si>
  <si>
    <t>SS SHIRT KOKO CASUAL OXFORD CUT N SEW COLOR BLOCK KSCNSMKG1:WHITE:15-16:SOLID:SS KOKO</t>
  </si>
  <si>
    <t>KSMK05</t>
  </si>
  <si>
    <t>SS SHIRT KOKO CASUAL  LINEN SLUB FP STRIPES LIGHT GREY KSMK05:PASTEL GREY:9-10:STRIPES:SS KOKO</t>
  </si>
  <si>
    <t>SS SHIRT KOKO CASUAL  LINEN SLUB FP STRIPES LIGHT GREY KSMK05:PASTEL GREY:11-12:STRIPES:SS KOKO</t>
  </si>
  <si>
    <t>SS SHIRT KOKO CASUAL  LINEN SLUB FP STRIPES LIGHT GREY KSMK05:PASTEL GREY:13-14:STRIPES:SS KOKO</t>
  </si>
  <si>
    <t>SS SHIRT KOKO CASUAL  LINEN SLUB FP STRIPES LIGHT GREY KSMK05:PASTEL GREY:15-16:STRIPES:SS KOKO</t>
  </si>
  <si>
    <t>KSMK08A</t>
  </si>
  <si>
    <t>SS SHIRT KOKO CASUAL TEXTURED WITH POCKET KSMK08A:KHAKI:9-10:TEXTURE:SS KOKO</t>
  </si>
  <si>
    <t>SS SHIRT KOKO CASUAL TEXTURED WITH POCKET KSMK08A:KHAKI:11-12:TEXTURE:SS KOKO</t>
  </si>
  <si>
    <t>SS SHIRT KOKO CASUAL TEXTURED WITH POCKET KSMK08A:KHAKI:13-14:TEXTURE:SS KOKO</t>
  </si>
  <si>
    <t>SS SHIRT KOKO CASUAL TEXTURED WITH POCKET KSMK08A:KHAKI:15-16:TEXTURE:SS KOKO</t>
  </si>
  <si>
    <t>KSMK11</t>
  </si>
  <si>
    <t>SS SHIRT KOKO CASUAL TEXTURED POLOS KSMK11:OLIVE:9-10:TEXTURE:SS KOKO</t>
  </si>
  <si>
    <t>SS SHIRT KOKO CASUAL TEXTURED POLOS KSMK11:OLIVE:11-12:TEXTURE:SS KOKO</t>
  </si>
  <si>
    <t>SS SHIRT KOKO CASUAL TEXTURED POLOS KSMK11:OLIVE:13-14:TEXTURE:SS KOKO</t>
  </si>
  <si>
    <t>SS SHIRT KOKO CASUAL TEXTURED POLOS KSMK11:OLIVE:15-16:TEXTURE:SS KOKO</t>
  </si>
  <si>
    <t>KSMK12</t>
  </si>
  <si>
    <t>SS SHIRT KOKO CASUAL TEXTURED POLOS KSMK12:RUSTIC BROWN:9-10:TEXTURE:SS KOKO</t>
  </si>
  <si>
    <t>SS SHIRT KOKO CASUAL TEXTURED POLOS KSMK12:RUSTIC BROWN:11-12:TEXTURE:SS KOKO</t>
  </si>
  <si>
    <t>SS SHIRT KOKO CASUAL TEXTURED POLOS KSMK12:RUSTIC BROWN:13-14:TEXTURE:SS KOKO</t>
  </si>
  <si>
    <t>BTG607</t>
  </si>
  <si>
    <t>SHORT KNIT BT CNS LIMITED EDITION BTG607:MUSTARD:9-10:TEXT:SHORT PANTS</t>
  </si>
  <si>
    <t>SHORT KNIT BT CNS LIMITED EDITION BTG607:MUSTARD:11-12:TEXT:SHORT PANTS</t>
  </si>
  <si>
    <t>SHORT KNIT BT CNS LIMITED EDITION BTG607:MUSTARD:13-14:TEXT:SHORT PANTS</t>
  </si>
  <si>
    <t>SHORT KNIT BT CNS LIMITED EDITION BTG607:MUSTARD:15-16:TEXT:SHORT PANTS</t>
  </si>
  <si>
    <t>BTS543</t>
  </si>
  <si>
    <t>SHORTS PANTS BT KARET TEXTURED BTS543:MISTY DARK GREY:9-10:TEXTURE:SHORT PANTS</t>
  </si>
  <si>
    <t>SHORTS PANTS BT KARET TEXTURED BTS543:MISTY DARK GREY:15-16:TEXTURE:SHORT PANTS</t>
  </si>
  <si>
    <t>SDKG3</t>
  </si>
  <si>
    <t>SHORT PANTS DOUBLE KNIT WITH MESH SDKG3:MUSTARD:9-10:SOLID:SHORT PANTS</t>
  </si>
  <si>
    <t>SHORT PANTS DOUBLE KNIT WITH MESH SDKG3:MUSTARD:11-12:SOLID:SHORT PANTS</t>
  </si>
  <si>
    <t>SHORT PANTS DOUBLE KNIT WITH MESH SDKG3:MUSTARD:13-14:SOLID:SHORT PANTS</t>
  </si>
  <si>
    <t>SHORT PANTS DOUBLE KNIT WITH MESH SDKG3:MUSTARD:15-16:SOLID:SHORT PANTS</t>
  </si>
  <si>
    <t>CDTO1</t>
  </si>
  <si>
    <t>DENIM SHORTS RIB STRIPE NON STRETCH CDTO1:LIGHT DENIM:9-10:STRIPES:DENIM SHORT PANTS</t>
  </si>
  <si>
    <t>DENIM SHORTS RIB STRIPE NON STRETCH CDTO1:LIGHT DENIM:11-12:STRIPES:DENIM SHORT PANTS</t>
  </si>
  <si>
    <t>DENIM SHORTS RIB STRIPE NON STRETCH CDTO1:LIGHT DENIM:13-14:STRIPES:DENIM SHORT PANTS</t>
  </si>
  <si>
    <t>DENIM SHORTS RIB STRIPE NON STRETCH CDTO1:LIGHT DENIM:15-16:STRIPES:DENIM SHORT PANTS</t>
  </si>
  <si>
    <t>CWTO4</t>
  </si>
  <si>
    <t>SHORT PANTS WOVEN YARNDYED KOTAK BESAR  CWTO4:GOLDEN BROWN:9-10:CHECKS:SHORT PANTS</t>
  </si>
  <si>
    <t>SHORT PANTS WOVEN YARNDYED KOTAK BESAR  CWTO4:GOLDEN BROWN:11-12:CHECKS:SHORT PANTS</t>
  </si>
  <si>
    <t>SHORT PANTS WOVEN YARNDYED KOTAK BESAR  CWTO4:GOLDEN BROWN:13-14:CHECKS:SHORT PANTS</t>
  </si>
  <si>
    <t>SHORT PANTS WOVEN YARNDYED KOTAK BESAR  CWTO4:GOLDEN BROWN:15-16:CHECKS:SHORT PANTS</t>
  </si>
  <si>
    <t>SHORT PANTS WOVEN YARNDYED KOTAK BESAR  CWTO4:NAVY BLUE:9-10:CHECKS:SHORT PANTS</t>
  </si>
  <si>
    <t>SHORT PANTS WOVEN YARNDYED KOTAK BESAR  CWTO4:NAVY BLUE:11-12:CHECKS:SHORT PANTS</t>
  </si>
  <si>
    <t>SHORT PANTS WOVEN YARNDYED KOTAK BESAR  CWTO4:NAVY BLUE:13-14:CHECKS:SHORT PANTS</t>
  </si>
  <si>
    <t>SHORT PANTS WOVEN YARNDYED KOTAK BESAR  CWTO4:NAVY BLUE:15-16:CHECKS:SHORT PANTS</t>
  </si>
  <si>
    <t>KIG1B</t>
  </si>
  <si>
    <t>SS T-SHIRT KI  PE PRINT NEW YORK KIG1B:MUSTARD:11-12:GRAPHIC:SS T-SHIRT</t>
  </si>
  <si>
    <t>SS T-SHIRT KI  PE PRINT NEW YORK KIG1B:MUSTARD:13-14:GRAPHIC:SS T-SHIRT</t>
  </si>
  <si>
    <t>SS T-SHIRT KI  PE PRINT NEW YORK KIG1B:MUSTARD:15-16:GRAPHIC:SS T-SHIRT</t>
  </si>
  <si>
    <t>KIT26A</t>
  </si>
  <si>
    <t>SS T-SHIRT KI TC PRINT KIT26A:PASTEL BLUE:9-10:GRAPHIC:SS T-SHIRT</t>
  </si>
  <si>
    <t>SS T-SHIRT KI TC PRINT KIT26A:PASTEL BLUE:11-12:GRAPHIC:SS T-SHIRT</t>
  </si>
  <si>
    <t>SS T-SHIRT KI TC PRINT KIT26A:PASTEL BLUE:13-14:GRAPHIC:SS T-SHIRT</t>
  </si>
  <si>
    <t>SS T-SHIRT KI TC PRINT KIT26A:PASTEL BLUE:15-16:GRAPHIC:SS T-SHIRT</t>
  </si>
  <si>
    <t>KIH11D1</t>
  </si>
  <si>
    <t>SS T-SHIRT KI TC PRINT LOGO ANIME KIH11D1:CLASSIC YELLOW:11-12:GRAPHIC:SS T-SHIRT</t>
  </si>
  <si>
    <t>SS T-SHIRT KI TC PRINT LOGO ANIME KIH11D1:CLASSIC YELLOW:13-14:GRAPHIC:SS T-SHIRT</t>
  </si>
  <si>
    <t>SS T-SHIRT KI TC PRINT LOGO ANIME KIH11D1:CLASSIC YELLOW:15-16:GRAPHIC:SS T-SHIRT</t>
  </si>
  <si>
    <t>KIH12B1</t>
  </si>
  <si>
    <t>SS T-SHIRT KI TC PRINT LOGO CHIBBY ANIME KIH12B1:OFF WHITE:11-12:GRAPHIC:SS T-SHIRT</t>
  </si>
  <si>
    <t>SS T-SHIRT KI TC PRINT LOGO CHIBBY ANIME KIH12B1:OFF WHITE:15-16:GRAPHIC:SS T-SHIRT</t>
  </si>
  <si>
    <t>KIH21</t>
  </si>
  <si>
    <t>SS T-SHIRT KI PRINT DO SOMETHING EPIC KIH21:MISTY LIGHT BROWN:11-12:GRAPHIC:SS T-SHIRT</t>
  </si>
  <si>
    <t>KIH38</t>
  </si>
  <si>
    <t>SS T-SHIRT KI PRINT HOPE FOR TOMORROW KIH38:INDIGO BLUE:9-10:GRAPHIC:SS T-SHIRT</t>
  </si>
  <si>
    <t>SS T-SHIRT KI PRINT HOPE FOR TOMORROW KIH38:INDIGO BLUE:11-12:GRAPHIC:SS T-SHIRT</t>
  </si>
  <si>
    <t>SS T-SHIRT KI PRINT HOPE FOR TOMORROW KIH38:INDIGO BLUE:13-14:GRAPHIC:SS T-SHIRT</t>
  </si>
  <si>
    <t>SS T-SHIRT KI PRINT HOPE FOR TOMORROW KIH38:INDIGO BLUE:15-16:GRAPHIC:SS T-SHIRT</t>
  </si>
  <si>
    <t>KICWV045</t>
  </si>
  <si>
    <t>SHORT PANTS KI CROP SAILING BOAT KICWV045:KHAKI:9-10:GRAPHIC:SHORT PANTS</t>
  </si>
  <si>
    <t>SHORT PANTS KI CROP SAILING BOAT KICWV045:KHAKI:11-12:GRAPHIC:SHORT PANTS</t>
  </si>
  <si>
    <t>SHORT PANTS KI CROP SAILING BOAT KICWV045:KHAKI:13-14:GRAPHIC:SHORT PANTS</t>
  </si>
  <si>
    <t>SHORT PANTS KI CROP SAILING BOAT KICWV045:KHAKI:15-16:GRAPHIC:SHORT PANTS</t>
  </si>
  <si>
    <t>SHORT PANTS KI CROP SAILING BOAT KICWV045:FROST GREY:9-10:GRAPHIC:SHORT PANTS</t>
  </si>
  <si>
    <t>SHORT PANTS KI CROP SAILING BOAT KICWV045:FROST GREY:11-12:GRAPHIC:SHORT PANTS</t>
  </si>
  <si>
    <t>SHORT PANTS KI CROP SAILING BOAT KICWV045:FROST GREY:13-14:GRAPHIC:SHORT PANTS</t>
  </si>
  <si>
    <t>SHORT PANTS KI CROP SAILING BOAT KICWV045:FROST GREY:15-16:GRAPHIC:SHORT PANTS</t>
  </si>
  <si>
    <t>KINKSTO1</t>
  </si>
  <si>
    <t>KI NIKKY SHORTS CROP WOVEN PRINT GEOMETRI KINKSTO1:VANILLA:9-10:SOLID:SHORT PANTS</t>
  </si>
  <si>
    <t>KI NIKKY SHORTS CROP WOVEN PRINT GEOMETRI KINKSTO1:VANILLA:11-12:SOLID:SHORT PANTS</t>
  </si>
  <si>
    <t>KI NIKKY SHORTS CROP WOVEN PRINT GEOMETRI KINKSTO1:VANILLA:13-14:SOLID:SHORT PANTS</t>
  </si>
  <si>
    <t>KI NIKKY SHORTS CROP WOVEN PRINT GEOMETRI KINKSTO1:VANILLA:15-16:SOLID:SHORT PANTS</t>
  </si>
  <si>
    <t>KI NIKKY SHORTS CROP WOVEN PRINT GEOMETRI KINKSTO1:OLIVE:9-10:SOLID:SHORT PANTS</t>
  </si>
  <si>
    <t>KI NIKKY SHORTS CROP WOVEN PRINT GEOMETRI KINKSTO1:OLIVE:11-12:SOLID:SHORT PANTS</t>
  </si>
  <si>
    <t>KI NIKKY SHORTS CROP WOVEN PRINT GEOMETRI KINKSTO1:OLIVE:13-14:SOLID:SHORT PANTS</t>
  </si>
  <si>
    <t>KI NIKKY SHORTS CROP WOVEN PRINT GEOMETRI KINKSTO1:OLIVE:15-16:SOLID:SHORT PANTS</t>
  </si>
  <si>
    <t>KICVSTO4</t>
  </si>
  <si>
    <t>KI CANVAS CROP WOVEN PRINT GEOMETRI KICVSTO4:NAVY BLUE:9-10:SOLID:SHORT PANTS</t>
  </si>
  <si>
    <t>KI CANVAS CROP WOVEN PRINT GEOMETRI KICVSTO4:NAVY BLUE:11-12:SOLID:SHORT PANTS</t>
  </si>
  <si>
    <t>KI CANVAS CROP WOVEN PRINT GEOMETRI KICVSTO4:NAVY BLUE:13-14:SOLID:SHORT PANTS</t>
  </si>
  <si>
    <t>KI CANVAS CROP WOVEN PRINT GEOMETRI KICVSTO4:NAVY BLUE:15-16:SOLID:SHORT PANTS</t>
  </si>
  <si>
    <t>KI CANVAS CROP WOVEN PRINT GEOMETRI KICVSTO4:BLACK:9-10:SOLID:SHORT PANTS</t>
  </si>
  <si>
    <t>KI CANVAS CROP WOVEN PRINT GEOMETRI KICVSTO4:BLACK:11-12:SOLID:SHORT PANTS</t>
  </si>
  <si>
    <t>KI CANVAS CROP WOVEN PRINT GEOMETRI KICVSTO4:BLACK:13-14:SOLID:SHORT PANTS</t>
  </si>
  <si>
    <t>KI CANVAS CROP WOVEN PRINT GEOMETRI KICVSTO4:BLACK:15-16:SOLID:SHORT PANTS</t>
  </si>
  <si>
    <t>KICWV639A</t>
  </si>
  <si>
    <t>SHORTS PANTS WOVEN KI FP ISLAND KICWV639A:KHAKI:9-10:SOLID:SHORT PANTS</t>
  </si>
  <si>
    <t>SHORTS PANTS WOVEN KI FP ISLAND KICWV639A:KHAKI:11-12:SOLID:SHORT PANTS</t>
  </si>
  <si>
    <t>SHORTS PANTS WOVEN KI FP ISLAND KICWV639A:KHAKI:13-14:SOLID:SHORT PANTS</t>
  </si>
  <si>
    <t>SHORTS PANTS WOVEN KI FP ISLAND KICWV639A:KHAKI:15-16:SOLID:SHORT PANTS</t>
  </si>
  <si>
    <t>SHORTS PANTS WOVEN KI FP ISLAND KICWV639A:NAVY BLUE:9-10:SOLID:SHORT PANTS</t>
  </si>
  <si>
    <t>SHORTS PANTS WOVEN KI FP ISLAND KICWV639A:NAVY BLUE:11-12:SOLID:SHORT PANTS</t>
  </si>
  <si>
    <t>SHORTS PANTS WOVEN KI FP ISLAND KICWV639A:NAVY BLUE:13-14:SOLID:SHORT PANTS</t>
  </si>
  <si>
    <t>SHORTS PANTS WOVEN KI FP ISLAND KICWV639A:NAVY BLUE:15-16:SOLID:SHORT PANTS</t>
  </si>
  <si>
    <t>KINKSTO3</t>
  </si>
  <si>
    <t>KI NIKKY SHORTS CROP WOVEN PRINT GEOMETRI KINKSTO3:BLACK:9-10:SOLID:SHORT PANTS</t>
  </si>
  <si>
    <t>KI NIKKY SHORTS CROP WOVEN PRINT GEOMETRI KINKSTO3:BLACK:11-12:SOLID:SHORT PANTS</t>
  </si>
  <si>
    <t>KI NIKKY SHORTS CROP WOVEN PRINT GEOMETRI KINKSTO3:BLACK:13-14:SOLID:SHORT PANTS</t>
  </si>
  <si>
    <t>KI NIKKY SHORTS CROP WOVEN PRINT GEOMETRI KINKSTO3:BLACK:15-16:SOLID:SHORT PANTS</t>
  </si>
  <si>
    <t>KI NIKKY SHORTS CROP WOVEN PRINT GEOMETRI KINKSTO3:OLIVE:9-10:SOLID:SHORT PANTS</t>
  </si>
  <si>
    <t>KI NIKKY SHORTS CROP WOVEN PRINT GEOMETRI KINKSTO3:OLIVE:11-12:SOLID:SHORT PANTS</t>
  </si>
  <si>
    <t>KI NIKKY SHORTS CROP WOVEN PRINT GEOMETRI KINKSTO3:OLIVE:13-14:SOLID:SHORT PANTS</t>
  </si>
  <si>
    <t>KI NIKKY SHORTS CROP WOVEN PRINT GEOMETRI KINKSTO3:OLIVE:15-16:SOLID:SHORT PANTS</t>
  </si>
  <si>
    <t>KINKSTO2</t>
  </si>
  <si>
    <t>KI NIKKY SHORTS CROP WOVEN PRINT GEOMETRI KINKSTO2:WHITE:9-10:SOLID:SHORT PANTS</t>
  </si>
  <si>
    <t>KI NIKKY SHORTS CROP WOVEN PRINT GEOMETRI KINKSTO2:WHITE:11-12:SOLID:SHORT PANTS</t>
  </si>
  <si>
    <t>KI NIKKY SHORTS CROP WOVEN PRINT GEOMETRI KINKSTO2:WHITE:13-14:SOLID:SHORT PANTS</t>
  </si>
  <si>
    <t>KI NIKKY SHORTS CROP WOVEN PRINT GEOMETRI KINKSTO2:WHITE:15-16:SOLID:SHORT PANTS</t>
  </si>
  <si>
    <t>KI NIKKY SHORTS CROP WOVEN PRINT GEOMETRI KINKSTO2:NAVY BLUE:9-10:SOLID:SHORT PANTS</t>
  </si>
  <si>
    <t>KI NIKKY SHORTS CROP WOVEN PRINT GEOMETRI KINKSTO2:NAVY BLUE:11-12:SOLID:SHORT PANTS</t>
  </si>
  <si>
    <t>KI NIKKY SHORTS CROP WOVEN PRINT GEOMETRI KINKSTO2:NAVY BLUE:13-14:SOLID:SHORT PANTS</t>
  </si>
  <si>
    <t>KI NIKKY SHORTS CROP WOVEN PRINT GEOMETRI KINKSTO2:NAVY BLUE:15-16:SOLID:SHORT PANTS</t>
  </si>
  <si>
    <t>KIRBSTO3</t>
  </si>
  <si>
    <t>SHORT PANTS KI RIBSTOP CROP WOVEN PRINT BROKEN SALUR KIRBSTO3:PASTEL GREY:11-12:TEXTURE:SHORT PANTS</t>
  </si>
  <si>
    <t>SHORT PANTS KI RIBSTOP CROP WOVEN PRINT BROKEN SALUR KIRBSTO3:PASTEL GREY:13-14:TEXTURE:SHORT PANTS</t>
  </si>
  <si>
    <t>SHORT PANTS KI RIBSTOP CROP WOVEN PRINT BROKEN SALUR KIRBSTO3:PASTEL GREY:15-16:TEXTURE:SHORT PANTS</t>
  </si>
  <si>
    <t>SHORT PANTS KI RIBSTOP CROP WOVEN PRINT BROKEN SALUR KIRBSTO3:PASTEL BLUE:11-12:TEXTURE:SHORT PANTS</t>
  </si>
  <si>
    <t>SHORT PANTS KI RIBSTOP CROP WOVEN PRINT BROKEN SALUR KIRBSTO3:PASTEL BLUE:13-14:TEXTURE:SHORT PANTS</t>
  </si>
  <si>
    <t>SHORT PANTS KI RIBSTOP CROP WOVEN PRINT BROKEN SALUR KIRBSTO3:PASTEL BLUE:15-16:TEXTURE:SHORT PANTS</t>
  </si>
  <si>
    <t>SHORT PANTS KI RIBSTOP CROP WOVEN PRINT BROKEN SALUR KIRBSTO3:PASTEL GREY:9-10:TEXTURE:SHORT PANTS</t>
  </si>
  <si>
    <t>SHORT PANTS KI RIBSTOP CROP WOVEN PRINT BROKEN SALUR KIRBSTO3:PASTEL BLUE:9-10:TEXTURE:SHORT PANTS</t>
  </si>
  <si>
    <t>KIRBSTO2</t>
  </si>
  <si>
    <t>KI DOUBLE RIBSTOP CROP WOVEN PRINT ABSTRACT KIRBSTO2:KHAKI:11-12:PRINT:SHORT PANTS</t>
  </si>
  <si>
    <t>KI DOUBLE RIBSTOP CROP WOVEN PRINT ABSTRACT KIRBSTO2:KHAKI:13-14:PRINT:SHORT PANTS</t>
  </si>
  <si>
    <t>KI DOUBLE RIBSTOP CROP WOVEN PRINT ABSTRACT KIRBSTO2:KHAKI:15-16:PRINT:SHORT PANTS</t>
  </si>
  <si>
    <t>KI DOUBLE RIBSTOP CROP WOVEN PRINT ABSTRACT KIRBSTO2:KHAKI:9-10:PRINT:SHORT PANTS</t>
  </si>
  <si>
    <t>CWTO2A</t>
  </si>
  <si>
    <t>SHORT PANTS RELAXED OXFORD LENO CHECK LOOSEFIT CWTO2A:BLACK:9-10:CHECKS:SHORT PANTS</t>
  </si>
  <si>
    <t>SHORT PANTS RELAXED OXFORD LENO CHECK LOOSEFIT CWTO2A:BLACK:11-12:CHECKS:SHORT PANTS</t>
  </si>
  <si>
    <t>SHORT PANTS RELAXED OXFORD LENO CHECK LOOSEFIT CWTO2A:BLACK:13-14:CHECKS:SHORT PANTS</t>
  </si>
  <si>
    <t>SHORT PANTS RELAXED OXFORD LENO CHECK LOOSEFIT CWTO2A:BLACK:15-16:CHECKS:SHORT PANTS</t>
  </si>
  <si>
    <t>CWTO2B</t>
  </si>
  <si>
    <t>SHORT PANTS RELAXED OXFORD LENO CHECK LOOSEFIT CWTO2B:CLASSIC BLUE:9-10:CHECKS:SHORT PANTS</t>
  </si>
  <si>
    <t>SHORT PANTS RELAXED OXFORD LENO CHECK LOOSEFIT CWTO2B:CLASSIC BLUE:11-12:CHECKS:SHORT PANTS</t>
  </si>
  <si>
    <t>SHORT PANTS RELAXED OXFORD LENO CHECK LOOSEFIT CWTO2B:CLASSIC BLUE:13-14:CHECKS:SHORT PANTS</t>
  </si>
  <si>
    <t>SHORT PANTS RELAXED OXFORD LENO CHECK LOOSEFIT CWTO2B:CLASSIC BLUE:15-16:CHECKS:SHORT PANTS</t>
  </si>
  <si>
    <t>CWTO5</t>
  </si>
  <si>
    <t>SHORT PANTS WOVEN YARNDYED KOTAK 1CIL CWTO5:CLASSIC BLUE:9-10:CHECKS:SHORT PANTS</t>
  </si>
  <si>
    <t>SHORT PANTS WOVEN YARNDYED KOTAK 1CIL CWTO5:CLASSIC BLUE:11-12:CHECKS:SHORT PANTS</t>
  </si>
  <si>
    <t>SHORT PANTS WOVEN YARNDYED KOTAK 1CIL CWTO5:CLASSIC BLUE:13-14:CHECKS:SHORT PANTS</t>
  </si>
  <si>
    <t>SHORT PANTS WOVEN YARNDYED KOTAK 1CIL CWTO5:CLASSIC BLUE:15-16:CHECKS:SHORT PANTS</t>
  </si>
  <si>
    <t>SHORT PANTS WOVEN YARNDYED KOTAK 1CIL CWTO5:MAROON:9-10:CHECKS:SHORT PANTS</t>
  </si>
  <si>
    <t>SHORT PANTS WOVEN YARNDYED KOTAK 1CIL CWTO5:MAROON:11-12:CHECKS:SHORT PANTS</t>
  </si>
  <si>
    <t>SHORT PANTS WOVEN YARNDYED KOTAK 1CIL CWTO5:MAROON:13-14:CHECKS:SHORT PANTS</t>
  </si>
  <si>
    <t>SHORT PANTS WOVEN YARNDYED KOTAK 1CIL CWTO5:MAROON:15-16:CHECKS:SHORT PANTS</t>
  </si>
  <si>
    <t>BTTO2</t>
  </si>
  <si>
    <t>SHORT PANTS KNIT BT SOLID CARGO BTTO2:KHAKI:9-10:SOLID:SHORT PANTS</t>
  </si>
  <si>
    <t>SHORT PANTS KNIT BT SOLID CARGO BTTO2:KHAKI:11-12:SOLID:SHORT PANTS</t>
  </si>
  <si>
    <t>SHORT PANTS KNIT BT SOLID CARGO BTTO2:KHAKI:13-14:SOLID:SHORT PANTS</t>
  </si>
  <si>
    <t>SHORT PANTS KNIT BT SOLID CARGO BTTO2:KHAKI:15-16:SOLID:SHORT PANTS</t>
  </si>
  <si>
    <t>SHORT KNIT PANTS BT SOLID CARGO BTTO2:GOLDEN BROWN:9-10:SOLID:SHORT PANTS</t>
  </si>
  <si>
    <t>SHORT KNIT PANTS BT SOLID CARGO BTTO2:GOLDEN BROWN:11-12:SOLID:SHORT PANTS</t>
  </si>
  <si>
    <t>SHORT KNIT PANTS BT SOLID CARGO BTTO2:GOLDEN BROWN:13-14:SOLID:SHORT PANTS</t>
  </si>
  <si>
    <t>SHORT KNIT PANTS BT SOLID CARGO BTTO2:GOLDEN BROWN:15-16:SOLID:SHORT PANTS</t>
  </si>
  <si>
    <t>PHGAME98</t>
  </si>
  <si>
    <t>SHORT PANTS TERRY GAME 98 PHGAME98:BLACK:5-6:TEXT:SHORT PANTS</t>
  </si>
  <si>
    <t>SHORT PANTS TERRY GAME 98 PHGAME98:BLACK:7-8:TEXT:SHORT PANTS</t>
  </si>
  <si>
    <t>SHORT PANTS TERRY GAME 98 PHGAME98:BLACK:9-10:TEXT:SHORT PANTS</t>
  </si>
  <si>
    <t>SHORT PANTS TERRY GAME 98 PHGAME98:BLACK:11-12:TEXT:SHORT PANTS</t>
  </si>
  <si>
    <t>PSKVCRG01</t>
  </si>
  <si>
    <t>SHORT PANTS SHORT CARGO 3D KANTONG PSKVCRG01:CHARCOAL:5-6:SOLID:SHORT PANTS</t>
  </si>
  <si>
    <t>SHORT PANTS SHORT CARGO 3D KANTONG PSKVCRG01:CHARCOAL:7-8:SOLID:SHORT PANTS</t>
  </si>
  <si>
    <t>SHORT PANTS SHORT CARGO 3D KANTONG PSKVCRG01:CHARCOAL:9-10:SOLID:SHORT PANTS</t>
  </si>
  <si>
    <t>SHORT PANTS SHORT CARGO 3D KANTONG PSKVCRG01:CHARCOAL:11-12:SOLID:SHORT PANTS</t>
  </si>
  <si>
    <t>PSKVCRG02</t>
  </si>
  <si>
    <t>SHORT PANTS SHORT CARGO 3D KANTONG PSKVCRG02:OLIVE:5-6:SOLID:SHORT PANTS</t>
  </si>
  <si>
    <t>SHORT PANTS SHORT CARGO 3D KANTONG PSKVCRG02:OLIVE:7-8:SOLID:SHORT PANTS</t>
  </si>
  <si>
    <t>SHORT PANTS SHORT CARGO 3D KANTONG PSKVCRG02:OLIVE:9-10:SOLID:SHORT PANTS</t>
  </si>
  <si>
    <t>SHORT PANTS SHORT CARGO 3D KANTONG PSKVCRG02:OLIVE:11-12:SOLID:SHORT PANTS</t>
  </si>
  <si>
    <t>PHBYS2SHT</t>
  </si>
  <si>
    <t>SHORT PANTS TERRY SUPER COOL PHBYS2SHT:MISTY DARK GREY:5-6:GRAPHIC:SHORT PANTS</t>
  </si>
  <si>
    <t>SHORT PANTS TERRY SUPER COOL PHBYS2SHT:MISTY DARK GREY:7-8:GRAPHIC:SHORT PANTS</t>
  </si>
  <si>
    <t>SHORT PANTS TERRY SUPER COOL PHBYS2SHT:MISTY DARK GREY:9-10:GRAPHIC:SHORT PANTS</t>
  </si>
  <si>
    <t>SHORT PANTS TERRY SUPER COOL PHBYS2SHT:MISTY DARK GREY:11-12:GRAPHIC:SHORT PANTS</t>
  </si>
  <si>
    <t>PSANRACE5S</t>
  </si>
  <si>
    <t>SHORT PANTS TERRY RACE TOKYO 23 PSANRACE5S:NAVY BLUE:5-6:GRAPHIC:SHORT PANTS</t>
  </si>
  <si>
    <t>SHORT PANTS TERRY RACE TOKYO 23 PSANRACE5S:NAVY BLUE:7-8:GRAPHIC:SHORT PANTS</t>
  </si>
  <si>
    <t>SHORT PANTS TERRY RACE TOKYO 23 PSANRACE5S:NAVY BLUE:9-10:GRAPHIC:SHORT PANTS</t>
  </si>
  <si>
    <t>SHORT PANTS TERRY RACE TOKYO 23 PSANRACE5S:NAVY BLUE:11-12:GRAPHIC:SHORT PANTS</t>
  </si>
  <si>
    <t>KIPHTKY01S</t>
  </si>
  <si>
    <t>SS T-SHIRT PRESS T-SHIRT START KIPHTKY01S:BLACK:5-6:GRAPHIC:SS T-SHIRT</t>
  </si>
  <si>
    <t>SS T-SHIRT PRESS T-SHIRT START KIPHTKY01S:BLACK:7-8:GRAPHIC:SS T-SHIRT</t>
  </si>
  <si>
    <t>SS T-SHIRT PRESS T-SHIRT START KIPHTKY01S:BLACK:9-10:GRAPHIC:SS T-SHIRT</t>
  </si>
  <si>
    <t>SS T-SHIRT PRESS T-SHIRT START KIPHTKY01S:BLACK:11-12:GRAPHIC:SS T-SHIRT</t>
  </si>
  <si>
    <t>KIPHTKY02S</t>
  </si>
  <si>
    <t>SS T-SHIRT PLAYER OF THE YEAR KIPHTKY02S:PASTEL GREEN:5-6:GRAPHIC:SS T-SHIRT</t>
  </si>
  <si>
    <t>SS T-SHIRT PLAYER OF THE YEAR KIPHTKY02S:PASTEL GREEN:7-8:GRAPHIC:SS T-SHIRT</t>
  </si>
  <si>
    <t>SS T-SHIRT PLAYER OF THE YEAR KIPHTKY02S:PASTEL GREEN:9-10:GRAPHIC:SS T-SHIRT</t>
  </si>
  <si>
    <t>SS T-SHIRT PLAYER OF THE YEAR KIPHTKY02S:PASTEL GREEN:11-12:GRAPHIC:SS T-SHIRT</t>
  </si>
  <si>
    <t>KIPHTKY03S</t>
  </si>
  <si>
    <t>SS T-SHIRT 95 FAST KIPHTKY03S:MISTY MEDIUM GREY:5-6:GRAPHIC:SS T-SHIRT</t>
  </si>
  <si>
    <t>SS T-SHIRT 95 FAST KIPHTKY03S:MISTY MEDIUM GREY:7-8:GRAPHIC:SS T-SHIRT</t>
  </si>
  <si>
    <t>SS T-SHIRT 95 FAST KIPHTKY03S:MISTY MEDIUM GREY:9-10:GRAPHIC:SS T-SHIRT</t>
  </si>
  <si>
    <t>SS T-SHIRT 95 FAST KIPHTKY03S:MISTY MEDIUM GREY:11-12:GRAPHIC:SS T-SHIRT</t>
  </si>
  <si>
    <t>KIPHTKY04S</t>
  </si>
  <si>
    <t>SS T-SHIRT READY SPEEDO KIPHTKY04S:MUSTARD:5-6:GRAPHIC:SS T-SHIRT</t>
  </si>
  <si>
    <t>SS T-SHIRT READY SPEEDO KIPHTKY04S:MUSTARD:7-8:GRAPHIC:SS T-SHIRT</t>
  </si>
  <si>
    <t>SS T-SHIRT READY SPEEDO KIPHTKY04S:MUSTARD:9-10:GRAPHIC:SS T-SHIRT</t>
  </si>
  <si>
    <t>SS T-SHIRT READY SPEEDO KIPHTKY04S:MUSTARD:11-12:GRAPHIC:SS T-SHIRT</t>
  </si>
  <si>
    <t>KIPHTKY05S</t>
  </si>
  <si>
    <t>SS T-SHIRT RACE CAR KIPHTKY05S:WHITE:5-6:GRAPHIC:SS T-SHIRT</t>
  </si>
  <si>
    <t>SS T-SHIRT RACE CAR KIPHTKY05S:WHITE:7-8:GRAPHIC:SS T-SHIRT</t>
  </si>
  <si>
    <t>SS T-SHIRT RACE CAR KIPHTKY05S:WHITE:9-10:GRAPHIC:SS T-SHIRT</t>
  </si>
  <si>
    <t>SS T-SHIRT RACE CAR KIPHTKY05S:WHITE:11-12:GRAPHIC:SS T-SHIRT</t>
  </si>
  <si>
    <t>KIDEWCP02</t>
  </si>
  <si>
    <t>SS T-SHIRT SPORT SOCCER KIDEWCP02:NAVY BLUE:5-6:GRAPHIC:SS T-SHIRT</t>
  </si>
  <si>
    <t>SS T-SHIRT SPORT SOCCER KIDEWCP02:NAVY BLUE:7-8:GRAPHIC:SS T-SHIRT</t>
  </si>
  <si>
    <t>SS T-SHIRT SPORT SOCCER KIDEWCP02:NAVY BLUE:9-10:GRAPHIC:SS T-SHIRT</t>
  </si>
  <si>
    <t>SS T-SHIRT SPORT SOCCER KIDEWCP02:NAVY BLUE:11-12:GRAPHIC:SS T-SHIRT</t>
  </si>
  <si>
    <t>KIDEWCP04</t>
  </si>
  <si>
    <t>SS T-SHIRT SHARK CHEESE KIDEWCP04:CLASSIC RED:5-6:GRAPHIC:SS T-SHIRT</t>
  </si>
  <si>
    <t>SS T-SHIRT SHARK CHEESE KIDEWCP04:CLASSIC RED:7-8:GRAPHIC:SS T-SHIRT</t>
  </si>
  <si>
    <t>SS T-SHIRT SHARK CHEESE KIDEWCP04:CLASSIC RED:9-10:GRAPHIC:SS T-SHIRT</t>
  </si>
  <si>
    <t>SS T-SHIRT SHARK CHEESE KIDEWCP04:CLASSIC RED:11-12:GRAPHIC:SS T-SHIRT</t>
  </si>
  <si>
    <t>KIPHTKY01B</t>
  </si>
  <si>
    <t>SHORT PANTS PRESS T-SHIRT START KIPHTKY01B:MUSTARD:5-6:GRAPHIC:SHORT PANTS</t>
  </si>
  <si>
    <t>SHORT PANTS PRESS T-SHIRT START KIPHTKY01B:MUSTARD:7-8:GRAPHIC:SHORT PANTS</t>
  </si>
  <si>
    <t>SHORT PANTS PRESS T-SHIRT START KIPHTKY01B:MUSTARD:9-10:GRAPHIC:SHORT PANTS</t>
  </si>
  <si>
    <t>SHORT PANTS PRESS T-SHIRT START KIPHTKY01B:MUSTARD:11-12:GRAPHIC:SHORT PANTS</t>
  </si>
  <si>
    <t>KIPHTKY02B</t>
  </si>
  <si>
    <t>SHORT PANTS PLAYER  OF THE YEAR KIPHTKY02B:PASTEL GREEN:5-6:GRAPHIC:SHORT PANTS</t>
  </si>
  <si>
    <t>SHORT PANTS PLAYER  OF THE YEAR KIPHTKY02B:PASTEL GREEN:7-8:GRAPHIC:SHORT PANTS</t>
  </si>
  <si>
    <t>SHORT PANTS PLAYER  OF THE YEAR KIPHTKY02B:PASTEL GREEN:9-10:GRAPHIC:SHORT PANTS</t>
  </si>
  <si>
    <t>SHORT PANTS PLAYER  OF THE YEAR KIPHTKY02B:PASTEL GREEN:11-12:GRAPHIC:SHORT PANTS</t>
  </si>
  <si>
    <t>KIPHTKY03B</t>
  </si>
  <si>
    <t>SHORT PANTS RACE CAR KIPHTKY03B:BLACK:5-6:GRAPHIC:SHORT PANTS</t>
  </si>
  <si>
    <t>SHORT PANTS RACE CAR KIPHTKY03B:BLACK:7-8:GRAPHIC:SHORT PANTS</t>
  </si>
  <si>
    <t>SHORT PANTS RACE CAR KIPHTKY03B:BLACK:9-10:GRAPHIC:SHORT PANTS</t>
  </si>
  <si>
    <t>SHORT PANTS RACE CAR KIPHTKY03B:BLACK:11-12:GRAPHIC:SHORT PANTS</t>
  </si>
  <si>
    <t>KIPHBLL01S</t>
  </si>
  <si>
    <t>SS T-SHIRT PANDA BALL 23 KIPHBLL01S:MUSTARD:5-6:GRAPHIC:SS T-SHIRT</t>
  </si>
  <si>
    <t>SS T-SHIRT PANDA BALL 23 KIPHBLL01S:MUSTARD:7-8:GRAPHIC:SS T-SHIRT</t>
  </si>
  <si>
    <t>SS T-SHIRT PANDA BALL 23 KIPHBLL01S:MUSTARD:9-10:GRAPHIC:SS T-SHIRT</t>
  </si>
  <si>
    <t>SS T-SHIRT PANDA BALL 23 KIPHBLL01S:MUSTARD:11-12:GRAPHIC:SS T-SHIRT</t>
  </si>
  <si>
    <t>KIPHBLL02S</t>
  </si>
  <si>
    <t>SS T-SHIRT MINI ASTRONOUT KIPHBLL02S:BLACK:5-6:GRAPHIC:SS T-SHIRT</t>
  </si>
  <si>
    <t>SS T-SHIRT MINI ASTRONOUT KIPHBLL02S:BLACK:7-8:GRAPHIC:SS T-SHIRT</t>
  </si>
  <si>
    <t>SS T-SHIRT MINI ASTRONOUT KIPHBLL02S:BLACK:9-10:GRAPHIC:SS T-SHIRT</t>
  </si>
  <si>
    <t>SS T-SHIRT MINI ASTRONOUT KIPHBLL02S:BLACK:11-12:GRAPHIC:SS T-SHIRT</t>
  </si>
  <si>
    <t>KIPHBLL03S</t>
  </si>
  <si>
    <t>SS T-SHIRT RACE LEADER KIPHBLL03S:PASTEL GREEN:5-6:GRAPHIC:SS T-SHIRT</t>
  </si>
  <si>
    <t>SS T-SHIRT RACE LEADER KIPHBLL03S:PASTEL GREEN:7-8:GRAPHIC:SS T-SHIRT</t>
  </si>
  <si>
    <t>SS T-SHIRT RACE LEADER KIPHBLL03S:PASTEL GREEN:9-10:GRAPHIC:SS T-SHIRT</t>
  </si>
  <si>
    <t>SS T-SHIRT RACE LEADER KIPHBLL03S:PASTEL GREEN:11-12:GRAPHIC:SS T-SHIRT</t>
  </si>
  <si>
    <t>KIPHBLL04S</t>
  </si>
  <si>
    <t>SS T-SHIRT LET THE GAME BEGIN KIPHBLL04S:CHARCOAL:5-6:GRAPHIC:SS T-SHIRT</t>
  </si>
  <si>
    <t>SS T-SHIRT LET THE GAME BEGIN KIPHBLL04S:CHARCOAL:7-8:GRAPHIC:SS T-SHIRT</t>
  </si>
  <si>
    <t>SS T-SHIRT LET THE GAME BEGIN KIPHBLL04S:CHARCOAL:9-10:GRAPHIC:SS T-SHIRT</t>
  </si>
  <si>
    <t>SS T-SHIRT LET THE GAME BEGIN KIPHBLL04S:CHARCOAL:11-12:GRAPHIC:SS T-SHIRT</t>
  </si>
  <si>
    <t>KIPHBLL05S</t>
  </si>
  <si>
    <t>SS T-SHIRT GAME ON KIPHBLL05S:RUSTIC BROWN:5-6:GRAPHIC:SS T-SHIRT</t>
  </si>
  <si>
    <t>SS T-SHIRT GAME ON KIPHBLL05S:RUSTIC BROWN:7-8:GRAPHIC:SS T-SHIRT</t>
  </si>
  <si>
    <t>SS T-SHIRT GAME ON KIPHBLL05S:RUSTIC BROWN:9-10:GRAPHIC:SS T-SHIRT</t>
  </si>
  <si>
    <t>SS T-SHIRT GAME ON KIPHBLL05S:RUSTIC BROWN:11-12:GRAPHIC:SS T-SHIRT</t>
  </si>
  <si>
    <t>CNSGN11</t>
  </si>
  <si>
    <t>SHORT PANTS KNIT PE SJ CNS SIDE PRINT NO RULES CNSGN11:MISTY MEDIUM GREY:9-10:SOLID:SHORT PANTS</t>
  </si>
  <si>
    <t>SHORT PANTS KNIT PE SJ CNS SIDE PRINT NO RULES CNSGN11:MISTY MEDIUM GREY:11-12:SOLID:SHORT PANTS</t>
  </si>
  <si>
    <t>SHORT PANTS KNIT PE SJ CNS SIDE PRINT NO RULES CNSGN11:MISTY MEDIUM GREY:13-14:SOLID:SHORT PANTS</t>
  </si>
  <si>
    <t>SHORT PANTS KNIT PE SJ CNS SIDE PRINT NO RULES CNSGN11:MISTY MEDIUM GREY:15-16:SOLID:SHORT PANTS</t>
  </si>
  <si>
    <t>BTG3</t>
  </si>
  <si>
    <t>SHORT PANTS KNIT BT SOLID PRINT BTG3:GOLDEN BROWN:9-10:SOLID:SHORT PANTS</t>
  </si>
  <si>
    <t>SHORT PANTS KNIT BT SOLID PRINT BTG3:GOLDEN BROWN:11-12:SOLID:SHORT PANTS</t>
  </si>
  <si>
    <t>SHORT PANTS KNIT BT SOLID PRINT BTG3:GOLDEN BROWN:13-14:SOLID:SHORT PANTS</t>
  </si>
  <si>
    <t>SHORT PANTS KNIT BT SOLID PRINT BTG3:GOLDEN BROWN:15-16:SOLID:SHORT PANTS</t>
  </si>
  <si>
    <t>CNSGN5</t>
  </si>
  <si>
    <t>SHORT PANTS KNIT PE SJ CNS COLOR BLOCK UNSTOPABLE CNSGN5:NAVY BLUE:9-10:SOLID:SHORT PANTS</t>
  </si>
  <si>
    <t>SHORT PANTS KNIT PE SJ CNS COLOR BLOCK UNSTOPABLE CNSGN5:NAVY BLUE:11-12:SOLID:SHORT PANTS</t>
  </si>
  <si>
    <t>SHORT PANTS KNIT PE SJ CNS COLOR BLOCK UNSTOPABLE CNSGN5:NAVY BLUE:13-14:SOLID:SHORT PANTS</t>
  </si>
  <si>
    <t>SHORT PANTS KNIT PE SJ CNS COLOR BLOCK UNSTOPABLE CNSGN5:NAVY BLUE:15-16:SOLID:SHORT PANTS</t>
  </si>
  <si>
    <t>BTG4</t>
  </si>
  <si>
    <t>SHORT KNIT BT SOLID PRINT BTG4:BROWN SUGAR:9-10:SOLID:SHORT PANTS</t>
  </si>
  <si>
    <t>SHORT KNIT BT SOLID PRINT BTG4:BROWN SUGAR:11-12:SOLID:SHORT PANTS</t>
  </si>
  <si>
    <t>SHORT KNIT BT SOLID PRINT BTG4:BROWN SUGAR:13-14:SOLID:SHORT PANTS</t>
  </si>
  <si>
    <t>SHORT KNIT BT SOLID PRINT BTG4:BROWN SUGAR:15-16:SOLID:SHORT PANTS</t>
  </si>
  <si>
    <t>CNSGN9</t>
  </si>
  <si>
    <t>SHORT PANTS KNIT PE SJ CNS SIDE PRINT NVD 98 CNSGN9:MANDARIN ORANGE:9-10:SOLID:SHORT PANTS</t>
  </si>
  <si>
    <t>SHORT PANTS KNIT PE SJ CNS SIDE PRINT NVD 98 CNSGN9:MANDARIN ORANGE:11-12:SOLID:SHORT PANTS</t>
  </si>
  <si>
    <t>SHORT PANTS KNIT PE SJ CNS SIDE PRINT NVD 98 CNSGN9:MANDARIN ORANGE:13-14:SOLID:SHORT PANTS</t>
  </si>
  <si>
    <t>SHORT PANTS KNIT PE SJ CNS SIDE PRINT NVD 98 CNSGN9:MANDARIN ORANGE:15-16:SOLID:SHORT PANTS</t>
  </si>
  <si>
    <t>KIH40</t>
  </si>
  <si>
    <t>SS T-SHIRT KI TC PRINT ALWAYS LOOKING FORWARD KIH40:CLASSIC RED:9-10:GRAPHIC:SS T-SHIRT</t>
  </si>
  <si>
    <t>SS T-SHIRT KI TC PRINT ALWAYS LOOKING FORWARD KIH40:CLASSIC RED:11-12:GRAPHIC:SS T-SHIRT</t>
  </si>
  <si>
    <t>SS T-SHIRT KI TC PRINT ALWAYS LOOKING FORWARD KIH40:CLASSIC RED:13-14:GRAPHIC:SS T-SHIRT</t>
  </si>
  <si>
    <t>SS T-SHIRT KI TC PRINT ALWAYS LOOKING FORWARD KIH40:CLASSIC RED:15-16:GRAPHIC:SS T-SHIRT</t>
  </si>
  <si>
    <t>KIH41</t>
  </si>
  <si>
    <t>SS T-SHIRT KI TC PRINT FREE SPIRIT KIH41:WHITE:9-10:GRAPHIC:SS T-SHIRT</t>
  </si>
  <si>
    <t>SS T-SHIRT KI TC PRINT FREE SPIRIT KIH41:WHITE:11-12:GRAPHIC:SS T-SHIRT</t>
  </si>
  <si>
    <t>SS T-SHIRT KI TC PRINT FREE SPIRIT KIH41:WHITE:13-14:GRAPHIC:SS T-SHIRT</t>
  </si>
  <si>
    <t>SS T-SHIRT KI TC PRINT FREE SPIRIT KIH41:WHITE:15-16:GRAPHIC:SS T-SHIRT</t>
  </si>
  <si>
    <t>KIH42</t>
  </si>
  <si>
    <t>SS T-SHIRT KI TC PRINT IM GENIUS KIH42:GOLDEN BROWN:9-10:GRAPHIC:SS T-SHIRT</t>
  </si>
  <si>
    <t>SS T-SHIRT KI TC PRINT IM GENIUS KIH42:GOLDEN BROWN:11-12:GRAPHIC:SS T-SHIRT</t>
  </si>
  <si>
    <t>SS T-SHIRT KI TC PRINT IM GENIUS KIH42:GOLDEN BROWN:13-14:GRAPHIC:SS T-SHIRT</t>
  </si>
  <si>
    <t>SS T-SHIRT KI TC PRINT IM GENIUS KIH42:GOLDEN BROWN:15-16:GRAPHIC:SS T-SHIRT</t>
  </si>
  <si>
    <t>KIH43</t>
  </si>
  <si>
    <t>SS T-SHIRT KI TC PRINT CREATIVITY KIH43:PASTEL BLUE:9-10:GRAPHIC:SS T-SHIRT</t>
  </si>
  <si>
    <t>SS T-SHIRT KI TC PRINT CREATIVITY KIH43:PASTEL BLUE:11-12:GRAPHIC:SS T-SHIRT</t>
  </si>
  <si>
    <t>SS T-SHIRT KI TC PRINT CREATIVITY KIH43:PASTEL BLUE:13-14:GRAPHIC:SS T-SHIRT</t>
  </si>
  <si>
    <t>SS T-SHIRT KI TC PRINT CREATIVITY KIH43:PASTEL BLUE:15-16:GRAPHIC:SS T-SHIRT</t>
  </si>
  <si>
    <t>KIT40</t>
  </si>
  <si>
    <t>SS T-SHIRT KI TC PRINT FACE GREAT ANIME KIT40:OFF WHITE:9-10:GRAPHIC:SS T-SHIRT</t>
  </si>
  <si>
    <t>SS T-SHIRT KI TC PRINT FACE GREAT ANIME KIT40:OFF WHITE:11-12:GRAPHIC:SS T-SHIRT</t>
  </si>
  <si>
    <t>SS T-SHIRT KI TC PRINT FACE GREAT ANIME KIT40:OFF WHITE:13-14:GRAPHIC:SS T-SHIRT</t>
  </si>
  <si>
    <t>SS T-SHIRT KI TC PRINT FACE GREAT ANIME KIT40:OFF WHITE:15-16:GRAPHIC:SS T-SHIRT</t>
  </si>
  <si>
    <t>KIT41</t>
  </si>
  <si>
    <t>SS T-SHIRT KI TC PRINT WORD JAPANESE ANIME KIT41:MANDARIN ORANGE:9-10:GRAPHIC:SS T-SHIRT</t>
  </si>
  <si>
    <t>SS T-SHIRT KI TC PRINT WORD JAPANESE ANIME KIT41:MANDARIN ORANGE:11-12:GRAPHIC:SS T-SHIRT</t>
  </si>
  <si>
    <t>SS T-SHIRT KI TC PRINT WORD JAPANESE ANIME KIT41:MANDARIN ORANGE:13-14:GRAPHIC:SS T-SHIRT</t>
  </si>
  <si>
    <t>SS T-SHIRT KI TC PRINT WORD JAPANESE ANIME KIT41:MANDARIN ORANGE:15-16:GRAPHIC:SS T-SHIRT</t>
  </si>
  <si>
    <t>KIT42</t>
  </si>
  <si>
    <t>SS T-SHIRT KI TC PRINT EAST SLEEP ANIME KIT42:BLACK:9-10:GRAPHIC:SS T-SHIRT</t>
  </si>
  <si>
    <t>SS T-SHIRT KI TC PRINT EAST SLEEP ANIME KIT42:BLACK:11-12:GRAPHIC:SS T-SHIRT</t>
  </si>
  <si>
    <t>SS T-SHIRT KI TC PRINT EAST SLEEP ANIME KIT42:BLACK:13-14:GRAPHIC:SS T-SHIRT</t>
  </si>
  <si>
    <t>SS T-SHIRT KI TC PRINT EAST SLEEP ANIME KIT42:BLACK:15-16:GRAPHIC:SS T-SHIRT</t>
  </si>
  <si>
    <t>KIT43</t>
  </si>
  <si>
    <t>SS T-SHIRT KI TC PRINT FACE STRONGER ANIME KIT43:TEAL:9-10:GRAPHIC:SS T-SHIRT</t>
  </si>
  <si>
    <t>SS T-SHIRT KI TC PRINT FACE STRONGER ANIME KIT43:TEAL:11-12:GRAPHIC:SS T-SHIRT</t>
  </si>
  <si>
    <t>SS T-SHIRT KI TC PRINT FACE STRONGER ANIME KIT43:TEAL:13-14:GRAPHIC:SS T-SHIRT</t>
  </si>
  <si>
    <t>SS T-SHIRT KI TC PRINT FACE STRONGER ANIME KIT43:TEAL:15-16:GRAPHIC:SS T-SHIRT</t>
  </si>
  <si>
    <t>KIT44</t>
  </si>
  <si>
    <t>SS T-SHIRT KI TC PRINT CITY BROOKLYN BULAT KIT44:GRASS GREEN:9-10:GRAPHIC:SS T-SHIRT</t>
  </si>
  <si>
    <t>SS T-SHIRT KI TC PRINT CITY BROOKLYN BULAT KIT44:GRASS GREEN:11-12:GRAPHIC:SS T-SHIRT</t>
  </si>
  <si>
    <t>SS T-SHIRT KI TC PRINT CITY BROOKLYN BULAT KIT44:GRASS GREEN:13-14:GRAPHIC:SS T-SHIRT</t>
  </si>
  <si>
    <t>SS T-SHIRT KI TC PRINT CITY BROOKLYN BULAT KIT44:GRASS GREEN:15-16:GRAPHIC:SS T-SHIRT</t>
  </si>
  <si>
    <t>KIT46</t>
  </si>
  <si>
    <t>SS T-SHIRT KI TC PRINT CITY BERKELEY KIT46:CHRISTMAS GREEN:9-10:GRAPHIC:SS T-SHIRT</t>
  </si>
  <si>
    <t>SS T-SHIRT KI TC PRINT CITY BERKELEY KIT46:CHRISTMAS GREEN:11-12:GRAPHIC:SS T-SHIRT</t>
  </si>
  <si>
    <t>SS T-SHIRT KI TC PRINT CITY BERKELEY KIT46:CHRISTMAS GREEN:13-14:GRAPHIC:SS T-SHIRT</t>
  </si>
  <si>
    <t>SS T-SHIRT KI TC PRINT CITY BERKELEY KIT46:CHRISTMAS GREEN:15-16:GRAPHIC:SS T-SHIRT</t>
  </si>
  <si>
    <t>KIT47</t>
  </si>
  <si>
    <t>SS T-SHIRT KI TC PRINT CITY NYC UNITED STATES KIT47:NAVY BLUE:9-10:GRAPHIC:SS T-SHIRT</t>
  </si>
  <si>
    <t>SS T-SHIRT KI TC PRINT CITY NYC UNITED STATES KIT47:NAVY BLUE:11-12:GRAPHIC:SS T-SHIRT</t>
  </si>
  <si>
    <t>SS T-SHIRT KI TC PRINT CITY NYC UNITED STATES KIT47:NAVY BLUE:13-14:GRAPHIC:SS T-SHIRT</t>
  </si>
  <si>
    <t>SS T-SHIRT KI TC PRINT CITY NYC UNITED STATES KIT47:NAVY BLUE:15-16:GRAPHIC:SS T-SHIRT</t>
  </si>
  <si>
    <t>KIT48</t>
  </si>
  <si>
    <t>SS T-SHIRT KI TC PRINT CITY TOPOGRAFI KIT48:WHITE:9-10:GRAPHIC:SS T-SHIRT</t>
  </si>
  <si>
    <t>SS T-SHIRT KI TC PRINT CITY TOPOGRAFI KIT48:WHITE:11-12:GRAPHIC:SS T-SHIRT</t>
  </si>
  <si>
    <t>SS T-SHIRT KI TC PRINT CITY TOPOGRAFI KIT48:WHITE:13-14:GRAPHIC:SS T-SHIRT</t>
  </si>
  <si>
    <t>SS T-SHIRT KI TC PRINT CITY TOPOGRAFI KIT48:WHITE:15-16:GRAPHIC:SS T-SHIRT</t>
  </si>
  <si>
    <t>KIT45</t>
  </si>
  <si>
    <t>SS T-SHIRT KI TC PRINT CITY BRIDGE KIT45:MAROON:9-10:GRAPHIC:SS T-SHIRT</t>
  </si>
  <si>
    <t>SS T-SHIRT KI TC PRINT CITY BRIDGE KIT45:MAROON:11-12:GRAPHIC:SS T-SHIRT</t>
  </si>
  <si>
    <t>SS T-SHIRT KI TC PRINT CITY BRIDGE KIT45:MAROON:13-14:GRAPHIC:SS T-SHIRT</t>
  </si>
  <si>
    <t>SS T-SHIRT KI TC PRINT CITY BRIDGE KIT45:MAROON:15-16:GRAPHIC:SS T-SHIRT</t>
  </si>
  <si>
    <t>KITHALLOW1</t>
  </si>
  <si>
    <t>SS T-SHIRT KI TC PRINT HALLOWEEN FINGER CREEPIN IT REAL KITHALLOW1:WHITE:9-10:GRAPHIC:SS T-SHIRT</t>
  </si>
  <si>
    <t>SS T-SHIRT KI TC PRINT HALLOWEEN FINGER CREEPIN IT REAL KITHALLOW1:WHITE:11-12:GRAPHIC:SS T-SHIRT</t>
  </si>
  <si>
    <t>SS T-SHIRT KI TC PRINT HALLOWEEN FINGER CREEPIN IT REAL KITHALLOW1:WHITE:13-14:GRAPHIC:SS T-SHIRT</t>
  </si>
  <si>
    <t>SS T-SHIRT KI TC PRINT HALLOWEEN FINGER CREEPIN IT REAL KITHALLOW1:WHITE:15-16:GRAPHIC:SS T-SHIRT</t>
  </si>
  <si>
    <t>KITHALLOW2</t>
  </si>
  <si>
    <t>SS T-SHIRT KI TC PRINT HALLOWEEN NEVER BETTER KITHALLOW2:BLACK:9-10:GRAPHIC:SS T-SHIRT</t>
  </si>
  <si>
    <t>SS T-SHIRT KI TC PRINT HALLOWEEN NEVER BETTER KITHALLOW2:BLACK:11-12:GRAPHIC:SS T-SHIRT</t>
  </si>
  <si>
    <t>SS T-SHIRT KI TC PRINT HALLOWEEN NEVER BETTER KITHALLOW2:BLACK:13-14:GRAPHIC:SS T-SHIRT</t>
  </si>
  <si>
    <t>SS T-SHIRT KI TC PRINT HALLOWEEN NEVER BETTER KITHALLOW2:BLACK:15-16:GRAPHIC:SS T-SHIRT</t>
  </si>
  <si>
    <t>KITHALLOW3</t>
  </si>
  <si>
    <t>SS T-SHIRT KI TC PRINT HALLOWEEN FUN SPOOKY KITHALLOW3:PASTEL GREY:9-10:GRAPHIC:SS T-SHIRT</t>
  </si>
  <si>
    <t>SS T-SHIRT KI TC PRINT HALLOWEEN FUN SPOOKY KITHALLOW3:PASTEL GREY:11-12:GRAPHIC:SS T-SHIRT</t>
  </si>
  <si>
    <t>SS T-SHIRT KI TC PRINT HALLOWEEN FUN SPOOKY KITHALLOW3:PASTEL GREY:13-14:GRAPHIC:SS T-SHIRT</t>
  </si>
  <si>
    <t>SS T-SHIRT KI TC PRINT HALLOWEEN FUN SPOOKY KITHALLOW3:PASTEL GREY:15-16:GRAPHIC:SS T-SHIRT</t>
  </si>
  <si>
    <t>KICHNOSTR3</t>
  </si>
  <si>
    <t>LONG PANTS WOVEN REGULER ZIPPER STRETCH AMATSU KICHNOSTR3:CHARCOAL:9-10:SOLID:LONG PANTS</t>
  </si>
  <si>
    <t>LONG PANTS WOVEN REGULER ZIPPER STRETCH AMATSU KICHNOSTR3:CHARCOAL:11-12:SOLID:LONG PANTS</t>
  </si>
  <si>
    <t>LONG PANTS WOVEN REGULER ZIPPER STRETCH AMATSU KICHNOSTR3:CHARCOAL:13-14:SOLID:LONG PANTS</t>
  </si>
  <si>
    <t>LONG PANTS WOVEN REGULER ZIPPER STRETCH AMATSU KICHNOSTR3:CHARCOAL:15-16:SOLID:LONG PANTS</t>
  </si>
  <si>
    <t>LONG PANTS WOVEN REGULER ZIPPER STRETCH AMATSU KICHNOSTR3:SAND:9-10:SOLID:LONG PANTS</t>
  </si>
  <si>
    <t>LONG PANTS WOVEN REGULER ZIPPER STRETCH AMATSU KICHNOSTR3:SAND:11-12:SOLID:LONG PANTS</t>
  </si>
  <si>
    <t>LONG PANTS WOVEN REGULER ZIPPER STRETCH AMATSU KICHNOSTR3:SAND:13-14:SOLID:LONG PANTS</t>
  </si>
  <si>
    <t>LONG PANTS WOVEN REGULER ZIPPER STRETCH AMATSU KICHNOSTR3:SAND:15-16:SOLID:LONG PANTS</t>
  </si>
  <si>
    <t>LONG PANTS WOVEN REGULER ZIPPER STRETCH AMATSU KICHNOSTR3:TAUPE GREY:9-10:SOLID:LONG PANTS</t>
  </si>
  <si>
    <t>LONG PANTS WOVEN REGULER ZIPPER STRETCH AMATSU KICHNOSTR3:TAUPE GREY:11-12:SOLID:LONG PANTS</t>
  </si>
  <si>
    <t>LONG PANTS WOVEN REGULER ZIPPER STRETCH AMATSU KICHNOSTR3:TAUPE GREY:13-14:SOLID:LONG PANTS</t>
  </si>
  <si>
    <t>LONG PANTS WOVEN REGULER ZIPPER STRETCH AMATSU KICHNOSTR3:TAUPE GREY:15-16:SOLID:LONG PANTS</t>
  </si>
  <si>
    <t>KILINEN1</t>
  </si>
  <si>
    <t>KI CROP WOVEN LINEN LOOK PRINT STRIPE KILINEN1:WHITE:11-12:SOLID:SHORT PANTS</t>
  </si>
  <si>
    <t>KI CROP WOVEN LINEN LOOK PRINT STRIPE KILINEN1:WHITE:13-14:SOLID:SHORT PANTS</t>
  </si>
  <si>
    <t>KI CROP WOVEN LINEN LOOK PRINT STRIPE KILINEN1:WHITE:15-16:SOLID:SHORT PANTS</t>
  </si>
  <si>
    <t>KI CROP WOVEN LINEN LOOK PRINT STRIPE KILINEN1:FROST GREY:9-10:SOLID:SHORT PANTS</t>
  </si>
  <si>
    <t>KI CROP WOVEN LINEN LOOK PRINT STRIPE KILINEN1:FROST GREY:11-12:SOLID:SHORT PANTS</t>
  </si>
  <si>
    <t>KI CROP WOVEN LINEN LOOK PRINT STRIPE KILINEN1:FROST GREY:13-14:SOLID:SHORT PANTS</t>
  </si>
  <si>
    <t>KI CROP WOVEN LINEN LOOK PRINT STRIPE KILINEN1:FROST GREY:15-16:SOLID:SHORT PANTS</t>
  </si>
  <si>
    <t>KI CROP WOVEN LINEN LOOK PRINT STRIPE KILINEN1:WHITE:9-10:SOLID:SHORT PANTS</t>
  </si>
  <si>
    <t>KIOXFTO2</t>
  </si>
  <si>
    <t>KI OXFORD LENO CROP WOVEN PRINT TERRY TEXTURED DOUBLE RIB KIOXFTO2:BLACK:9-10:TEXTURE:SHORT PANTS</t>
  </si>
  <si>
    <t>KI OXFORD LENO CROP WOVEN PRINT TERRY TEXTURED DOUBLE RIB KIOXFTO2:BLACK:11-12:TEXTURE:SHORT PANTS</t>
  </si>
  <si>
    <t>KI OXFORD LENO CROP WOVEN PRINT TERRY TEXTURED DOUBLE RIB KIOXFTO2:BLACK:13-14:TEXTURE:SHORT PANTS</t>
  </si>
  <si>
    <t>KI OXFORD LENO CROP WOVEN PRINT TERRY TEXTURED DOUBLE RIB KIOXFTO2:BLACK:15-16:TEXTURE:SHORT PANTS</t>
  </si>
  <si>
    <t>KI OXFORD LENO CROP WOVEN PRINT TERRY TEXTURED DOUBLE RIB KIOXFTO2:NAVY BLUE:9-10:TEXTURE:SHORT PAN</t>
  </si>
  <si>
    <t>KI OXFORD LENO CROP WOVEN PRINT TERRY TEXTURED DOUBLE RIB KIOXFTO2:NAVY BLUE:11-12:TEXTURE:SHORT PA</t>
  </si>
  <si>
    <t>KI OXFORD LENO CROP WOVEN PRINT TERRY TEXTURED DOUBLE RIB KIOXFTO2:NAVY BLUE:13-14:TEXTURE:SHORT PA</t>
  </si>
  <si>
    <t>KI OXFORD LENO CROP WOVEN PRINT TERRY TEXTURED DOUBLE RIB KIOXFTO2:NAVY BLUE:15-16:TEXTURE:SHORT PA</t>
  </si>
  <si>
    <t>KICHNOSTR4</t>
  </si>
  <si>
    <t>LONG PANTS WOVEN REGULAR  KICHNOSTR4:VANILLA:9-10:SOLID:LONG PANTS</t>
  </si>
  <si>
    <t>LONG PANTS WOVEN REGULAR  KICHNOSTR4:VANILLA:11-12:SOLID:LONG PANTS</t>
  </si>
  <si>
    <t>LONG PANTS WOVEN REGULAR  KICHNOSTR4:VANILLA:13-14:SOLID:LONG PANTS</t>
  </si>
  <si>
    <t>LONG PANTS WOVEN REGULAR  KICHNOSTR4:VANILLA:15-16:SOLID:LONG PANTS</t>
  </si>
  <si>
    <t>KISLBL4</t>
  </si>
  <si>
    <t>LONG PANTS KI DENIM SLIM  KISLBL4:BLACK:9-10:SOLID:LONG PANTS</t>
  </si>
  <si>
    <t>LONG PANTS KI DENIM SLIM  KISLBL4:BLACK:11-12:SOLID:LONG PANTS</t>
  </si>
  <si>
    <t>LONG PANTS KI DENIM SLIM  KISLBL4:BLACK:13-14:SOLID:LONG PANTS</t>
  </si>
  <si>
    <t>LONG PANTS KI DENIM SLIM  KISLBL4:BLACK:15-16:SOLID:LONG PANTS</t>
  </si>
  <si>
    <t>KISLBU4</t>
  </si>
  <si>
    <t>LONG PANTS KI DENIM SLIM  KISLBU4:MEDIUM DENIM:9-10:SOLID:LONG PANTS</t>
  </si>
  <si>
    <t>LONG PANTS KI DENIM SLIM  KISLBU4:MEDIUM DENIM:11-12:SOLID:LONG PANTS</t>
  </si>
  <si>
    <t>LONG PANTS KI DENIM SLIM  KISLBU4:MEDIUM DENIM:13-14:SOLID:LONG PANTS</t>
  </si>
  <si>
    <t>LONG PANTS KI DENIM SLIM  KISLBU4:MEDIUM DENIM:15-16:SOLID:LONG PANTS</t>
  </si>
  <si>
    <t>KISLDB4</t>
  </si>
  <si>
    <t>LONG PANTS KI DENIM SLIM  KISLDB4:DARK DENIM:9-10:SOLID:LONG PANTS</t>
  </si>
  <si>
    <t>LONG PANTS KI DENIM SLIM  KISLDB4:DARK DENIM:11-12:SOLID:LONG PANTS</t>
  </si>
  <si>
    <t>LONG PANTS KI DENIM SLIM  KISLDB4:DARK DENIM:13-14:SOLID:LONG PANTS</t>
  </si>
  <si>
    <t>LONG PANTS KI DENIM SLIM  KISLDB4:DARK DENIM:15-16:SOLID:LONG PANTS</t>
  </si>
  <si>
    <t>KICWV115E1</t>
  </si>
  <si>
    <t>SHORTS PANTS WOVEN KI SOLID KICWV115E1:CLASSIC BLUE:9-10:SOLID:SHORT PANTS</t>
  </si>
  <si>
    <t>SHORTS PANTS WOVEN KI SOLID KICWV115E1:CLASSIC BLUE:11-12:SOLID:SHORT PANTS</t>
  </si>
  <si>
    <t>SHORTS PANTS WOVEN KI SOLID KICWV115E1:CLASSIC BLUE:13-14:SOLID:SHORT PANTS</t>
  </si>
  <si>
    <t>SHORTS PANTS WOVEN KI SOLID KICWV115E1:CLASSIC BLUE:15-16:SOLID:SHORT PANTS</t>
  </si>
  <si>
    <t>SHORTS PANTS WOVEN KI SOLID KICWV115E1:EMERALD GREEN:9-10:SOLID:SHORT PANTS</t>
  </si>
  <si>
    <t>SHORTS PANTS WOVEN KI SOLID KICWV115E1:EMERALD GREEN:11-12:SOLID:SHORT PANTS</t>
  </si>
  <si>
    <t>SHORTS PANTS WOVEN KI SOLID KICWV115E1:EMERALD GREEN:13-14:SOLID:SHORT PANTS</t>
  </si>
  <si>
    <t>SHORTS PANTS WOVEN KI SOLID KICWV115E1:EMERALD GREEN:15-16:SOLID:SHORT PANTS</t>
  </si>
  <si>
    <t>SHORTS PANTS WOVEN KI SOLID KICWV115E1:VANILLA:9-10:SOLID:SHORT PANTS</t>
  </si>
  <si>
    <t>SHORTS PANTS WOVEN KI SOLID KICWV115E1:VANILLA:11-12:SOLID:SHORT PANTS</t>
  </si>
  <si>
    <t>SHORTS PANTS WOVEN KI SOLID KICWV115E1:VANILLA:13-14:SOLID:SHORT PANTS</t>
  </si>
  <si>
    <t>SHORTS PANTS WOVEN KI SOLID KICWV115E1:VANILLA:15-16:SOLID:SHORT PANTS</t>
  </si>
  <si>
    <t>SHORTS PANTS WOVEN KI SOLID KICWV115E1:PASTEL GREY:9-10:SOLID:SHORT PANTS</t>
  </si>
  <si>
    <t>SHORTS PANTS WOVEN KI SOLID KICWV115E1:PASTEL GREY:11-12:SOLID:SHORT PANTS</t>
  </si>
  <si>
    <t>SHORTS PANTS WOVEN KI SOLID KICWV115E1:PASTEL GREY:13-14:SOLID:SHORT PANTS</t>
  </si>
  <si>
    <t>SHORTS PANTS WOVEN KI SOLID KICWV115E1:PASTEL GREY:15-16:SOLID:SHORT PANTS</t>
  </si>
  <si>
    <t>KIPHLTBD1S</t>
  </si>
  <si>
    <t>SS T-SHIRT PAPA LITTLE BUDDY KIPHLTBD1S:OFF WHITE:5-6:GRAPHIC:SS T-SHIRT</t>
  </si>
  <si>
    <t>SS T-SHIRT PAPA LITTLE BUDDY KIPHLTBD1S:OFF WHITE:7-8:GRAPHIC:SS T-SHIRT</t>
  </si>
  <si>
    <t>SS T-SHIRT PAPA LITTLE BUDDY KIPHLTBD1S:OFF WHITE:9-10:GRAPHIC:SS T-SHIRT</t>
  </si>
  <si>
    <t>SS T-SHIRT PAPA LITTLE BUDDY KIPHLTBD1S:OFF WHITE:11-12:GRAPHIC:SS T-SHIRT</t>
  </si>
  <si>
    <t>KIPHLTBD2S</t>
  </si>
  <si>
    <t>SS T-SHIRT RACER CHECK KIPHLTBD2S:BLACK:5-6:GRAPHIC:SS T-SHIRT</t>
  </si>
  <si>
    <t>SS T-SHIRT RACER CHECK KIPHLTBD2S:BLACK:7-8:GRAPHIC:SS T-SHIRT</t>
  </si>
  <si>
    <t>SS T-SHIRT RACER CHECK KIPHLTBD2S:BLACK:9-10:GRAPHIC:SS T-SHIRT</t>
  </si>
  <si>
    <t>SS T-SHIRT RACER CHECK KIPHLTBD2S:BLACK:11-12:GRAPHIC:SS T-SHIRT</t>
  </si>
  <si>
    <t>KIPHLTBD3S</t>
  </si>
  <si>
    <t>SS T-SHIRT SPACE GAMES KIPHLTBD3S:PASTEL GREEN:5-6:GRAPHIC:SS T-SHIRT</t>
  </si>
  <si>
    <t>SS T-SHIRT SPACE GAMES KIPHLTBD3S:PASTEL GREEN:7-8:GRAPHIC:SS T-SHIRT</t>
  </si>
  <si>
    <t>SS T-SHIRT SPACE GAMES KIPHLTBD3S:PASTEL GREEN:9-10:GRAPHIC:SS T-SHIRT</t>
  </si>
  <si>
    <t>SS T-SHIRT SPACE GAMES KIPHLTBD3S:PASTEL GREEN:11-12:GRAPHIC:SS T-SHIRT</t>
  </si>
  <si>
    <t>KIPHLTBD4S</t>
  </si>
  <si>
    <t>SS T-SHIRT ROBOT WARRIOR KIPHLTBD4S:CLASSIC RED:5-6:GRAPHIC:SS T-SHIRT</t>
  </si>
  <si>
    <t>SS T-SHIRT ROBOT WARRIOR KIPHLTBD4S:CLASSIC RED:7-8:GRAPHIC:SS T-SHIRT</t>
  </si>
  <si>
    <t>SS T-SHIRT ROBOT WARRIOR KIPHLTBD4S:CLASSIC RED:9-10:GRAPHIC:SS T-SHIRT</t>
  </si>
  <si>
    <t>SS T-SHIRT ROBOT WARRIOR KIPHLTBD4S:CLASSIC RED:11-12:GRAPHIC:SS T-SHIRT</t>
  </si>
  <si>
    <t>KIDEWCP01</t>
  </si>
  <si>
    <t>SS T-SHIRT FAST TRACK KIDEWCP01:OFF WHITE:5-6:GRAPHIC:SS T-SHIRT</t>
  </si>
  <si>
    <t>SS T-SHIRT FAST TRACK KIDEWCP01:OFF WHITE:7-8:GRAPHIC:SS T-SHIRT</t>
  </si>
  <si>
    <t>SS T-SHIRT FAST TRACK KIDEWCP01:OFF WHITE:9-10:GRAPHIC:SS T-SHIRT</t>
  </si>
  <si>
    <t>SS T-SHIRT FAST TRACK KIDEWCP01:OFF WHITE:11-12:GRAPHIC:SS T-SHIRT</t>
  </si>
  <si>
    <t>KIDEWCP03</t>
  </si>
  <si>
    <t>SS T-SHIRT PLAY GAME KIDEWCP03:CLASSIC YELLOW:5-6:GRAPHIC:SS T-SHIRT</t>
  </si>
  <si>
    <t>SS T-SHIRT PLAY GAME KIDEWCP03:CLASSIC YELLOW:7-8:GRAPHIC:SS T-SHIRT</t>
  </si>
  <si>
    <t>SS T-SHIRT PLAY GAME KIDEWCP03:CLASSIC YELLOW:9-10:GRAPHIC:SS T-SHIRT</t>
  </si>
  <si>
    <t>SS T-SHIRT PLAY GAME KIDEWCP03:CLASSIC YELLOW:11-12:GRAPHIC:SS T-SHIRT</t>
  </si>
  <si>
    <t>KIPHBLT1S</t>
  </si>
  <si>
    <t>SS T-SHIRT GAME LEGEND KIPHBLT1S:OFF WHITE:5-6:GRAPHIC:SS T-SHIRT</t>
  </si>
  <si>
    <t>SS T-SHIRT GAME LEGEND KIPHBLT1S:OFF WHITE:7-8:GRAPHIC:SS T-SHIRT</t>
  </si>
  <si>
    <t>SS T-SHIRT GAME LEGEND KIPHBLT1S:OFF WHITE:9-10:GRAPHIC:SS T-SHIRT</t>
  </si>
  <si>
    <t>SS T-SHIRT GAME LEGEND KIPHBLT1S:OFF WHITE:11-12:GRAPHIC:SS T-SHIRT</t>
  </si>
  <si>
    <t>KIPHBLT2S</t>
  </si>
  <si>
    <t>SS T-SHIRT SOCCER KIPHBLT2S:MISTY MEDIUM GREY:5-6:GRAPHIC:SS T-SHIRT</t>
  </si>
  <si>
    <t>SS T-SHIRT SOCCER KIPHBLT2S:MISTY MEDIUM GREY:7-8:GRAPHIC:SS T-SHIRT</t>
  </si>
  <si>
    <t>SS T-SHIRT SOCCER KIPHBLT2S:MISTY MEDIUM GREY:9-10:GRAPHIC:SS T-SHIRT</t>
  </si>
  <si>
    <t>SS T-SHIRT SOCCER KIPHBLT2S:MISTY MEDIUM GREY:11-12:GRAPHIC:SS T-SHIRT</t>
  </si>
  <si>
    <t>KIPHBLT3S</t>
  </si>
  <si>
    <t>SS T-SHIRT CHALLENGE KIPHBLT3S:BLACK:5-6:GRAPHIC:SS T-SHIRT</t>
  </si>
  <si>
    <t>SS T-SHIRT CHALLENGE KIPHBLT3S:BLACK:7-8:GRAPHIC:SS T-SHIRT</t>
  </si>
  <si>
    <t>SS T-SHIRT CHALLENGE KIPHBLT3S:BLACK:9-10:GRAPHIC:SS T-SHIRT</t>
  </si>
  <si>
    <t>SS T-SHIRT CHALLENGE KIPHBLT3S:BLACK:11-12:GRAPHIC:SS T-SHIRT</t>
  </si>
  <si>
    <t>KIPHSKT1S</t>
  </si>
  <si>
    <t>SS T-SHIRT SOUTH SIDE KIPHSKT1S:OFF WHITE:5-6:GRAPHIC:SS T-SHIRT</t>
  </si>
  <si>
    <t>SS T-SHIRT SOUTH SIDE KIPHSKT1S:OFF WHITE:7-8:GRAPHIC:SS T-SHIRT</t>
  </si>
  <si>
    <t>SS T-SHIRT SOUTH SIDE KIPHSKT1S:OFF WHITE:9-10:GRAPHIC:SS T-SHIRT</t>
  </si>
  <si>
    <t>SS T-SHIRT SOUTH SIDE KIPHSKT1S:OFF WHITE:11-12:GRAPHIC:SS T-SHIRT</t>
  </si>
  <si>
    <t>KIPHSKT2S</t>
  </si>
  <si>
    <t>SS T-SHIRT ATHLETICS DEPT KIPHSKT2S:PASTEL BLUE:5-6:GRAPHIC:SS T-SHIRT</t>
  </si>
  <si>
    <t>SS T-SHIRT ATHLETICS DEPT KIPHSKT2S:PASTEL BLUE:7-8:GRAPHIC:SS T-SHIRT</t>
  </si>
  <si>
    <t>SS T-SHIRT ATHLETICS DEPT KIPHSKT2S:PASTEL BLUE:9-10:GRAPHIC:SS T-SHIRT</t>
  </si>
  <si>
    <t>SS T-SHIRT ATHLETICS DEPT KIPHSKT2S:PASTEL BLUE:11-12:GRAPHIC:SS T-SHIRT</t>
  </si>
  <si>
    <t>KIPHSKT3S</t>
  </si>
  <si>
    <t>SS T-SHIRT BASKET BALL 78 KIPHSKT3S:PASTEL GREY:5-6:GRAPHIC:SS T-SHIRT</t>
  </si>
  <si>
    <t>SS T-SHIRT BASKET BALL 78 KIPHSKT3S:PASTEL GREY:7-8:GRAPHIC:SS T-SHIRT</t>
  </si>
  <si>
    <t>SS T-SHIRT BASKET BALL 78 KIPHSKT3S:PASTEL GREY:9-10:GRAPHIC:SS T-SHIRT</t>
  </si>
  <si>
    <t>SS T-SHIRT BASKET BALL 78 KIPHSKT3S:PASTEL GREY:11-12:GRAPHIC:SS T-SHIRT</t>
  </si>
  <si>
    <t>KIPHSKT4S</t>
  </si>
  <si>
    <t>SS T-SHIRT TOGETHER ALWAYS KIPHSKT4S:KHAKI:5-6:GRAPHIC:SS T-SHIRT</t>
  </si>
  <si>
    <t>SS T-SHIRT TOGETHER ALWAYS KIPHSKT4S:KHAKI:7-8:GRAPHIC:SS T-SHIRT</t>
  </si>
  <si>
    <t>SS T-SHIRT TOGETHER ALWAYS KIPHSKT4S:KHAKI:9-10:GRAPHIC:SS T-SHIRT</t>
  </si>
  <si>
    <t>SS T-SHIRT TOGETHER ALWAYS KIPHSKT4S:KHAKI:11-12:GRAPHIC:SS T-SHIRT</t>
  </si>
  <si>
    <t>KIPHSKT5S</t>
  </si>
  <si>
    <t>SS T-SHIRT SKATE START RIDING NOW KIPHSKT5S:NAVY BLUE:5-6:GRAPHIC:SS T-SHIRT</t>
  </si>
  <si>
    <t>SS T-SHIRT SKATE START RIDING NOW KIPHSKT5S:NAVY BLUE:7-8:GRAPHIC:SS T-SHIRT</t>
  </si>
  <si>
    <t>SS T-SHIRT SKATE START RIDING NOW KIPHSKT5S:NAVY BLUE:9-10:GRAPHIC:SS T-SHIRT</t>
  </si>
  <si>
    <t>SS T-SHIRT SKATE START RIDING NOW KIPHSKT5S:NAVY BLUE:11-12:GRAPHIC:SS T-SHIRT</t>
  </si>
  <si>
    <t>KIDEWRC01S</t>
  </si>
  <si>
    <t>SS T-SHIRT DYNASTY RACER KIDEWRC01S:OFF WHITE:5-6:GRAPHIC:SS T-SHIRT</t>
  </si>
  <si>
    <t>SS T-SHIRT DYNASTY RACER KIDEWRC01S:OFF WHITE:7-8:GRAPHIC:SS T-SHIRT</t>
  </si>
  <si>
    <t>SS T-SHIRT DYNASTY RACER KIDEWRC01S:OFF WHITE:9-10:GRAPHIC:SS T-SHIRT</t>
  </si>
  <si>
    <t>SS T-SHIRT DYNASTY RACER KIDEWRC01S:OFF WHITE:11-12:GRAPHIC:SS T-SHIRT</t>
  </si>
  <si>
    <t>KIDEWRC02S</t>
  </si>
  <si>
    <t>SS T-SHIRT FREE RACER KIDEWRC02S:BROWN SUGAR:5-6:GRAPHIC:SS T-SHIRT</t>
  </si>
  <si>
    <t>SS T-SHIRT FREE RACER KIDEWRC02S:BROWN SUGAR:7-8:GRAPHIC:SS T-SHIRT</t>
  </si>
  <si>
    <t>SS T-SHIRT FREE RACER KIDEWRC02S:BROWN SUGAR:9-10:GRAPHIC:SS T-SHIRT</t>
  </si>
  <si>
    <t>SS T-SHIRT FREE RACER KIDEWRC02S:BROWN SUGAR:11-12:GRAPHIC:SS T-SHIRT</t>
  </si>
  <si>
    <t>KIDEWRC03S</t>
  </si>
  <si>
    <t>SS T-SHIRT LEVEL UNLOCKED KIDEWRC03S:BLACK:5-6:GRAPHIC:SS T-SHIRT</t>
  </si>
  <si>
    <t>SS T-SHIRT LEVEL UNLOCKED KIDEWRC03S:BLACK:7-8:GRAPHIC:SS T-SHIRT</t>
  </si>
  <si>
    <t>SS T-SHIRT LEVEL UNLOCKED KIDEWRC03S:BLACK:9-10:GRAPHIC:SS T-SHIRT</t>
  </si>
  <si>
    <t>SS T-SHIRT LEVEL UNLOCKED KIDEWRC03S:BLACK:11-12:GRAPHIC:SS T-SHIRT</t>
  </si>
  <si>
    <t>KIDEWRC04S</t>
  </si>
  <si>
    <t>SS T-SHIRT DREAM TEAM REPTIL KIDEWRC04S:CLASSIC BLUE:5-6:GRAPHIC:SS T-SHIRT</t>
  </si>
  <si>
    <t>SS T-SHIRT DREAM TEAM REPTIL KIDEWRC04S:CLASSIC BLUE:7-8:GRAPHIC:SS T-SHIRT</t>
  </si>
  <si>
    <t>SS T-SHIRT DREAM TEAM REPTIL KIDEWRC04S:CLASSIC BLUE:9-10:GRAPHIC:SS T-SHIRT</t>
  </si>
  <si>
    <t>SS T-SHIRT DREAM TEAM REPTIL KIDEWRC04S:CLASSIC BLUE:11-12:GRAPHIC:SS T-SHIRT</t>
  </si>
  <si>
    <t>KIJVSOLID1</t>
  </si>
  <si>
    <t>SS T-SHIRT KI CARDET 24S KATUN SOLID POLOS KIJVSOLID1:CLASSIC RED:9-10:SOLID:SS T-SHIRT</t>
  </si>
  <si>
    <t>SS T-SHIRT KI CARDET 24S KATUN SOLID POLOS KIJVSOLID1:CLASSIC RED:11-12:SOLID:SS T-SHIRT</t>
  </si>
  <si>
    <t>SS T-SHIRT KI CARDET 24S KATUN SOLID POLOS KIJVSOLID1:CLASSIC RED:13-14:SOLID:SS T-SHIRT</t>
  </si>
  <si>
    <t>SS T-SHIRT KI CARDET 24S KATUN SOLID POLOS KIJVSOLID1:CLASSIC RED:15-16:SOLID:SS T-SHIRT</t>
  </si>
  <si>
    <t>SS T-SHIRT KI CARDET 24S KATUN SOLID POLOS KIJVSOLID1:EMERALD GREEN:9-10:SOLID:SS T-SHIRT</t>
  </si>
  <si>
    <t>SS T-SHIRT KI CARDET 24S KATUN SOLID POLOS KIJVSOLID1:EMERALD GREEN:11-12:SOLID:SS T-SHIRT</t>
  </si>
  <si>
    <t>SS T-SHIRT KI CARDET 24S KATUN SOLID POLOS KIJVSOLID1:EMERALD GREEN:13-14:SOLID:SS T-SHIRT</t>
  </si>
  <si>
    <t>SS T-SHIRT KI CARDET 24S KATUN SOLID POLOS KIJVSOLID1:EMERALD GREEN:15-16:SOLID:SS T-SHIRT</t>
  </si>
  <si>
    <t>SS T-SHIRT KI CARDET 24S KATUN SOLID POLOS KIJVSOLID1:BLACK:9-10:SOLID:SS T-SHIRT</t>
  </si>
  <si>
    <t>SS T-SHIRT KI CARDET 24S KATUN SOLID POLOS KIJVSOLID1:BLACK:11-12:SOLID:SS T-SHIRT</t>
  </si>
  <si>
    <t>SS T-SHIRT KI CARDET 24S KATUN SOLID POLOS KIJVSOLID1:BLACK:13-14:SOLID:SS T-SHIRT</t>
  </si>
  <si>
    <t>SS T-SHIRT KI CARDET 24S KATUN SOLID POLOS KIJVSOLID1:BLACK:15-16:SOLID:SS T-SHIRT</t>
  </si>
  <si>
    <t>SS T-SHIRT KI CARDET 24S KATUN SOLID POLOS KIJVSOLID1:INDIGO BLUE:9-10:SOLID:SS T-SHIRT</t>
  </si>
  <si>
    <t>SS T-SHIRT KI CARDET 24S KATUN SOLID POLOS KIJVSOLID1:INDIGO BLUE:11-12:SOLID:SS T-SHIRT</t>
  </si>
  <si>
    <t>SS T-SHIRT KI CARDET 24S KATUN SOLID POLOS KIJVSOLID1:INDIGO BLUE:13-14:SOLID:SS T-SHIRT</t>
  </si>
  <si>
    <t>SS T-SHIRT KI CARDET 24S KATUN SOLID POLOS KIJVSOLID1:INDIGO BLUE:15-16:SOLID:SS T-SHIRT</t>
  </si>
  <si>
    <t>SS T-SHIRT KI CARDET 24S KATUN SOLID POLOS KIJVSOLID1:OFF WHITE:9-10:SOLID:SS T-SHIRT</t>
  </si>
  <si>
    <t>SS T-SHIRT KI CARDET 24S KATUN SOLID POLOS KIJVSOLID1:OFF WHITE:11-12:SOLID:SS T-SHIRT</t>
  </si>
  <si>
    <t>SS T-SHIRT KI CARDET 24S KATUN SOLID POLOS KIJVSOLID1:OFF WHITE:13-14:SOLID:SS T-SHIRT</t>
  </si>
  <si>
    <t>SS T-SHIRT KI CARDET 24S KATUN SOLID POLOS KIJVSOLID1:OFF WHITE:15-16:SOLID:SS T-SHIRT</t>
  </si>
  <si>
    <t>KIJVKTG1</t>
  </si>
  <si>
    <t>SS T-SHIRT KI CARDET 24S KATUN SOLID POLOS KANTONG KIJVKTG1:OLIVE:9-10:SOLID:SS T-SHIRT</t>
  </si>
  <si>
    <t>SS T-SHIRT KI CARDET 24S KATUN SOLID POLOS KANTONG KIJVKTG1:OLIVE:11-12:SOLID:SS T-SHIRT</t>
  </si>
  <si>
    <t>SS T-SHIRT KI CARDET 24S KATUN SOLID POLOS KANTONG KIJVKTG1:OLIVE:13-14:SOLID:SS T-SHIRT</t>
  </si>
  <si>
    <t>SS T-SHIRT KI CARDET 24S KATUN SOLID POLOS KANTONG KIJVKTG1:OLIVE:15-16:SOLID:SS T-SHIRT</t>
  </si>
  <si>
    <t>SS T-SHIRT KI CARDET 24S KATUN SOLID POLOS KANTONG KIJVKTG1:BROWN SUGAR:9-10:SOLID:SS T-SHIRT</t>
  </si>
  <si>
    <t>SS T-SHIRT KI CARDET 24S KATUN SOLID POLOS KANTONG KIJVKTG1:BROWN SUGAR:11-12:SOLID:SS T-SHIRT</t>
  </si>
  <si>
    <t>SS T-SHIRT KI CARDET 24S KATUN SOLID POLOS KANTONG KIJVKTG1:BROWN SUGAR:13-14:SOLID:SS T-SHIRT</t>
  </si>
  <si>
    <t>SS T-SHIRT KI CARDET 24S KATUN SOLID POLOS KANTONG KIJVKTG1:BROWN SUGAR:15-16:SOLID:SS T-SHIRT</t>
  </si>
  <si>
    <t>SS T-SHIRT KI CARDET 24S KATUN SOLID POLOS KANTONG KIJVKTG1:MISTY DARK BLUE:9-10:SOLID:SS T-SHIRT</t>
  </si>
  <si>
    <t>SS T-SHIRT KI CARDET 24S KATUN SOLID POLOS KANTONG KIJVKTG1:MISTY DARK BLUE:11-12:SOLID:SS T-SHIRT</t>
  </si>
  <si>
    <t>SS T-SHIRT KI CARDET 24S KATUN SOLID POLOS KANTONG KIJVKTG1:MISTY DARK BLUE:13-14:SOLID:SS T-SHIRT</t>
  </si>
  <si>
    <t>SS T-SHIRT KI CARDET 24S KATUN SOLID POLOS KANTONG KIJVKTG1:MISTY DARK BLUE:15-16:SOLID:SS T-SHIRT</t>
  </si>
  <si>
    <t>SS T-SHIRT KI CARDET 24S KATUN SOLID POLOS KANTONG KIJVKTG1:MISTY LIGHT KHAKI:9-10:SOLID:SS T-SHIRT</t>
  </si>
  <si>
    <t>SS T-SHIRT KI CARDET 24S KATUN SOLID POLOS KANTONG KIJVKTG1:MISTY LIGHT KHAKI:11-12:SOLID:SS T-SHIRT</t>
  </si>
  <si>
    <t>SS T-SHIRT KI CARDET 24S KATUN SOLID POLOS KANTONG KIJVKTG1:MISTY LIGHT KHAKI:13-14:SOLID:SS T-SHIRT</t>
  </si>
  <si>
    <t>SS T-SHIRT KI CARDET 24S KATUN SOLID POLOS KANTONG KIJVKTG1:MISTY LIGHT KHAKI:15-16:SOLID:SS T-SHIRT</t>
  </si>
  <si>
    <t>SS T-SHIRT KI CARDET 24S KATUN SOLID POLOS KANTONG KIJVKTG1:MISTY MEDIUM BROWN:9-10:SOLID:SS T-SHIRT</t>
  </si>
  <si>
    <t>SS T-SHIRT KI CARDET 24S KATUN SOLID POLOS KANTONG KIJVKTG1:MISTY MEDIUM BROWN:11-12:SOLID:SS T-SHIR</t>
  </si>
  <si>
    <t>SS T-SHIRT KI CARDET 24S KATUN SOLID POLOS KANTONG KIJVKTG1:MISTY MEDIUM BROWN:13-14:SOLID:SS T-SHIR</t>
  </si>
  <si>
    <t>SS T-SHIRT KI CARDET 24S KATUN SOLID POLOS KANTONG KIJVKTG1:MISTY MEDIUM BROWN:15-16:SOLID:SS T-SHIR</t>
  </si>
  <si>
    <t>KIHRMUSIC1</t>
  </si>
  <si>
    <t>SS T-SHIRT KI PRINT 12 NOTES KIHRMUSIC1:OFF WHITE:9-10:GRAPHIC:SS T-SHIRT</t>
  </si>
  <si>
    <t>SS T-SHIRT KI PRINT 12 NOTES KIHRMUSIC1:OFF WHITE:11-12:GRAPHIC:SS T-SHIRT</t>
  </si>
  <si>
    <t>SS T-SHIRT KI PRINT 12 NOTES KIHRMUSIC1:OFF WHITE:13-14:GRAPHIC:SS T-SHIRT</t>
  </si>
  <si>
    <t>SS T-SHIRT KI PRINT 12 NOTES KIHRMUSIC1:OFF WHITE:15-16:GRAPHIC:SS T-SHIRT</t>
  </si>
  <si>
    <t>KIHRMUSIC2</t>
  </si>
  <si>
    <t>SS T-SHIRT KI PRINT MUSICIAN KIHRMUSIC2:CACTUS GREEN:9-10:GRAPHIC:SS T-SHIRT</t>
  </si>
  <si>
    <t>SS T-SHIRT KI PRINT MUSICIAN KIHRMUSIC2:CACTUS GREEN:11-12:GRAPHIC:SS T-SHIRT</t>
  </si>
  <si>
    <t>SS T-SHIRT KI PRINT MUSICIAN KIHRMUSIC2:CACTUS GREEN:13-14:GRAPHIC:SS T-SHIRT</t>
  </si>
  <si>
    <t>SS T-SHIRT KI PRINT MUSICIAN KIHRMUSIC2:CACTUS GREEN:15-16:GRAPHIC:SS T-SHIRT</t>
  </si>
  <si>
    <t>KIHRMUSIC3</t>
  </si>
  <si>
    <t>SS T-SHIRT KI PRINT MUSIC STUDIO KIHRMUSIC3:LIGHT BLUE:9-10:GRAPHIC:SS T-SHIRT</t>
  </si>
  <si>
    <t>SS T-SHIRT KI PRINT MUSIC STUDIO KIHRMUSIC3:LIGHT BLUE:11-12:GRAPHIC:SS T-SHIRT</t>
  </si>
  <si>
    <t>SS T-SHIRT KI PRINT MUSIC STUDIO KIHRMUSIC3:LIGHT BLUE:13-14:GRAPHIC:SS T-SHIRT</t>
  </si>
  <si>
    <t>SS T-SHIRT KI PRINT MUSIC STUDIO KIHRMUSIC3:LIGHT BLUE:15-16:GRAPHIC:SS T-SHIRT</t>
  </si>
  <si>
    <t>KIHRMUSIC4</t>
  </si>
  <si>
    <t>SS T-SHIRT KI PRINT PIANO KIHRMUSIC4:GOLDEN BROWN:9-10:GRAPHIC:SS T-SHIRT</t>
  </si>
  <si>
    <t>SS T-SHIRT KI PRINT PIANO KIHRMUSIC4:GOLDEN BROWN:11-12:GRAPHIC:SS T-SHIRT</t>
  </si>
  <si>
    <t>SS T-SHIRT KI PRINT PIANO KIHRMUSIC4:GOLDEN BROWN:13-14:GRAPHIC:SS T-SHIRT</t>
  </si>
  <si>
    <t>SS T-SHIRT KI PRINT PIANO KIHRMUSIC4:GOLDEN BROWN:15-16:GRAPHIC:SS T-SHIRT</t>
  </si>
  <si>
    <t>KIHRMUSIC5</t>
  </si>
  <si>
    <t>SS T-SHIRT KI PRINT DRUMMER KIHRMUSIC5:ALMOND:9-10:GRAPHIC:SS T-SHIRT</t>
  </si>
  <si>
    <t>SS T-SHIRT KI PRINT DRUMMER KIHRMUSIC5:ALMOND:11-12:GRAPHIC:SS T-SHIRT</t>
  </si>
  <si>
    <t>SS T-SHIRT KI PRINT DRUMMER KIHRMUSIC5:ALMOND:13-14:GRAPHIC:SS T-SHIRT</t>
  </si>
  <si>
    <t>SS T-SHIRT KI PRINT DRUMMER KIHRMUSIC5:ALMOND:15-16:GRAPHIC:SS T-SHIRT</t>
  </si>
  <si>
    <t>KIJVPR21</t>
  </si>
  <si>
    <t>SS T-SHIRT KI PRINT ITS NOT THAT SERIOUS KIJVPR21:CLASSIC RED:9-10:GRAPHIC:SS T-SHIRT</t>
  </si>
  <si>
    <t>SS T-SHIRT KI PRINT ITS NOT THAT SERIOUS KIJVPR21:CLASSIC RED:11-12:GRAPHIC:SS T-SHIRT</t>
  </si>
  <si>
    <t>SS T-SHIRT KI PRINT ITS NOT THAT SERIOUS KIJVPR21:CLASSIC RED:13-14:GRAPHIC:SS T-SHIRT</t>
  </si>
  <si>
    <t>SS T-SHIRT KI PRINT ITS NOT THAT SERIOUS KIJVPR21:CLASSIC RED:15-16:GRAPHIC:SS T-SHIRT</t>
  </si>
  <si>
    <t>KIJVPR22</t>
  </si>
  <si>
    <t>SS T-SHIRT KI PRINT NEVER TO LATE FOR FUN KIJVPR22:CLASSIC RED:9-10:GRAPHIC:SS T-SHIRT</t>
  </si>
  <si>
    <t>SS T-SHIRT KI PRINT NEVER TO LATE FOR FUN KIJVPR22:CLASSIC RED:11-12:GRAPHIC:SS T-SHIRT</t>
  </si>
  <si>
    <t>SS T-SHIRT KI PRINT NEVER TO LATE FOR FUN KIJVPR22:CLASSIC RED:13-14:GRAPHIC:SS T-SHIRT</t>
  </si>
  <si>
    <t>SS T-SHIRT KI PRINT NEVER TO LATE FOR FUN KIJVPR22:CLASSIC RED:15-16:GRAPHIC:SS T-SHIRT</t>
  </si>
  <si>
    <t>KIJVPR6</t>
  </si>
  <si>
    <t>SS T-SHIRT KI PRINT MANHATTAN KIJVPR6:VANILLA:9-10:GRAPHIC:SS T-SHIRT</t>
  </si>
  <si>
    <t>SS T-SHIRT KI PRINT MANHATTAN KIJVPR6:VANILLA:11-12:GRAPHIC:SS T-SHIRT</t>
  </si>
  <si>
    <t>SS T-SHIRT KI PRINT MANHATTAN KIJVPR6:VANILLA:13-14:GRAPHIC:SS T-SHIRT</t>
  </si>
  <si>
    <t>SS T-SHIRT KI PRINT MANHATTAN KIJVPR6:VANILLA:15-16:GRAPHIC:SS T-SHIRT</t>
  </si>
  <si>
    <t>KIJVPR7</t>
  </si>
  <si>
    <t>SS T-SHIRT KI PRINT SANTA MONICA KIJVPR7:CACTUS GREEN:9-10:GRAPHIC:SS T-SHIRT</t>
  </si>
  <si>
    <t>SS T-SHIRT KI PRINT SANTA MONICA KIJVPR7:CACTUS GREEN:11-12:GRAPHIC:SS T-SHIRT</t>
  </si>
  <si>
    <t>SS T-SHIRT KI PRINT SANTA MONICA KIJVPR7:CACTUS GREEN:13-14:GRAPHIC:SS T-SHIRT</t>
  </si>
  <si>
    <t>SS T-SHIRT KI PRINT SANTA MONICA KIJVPR7:CACTUS GREEN:15-16:GRAPHIC:SS T-SHIRT</t>
  </si>
  <si>
    <t>KIJVPR8</t>
  </si>
  <si>
    <t>SS T-SHIRT KI PRINT LIVERPOOL KIJVPR8:INDIGO BLUE:9-10:GRAPHIC:SS T-SHIRT</t>
  </si>
  <si>
    <t>SS T-SHIRT KI PRINT LIVERPOOL KIJVPR8:INDIGO BLUE:11-12:GRAPHIC:SS T-SHIRT</t>
  </si>
  <si>
    <t>SS T-SHIRT KI PRINT LIVERPOOL KIJVPR8:INDIGO BLUE:13-14:GRAPHIC:SS T-SHIRT</t>
  </si>
  <si>
    <t>SS T-SHIRT KI PRINT LIVERPOOL KIJVPR8:INDIGO BLUE:15-16:GRAPHIC:SS T-SHIRT</t>
  </si>
  <si>
    <t>KIJVPR9</t>
  </si>
  <si>
    <t>SS T-SHIRT KI PRINT BOSTON KIJVPR9:GOLDEN BROWN:9-10:GRAPHIC:SS T-SHIRT</t>
  </si>
  <si>
    <t>SS T-SHIRT KI PRINT BOSTON KIJVPR9:GOLDEN BROWN:11-12:GRAPHIC:SS T-SHIRT</t>
  </si>
  <si>
    <t>SS T-SHIRT KI PRINT BOSTON KIJVPR9:GOLDEN BROWN:13-14:GRAPHIC:SS T-SHIRT</t>
  </si>
  <si>
    <t>SS T-SHIRT KI PRINT BOSTON KIJVPR9:GOLDEN BROWN:15-16:GRAPHIC:SS T-SHIRT</t>
  </si>
  <si>
    <t>KIJVPR10</t>
  </si>
  <si>
    <t>SS T-SHIRT KI PRINT LONDON KIJVPR10:BROWN SUGAR:9-10:GRAPHIC:SS T-SHIRT</t>
  </si>
  <si>
    <t>SS T-SHIRT KI PRINT LONDON KIJVPR10:BROWN SUGAR:11-12:GRAPHIC:SS T-SHIRT</t>
  </si>
  <si>
    <t>SS T-SHIRT KI PRINT LONDON KIJVPR10:BROWN SUGAR:13-14:GRAPHIC:SS T-SHIRT</t>
  </si>
  <si>
    <t>SS T-SHIRT KI PRINT LONDON KIJVPR10:BROWN SUGAR:15-16:GRAPHIC:SS T-SHIRT</t>
  </si>
  <si>
    <t>KIT62B</t>
  </si>
  <si>
    <t>SS T-SHIRT KI TC PRINT THE GAME IS ON KIT62B:MUSTARD:9-10:GRAPHIC:SS T-SHIRT</t>
  </si>
  <si>
    <t>SS T-SHIRT KI TC PRINT THE GAME IS ON KIT62B:MUSTARD:11-12:GRAPHIC:SS T-SHIRT</t>
  </si>
  <si>
    <t>SS T-SHIRT KI TC PRINT THE GAME IS ON KIT62B:MUSTARD:13-14:GRAPHIC:SS T-SHIRT</t>
  </si>
  <si>
    <t>SS T-SHIRT KI TC PRINT THE GAME IS ON KIT62B:MUSTARD:15-16:GRAPHIC:SS T-SHIRT</t>
  </si>
  <si>
    <t>KIT63B</t>
  </si>
  <si>
    <t>SS T-SHIRT KI TC PRINT LETS PLAY BALL KIT63B:GOLDEN BROWN:9-10:GRAPHIC:SS T-SHIRT</t>
  </si>
  <si>
    <t>SS T-SHIRT KI TC PRINT LETS PLAY BALL KIT63B:GOLDEN BROWN:11-12:GRAPHIC:SS T-SHIRT</t>
  </si>
  <si>
    <t>SS T-SHIRT KI TC PRINT LETS PLAY BALL KIT63B:GOLDEN BROWN:13-14:GRAPHIC:SS T-SHIRT</t>
  </si>
  <si>
    <t>SS T-SHIRT KI TC PRINT LETS PLAY BALL KIT63B:GOLDEN BROWN:15-16:GRAPHIC:SS T-SHIRT</t>
  </si>
  <si>
    <t>KIT64B</t>
  </si>
  <si>
    <t>SS T-SHIRT KI TC PRINT GO SPORT KIT64B:PEPPERMINT:9-10:GRAPHIC:SS T-SHIRT</t>
  </si>
  <si>
    <t>SS T-SHIRT KI TC PRINT GO SPORT KIT64B:PEPPERMINT:11-12:GRAPHIC:SS T-SHIRT</t>
  </si>
  <si>
    <t>SS T-SHIRT KI TC PRINT GO SPORT KIT64B:PEPPERMINT:13-14:GRAPHIC:SS T-SHIRT</t>
  </si>
  <si>
    <t>SS T-SHIRT KI TC PRINT GO SPORT KIT64B:PEPPERMINT:15-16:GRAPHIC:SS T-SHIRT</t>
  </si>
  <si>
    <t>KIT65B</t>
  </si>
  <si>
    <t>SS T-SHIRT KI TC PRINT SOCCERS KIT65B:CLASSIC BLUE:9-10:GRAPHIC:SS T-SHIRT</t>
  </si>
  <si>
    <t>SS T-SHIRT KI TC PRINT SOCCERS KIT65B:CLASSIC BLUE:11-12:GRAPHIC:SS T-SHIRT</t>
  </si>
  <si>
    <t>SS T-SHIRT KI TC PRINT SOCCERS KIT65B:CLASSIC BLUE:13-14:GRAPHIC:SS T-SHIRT</t>
  </si>
  <si>
    <t>SS T-SHIRT KI TC PRINT SOCCERS KIT65B:CLASSIC BLUE:15-16:GRAPHIC:SS T-SHIRT</t>
  </si>
  <si>
    <t>KIJVPR11</t>
  </si>
  <si>
    <t>SS T-SHIRT KI PRINT LETS SPORTS KIJVPR11:PEPPERMINT:9-10:GRAPHIC:SS T-SHIRT</t>
  </si>
  <si>
    <t>SS T-SHIRT KI PRINT LETS SPORTS KIJVPR11:PEPPERMINT:11-12:GRAPHIC:SS T-SHIRT</t>
  </si>
  <si>
    <t>SS T-SHIRT KI PRINT LETS SPORTS KIJVPR11:PEPPERMINT:13-14:GRAPHIC:SS T-SHIRT</t>
  </si>
  <si>
    <t>SS T-SHIRT KI PRINT LETS SPORTS KIJVPR11:PEPPERMINT:15-16:GRAPHIC:SS T-SHIRT</t>
  </si>
  <si>
    <t>KIJVPR12</t>
  </si>
  <si>
    <t>SS T-SHIRT KI PRINT DREAM BIG KIJVPR12:PASTEL BLUE:9-10:GRAPHIC:SS T-SHIRT</t>
  </si>
  <si>
    <t>SS T-SHIRT KI PRINT DREAM BIG KIJVPR12:PASTEL BLUE:11-12:GRAPHIC:SS T-SHIRT</t>
  </si>
  <si>
    <t>SS T-SHIRT KI PRINT DREAM BIG KIJVPR12:PASTEL BLUE:13-14:GRAPHIC:SS T-SHIRT</t>
  </si>
  <si>
    <t>SS T-SHIRT KI PRINT DREAM BIG KIJVPR12:PASTEL BLUE:15-16:GRAPHIC:SS T-SHIRT</t>
  </si>
  <si>
    <t>KIJVPR13</t>
  </si>
  <si>
    <t>SS T-SHIRT KI PRINT NEVER GIVE UP KIJVPR13:PASTEL GREY:9-10:GRAPHIC:SS T-SHIRT</t>
  </si>
  <si>
    <t>SS T-SHIRT KI PRINT NEVER GIVE UP KIJVPR13:PASTEL GREY:11-12:GRAPHIC:SS T-SHIRT</t>
  </si>
  <si>
    <t>SS T-SHIRT KI PRINT NEVER GIVE UP KIJVPR13:PASTEL GREY:13-14:GRAPHIC:SS T-SHIRT</t>
  </si>
  <si>
    <t>SS T-SHIRT KI PRINT NEVER GIVE UP KIJVPR13:PASTEL GREY:15-16:GRAPHIC:SS T-SHIRT</t>
  </si>
  <si>
    <t>KIJVPR14</t>
  </si>
  <si>
    <t>SS T-SHIRT KI PRINT REBEL KIJVPR14:GOLDEN BROWN:9-10:GRAPHIC:SS T-SHIRT</t>
  </si>
  <si>
    <t>SS T-SHIRT KI PRINT REBEL KIJVPR14:GOLDEN BROWN:11-12:GRAPHIC:SS T-SHIRT</t>
  </si>
  <si>
    <t>SS T-SHIRT KI PRINT REBEL KIJVPR14:GOLDEN BROWN:13-14:GRAPHIC:SS T-SHIRT</t>
  </si>
  <si>
    <t>SS T-SHIRT KI PRINT REBEL KIJVPR14:GOLDEN BROWN:15-16:GRAPHIC:SS T-SHIRT</t>
  </si>
  <si>
    <t>KIJVPR15</t>
  </si>
  <si>
    <t>SS T-SHIRT KI PRINT WHATEVER KIJVPR15:AQUA:9-10:GRAPHIC:SS T-SHIRT</t>
  </si>
  <si>
    <t>SS T-SHIRT KI PRINT WHATEVER KIJVPR15:AQUA:11-12:GRAPHIC:SS T-SHIRT</t>
  </si>
  <si>
    <t>SS T-SHIRT KI PRINT WHATEVER KIJVPR15:AQUA:13-14:GRAPHIC:SS T-SHIRT</t>
  </si>
  <si>
    <t>SS T-SHIRT KI PRINT WHATEVER KIJVPR15:AQUA:15-16:GRAPHIC:SS T-SHIRT</t>
  </si>
  <si>
    <t>KIH44</t>
  </si>
  <si>
    <t>SS T-SHIRT KI PRINT LIMITED EDITION KIH44:MISTY MEDIUM BLUE:9-10:TEXT:SS T-SHIRT</t>
  </si>
  <si>
    <t>SS T-SHIRT KI PRINT LIMITED EDITION KIH44:MISTY MEDIUM BLUE:11-12:TEXT:SS T-SHIRT</t>
  </si>
  <si>
    <t>SS T-SHIRT KI PRINT LIMITED EDITION KIH44:MISTY MEDIUM BLUE:13-14:TEXT:SS T-SHIRT</t>
  </si>
  <si>
    <t>SS T-SHIRT KI PRINT LIMITED EDITION KIH44:MISTY MEDIUM BLUE:15-16:TEXT:SS T-SHIRT</t>
  </si>
  <si>
    <t>KIH45</t>
  </si>
  <si>
    <t>SS T-SHIRT KI PRINT LET THERE BE FUN KIH45:MISTY DARK GREY:9-10:GRAPHIC:SS T-SHIRT</t>
  </si>
  <si>
    <t>SS T-SHIRT KI PRINT LET THERE BE FUN KIH45:MISTY DARK GREY:11-12:GRAPHIC:SS T-SHIRT</t>
  </si>
  <si>
    <t>SS T-SHIRT KI PRINT LET THERE BE FUN KIH45:MISTY DARK GREY:13-14:GRAPHIC:SS T-SHIRT</t>
  </si>
  <si>
    <t>SS T-SHIRT KI PRINT LET THERE BE FUN KIH45:MISTY DARK GREY:15-16:GRAPHIC:SS T-SHIRT</t>
  </si>
  <si>
    <t>KIH46</t>
  </si>
  <si>
    <t>SS T-SHIRT KI PRINT BRAVE KIH46:MISTY LIGHT KHAKI:9-10:TEXT:SS T-SHIRT</t>
  </si>
  <si>
    <t>SS T-SHIRT KI PRINT BRAVE KIH46:MISTY LIGHT KHAKI:11-12:TEXT:SS T-SHIRT</t>
  </si>
  <si>
    <t>SS T-SHIRT KI PRINT BRAVE KIH46:MISTY LIGHT KHAKI:13-14:TEXT:SS T-SHIRT</t>
  </si>
  <si>
    <t>SS T-SHIRT KI PRINT BRAVE KIH46:MISTY LIGHT KHAKI:15-16:TEXT:SS T-SHIRT</t>
  </si>
  <si>
    <t>KIH47</t>
  </si>
  <si>
    <t>SS T-SHIRT KI TC PRINT ATHETIC KIH47:MISTY DARK BLUE:9-10:GRAPHIC:SS T-SHIRT</t>
  </si>
  <si>
    <t>SS T-SHIRT KI TC PRINT ATHETIC KIH47:MISTY DARK BLUE:11-12:GRAPHIC:SS T-SHIRT</t>
  </si>
  <si>
    <t>SS T-SHIRT KI TC PRINT ATHETIC KIH47:MISTY DARK BLUE:13-14:GRAPHIC:SS T-SHIRT</t>
  </si>
  <si>
    <t>SS T-SHIRT KI TC PRINT ATHETIC KIH47:MISTY DARK BLUE:15-16:GRAPHIC:SS T-SHIRT</t>
  </si>
  <si>
    <t>KIT49</t>
  </si>
  <si>
    <t>SS T-SHIRT KI TC PRINT CITY SAN FRANSISCO KIT49:OFF WHITE:9-10:GRAPHIC:SS T-SHIRT</t>
  </si>
  <si>
    <t>SS T-SHIRT KI TC PRINT CITY SAN FRANSISCO KIT49:OFF WHITE:11-12:GRAPHIC:SS T-SHIRT</t>
  </si>
  <si>
    <t>SS T-SHIRT KI TC PRINT CITY SAN FRANSISCO KIT49:OFF WHITE:13-14:GRAPHIC:SS T-SHIRT</t>
  </si>
  <si>
    <t>SS T-SHIRT KI TC PRINT CITY SAN FRANSISCO KIT49:OFF WHITE:15-16:GRAPHIC:SS T-SHIRT</t>
  </si>
  <si>
    <t>KIT50</t>
  </si>
  <si>
    <t>SS T-SHIRT KI TC PRINT CITY NEW YORK CITY KIT50:CLASSIC BLUE:9-10:GRAPHIC:SS T-SHIRT</t>
  </si>
  <si>
    <t>SS T-SHIRT KI TC PRINT CITY NEW YORK CITY KIT50:CLASSIC BLUE:11-12:GRAPHIC:SS T-SHIRT</t>
  </si>
  <si>
    <t>SS T-SHIRT KI TC PRINT CITY NEW YORK CITY KIT50:CLASSIC BLUE:13-14:GRAPHIC:SS T-SHIRT</t>
  </si>
  <si>
    <t>SS T-SHIRT KI TC PRINT CITY NEW YORK CITY KIT50:CLASSIC BLUE:15-16:GRAPHIC:SS T-SHIRT</t>
  </si>
  <si>
    <t>KIT51</t>
  </si>
  <si>
    <t>SS T-SHIRT KI TC PRINT CITY MULTICORE KIT51:PEPPERMINT:9-10:GRAPHIC:SS T-SHIRT</t>
  </si>
  <si>
    <t>SS T-SHIRT KI TC PRINT CITY MULTICORE KIT51:PEPPERMINT:11-12:GRAPHIC:SS T-SHIRT</t>
  </si>
  <si>
    <t>SS T-SHIRT KI TC PRINT CITY MULTICORE KIT51:PEPPERMINT:13-14:GRAPHIC:SS T-SHIRT</t>
  </si>
  <si>
    <t>SS T-SHIRT KI TC PRINT CITY MULTICORE KIT51:PEPPERMINT:15-16:GRAPHIC:SS T-SHIRT</t>
  </si>
  <si>
    <t>KIT52</t>
  </si>
  <si>
    <t>SS T-SHIRT KI TC PRINT CITY NEW YORK KIT52:MANDARIN ORANGE:9-10:GRAPHIC:SS T-SHIRT</t>
  </si>
  <si>
    <t>SS T-SHIRT KI TC PRINT CITY NEW YORK KIT52:MANDARIN ORANGE:11-12:GRAPHIC:SS T-SHIRT</t>
  </si>
  <si>
    <t>SS T-SHIRT KI TC PRINT CITY NEW YORK KIT52:MANDARIN ORANGE:13-14:GRAPHIC:SS T-SHIRT</t>
  </si>
  <si>
    <t>SS T-SHIRT KI TC PRINT CITY NEW YORK KIT52:MANDARIN ORANGE:15-16:GRAPHIC:SS T-SHIRT</t>
  </si>
  <si>
    <t>KIT58A</t>
  </si>
  <si>
    <t>SS T-SHIRT KI TC PRINT LOGO TRAVEL KIT58A:LIGHT BLUE:9-10:GRAPHIC:SS T-SHIRT</t>
  </si>
  <si>
    <t>SS T-SHIRT KI TC PRINT LOGO TRAVEL KIT58A:LIGHT BLUE:11-12:GRAPHIC:SS T-SHIRT</t>
  </si>
  <si>
    <t>SS T-SHIRT KI TC PRINT LOGO TRAVEL KIT58A:LIGHT BLUE:13-14:GRAPHIC:SS T-SHIRT</t>
  </si>
  <si>
    <t>SS T-SHIRT KI TC PRINT LOGO TRAVEL KIT58A:LIGHT BLUE:15-16:GRAPHIC:SS T-SHIRT</t>
  </si>
  <si>
    <t>KIT59A</t>
  </si>
  <si>
    <t>SS T-SHIRT KI TC PRINT HIKE MORE KIT59A:PASTEL YELLOW:9-10:GRAPHIC:SS T-SHIRT</t>
  </si>
  <si>
    <t>SS T-SHIRT KI TC PRINT HIKE MORE KIT59A:PASTEL YELLOW:11-12:GRAPHIC:SS T-SHIRT</t>
  </si>
  <si>
    <t>SS T-SHIRT KI TC PRINT HIKE MORE KIT59A:PASTEL YELLOW:13-14:GRAPHIC:SS T-SHIRT</t>
  </si>
  <si>
    <t>SS T-SHIRT KI TC PRINT HIKE MORE KIT59A:PASTEL YELLOW:15-16:GRAPHIC:SS T-SHIRT</t>
  </si>
  <si>
    <t>KIT60A</t>
  </si>
  <si>
    <t>SS T-SHIRT KI TC PRINT LETS GO TRAVEL KIT60A:TAUPE GREY:9-10:GRAPHIC:SS T-SHIRT</t>
  </si>
  <si>
    <t>SS T-SHIRT KI TC PRINT LETS GO TRAVEL KIT60A:TAUPE GREY:11-12:GRAPHIC:SS T-SHIRT</t>
  </si>
  <si>
    <t>SS T-SHIRT KI TC PRINT LETS GO TRAVEL KIT60A:TAUPE GREY:13-14:GRAPHIC:SS T-SHIRT</t>
  </si>
  <si>
    <t>SS T-SHIRT KI TC PRINT LETS GO TRAVEL KIT60A:TAUPE GREY:15-16:GRAPHIC:SS T-SHIRT</t>
  </si>
  <si>
    <t>KIT61A</t>
  </si>
  <si>
    <t>SS T-SHIRT KI TC PRINT LETS GO CAMPING KIT61A:GRASS GREEN:9-10:GRAPHIC:SS T-SHIRT</t>
  </si>
  <si>
    <t>SS T-SHIRT KI TC PRINT LETS GO CAMPING KIT61A:GRASS GREEN:11-12:GRAPHIC:SS T-SHIRT</t>
  </si>
  <si>
    <t>SS T-SHIRT KI TC PRINT LETS GO CAMPING KIT61A:GRASS GREEN:13-14:GRAPHIC:SS T-SHIRT</t>
  </si>
  <si>
    <t>SS T-SHIRT KI TC PRINT LETS GO CAMPING KIT61A:GRASS GREEN:15-16:GRAPHIC:SS T-SHIRT</t>
  </si>
  <si>
    <t>KIT53A</t>
  </si>
  <si>
    <t>SS T-SHIRT KI TC PRINT CITY NEW YORK KIT53A:OLIVE:9-10:GRAPHIC:SS T-SHIRT</t>
  </si>
  <si>
    <t>SS T-SHIRT KI TC PRINT CITY NEW YORK KIT53A:OLIVE:11-12:GRAPHIC:SS T-SHIRT</t>
  </si>
  <si>
    <t>SS T-SHIRT KI TC PRINT CITY NEW YORK KIT53A:OLIVE:13-14:GRAPHIC:SS T-SHIRT</t>
  </si>
  <si>
    <t>SS T-SHIRT KI TC PRINT CITY NEW YORK KIT53A:OLIVE:15-16:GRAPHIC:SS T-SHIRT</t>
  </si>
  <si>
    <t>KIT54A</t>
  </si>
  <si>
    <t>SS T-SHIRT KI TC PRINT ANIME RACING KING OF THE CIRCUIT KIT54A:WHITE:9-10:GRAPHIC:SS T-SHIRT</t>
  </si>
  <si>
    <t>SS T-SHIRT KI TC PRINT ANIME RACING KING OF THE CIRCUIT KIT54A:WHITE:11-12:GRAPHIC:SS T-SHIRT</t>
  </si>
  <si>
    <t>SS T-SHIRT KI TC PRINT ANIME RACING KING OF THE CIRCUIT KIT54A:WHITE:13-14:GRAPHIC:SS T-SHIRT</t>
  </si>
  <si>
    <t>SS T-SHIRT KI TC PRINT ANIME RACING KING OF THE CIRCUIT KIT54A:WHITE:15-16:GRAPHIC:SS T-SHIRT</t>
  </si>
  <si>
    <t>KIT55A</t>
  </si>
  <si>
    <t>SS T-SHIRT KI TC PRINT ANIME RACING LET RACE KIT55A:TAUPE GREY:9-10:GRAPHIC:SS T-SHIRT</t>
  </si>
  <si>
    <t>SS T-SHIRT KI TC PRINT ANIME RACING LET RACE KIT55A:TAUPE GREY:11-12:GRAPHIC:SS T-SHIRT</t>
  </si>
  <si>
    <t>SS T-SHIRT KI TC PRINT ANIME RACING LET RACE KIT55A:TAUPE GREY:13-14:GRAPHIC:SS T-SHIRT</t>
  </si>
  <si>
    <t>SS T-SHIRT KI TC PRINT ANIME RACING LET RACE KIT55A:TAUPE GREY:15-16:GRAPHIC:SS T-SHIRT</t>
  </si>
  <si>
    <t>KIT56A</t>
  </si>
  <si>
    <t>SS T-SHIRT KI TC PRINT ANIME RACING VICTORY KIT56A:PASTEL BLUE:9-10:GRAPHIC:SS T-SHIRT</t>
  </si>
  <si>
    <t>SS T-SHIRT KI TC PRINT ANIME RACING VICTORY KIT56A:PASTEL BLUE:11-12:GRAPHIC:SS T-SHIRT</t>
  </si>
  <si>
    <t>SS T-SHIRT KI TC PRINT ANIME RACING VICTORY KIT56A:PASTEL BLUE:13-14:GRAPHIC:SS T-SHIRT</t>
  </si>
  <si>
    <t>SS T-SHIRT KI TC PRINT ANIME RACING VICTORY KIT56A:PASTEL BLUE:15-16:GRAPHIC:SS T-SHIRT</t>
  </si>
  <si>
    <t>KIT57A</t>
  </si>
  <si>
    <t>SS T-SHIRT KI TC PRINT ANIME RACING OVER THE LIMIT KIT57A:BLACK:9-10:GRAPHIC:SS T-SHIRT</t>
  </si>
  <si>
    <t>SS T-SHIRT KI TC PRINT ANIME RACING OVER THE LIMIT KIT57A:BLACK:11-12:GRAPHIC:SS T-SHIRT</t>
  </si>
  <si>
    <t>SS T-SHIRT KI TC PRINT ANIME RACING OVER THE LIMIT KIT57A:BLACK:13-14:GRAPHIC:SS T-SHIRT</t>
  </si>
  <si>
    <t>SS T-SHIRT KI TC PRINT ANIME RACING OVER THE LIMIT KIT57A:BLACK:15-16:GRAPHIC:SS T-SHIRT</t>
  </si>
  <si>
    <t>PHBYS1SHT</t>
  </si>
  <si>
    <t>SHORT PANTS TERRY BOYS SPLASH PHBYS1SHT:OFF WHITE:5-6:GRAPHIC:SHORT PANTS</t>
  </si>
  <si>
    <t>B1G1</t>
  </si>
  <si>
    <t>SHORT PANTS TERRY BOYS SPLASH PHBYS1SHT:OFF WHITE:7-8:GRAPHIC:SHORT PANTS</t>
  </si>
  <si>
    <t>SHORT PANTS TERRY BOYS SPLASH PHBYS1SHT:OFF WHITE:9-10:GRAPHIC:SHORT PANTS</t>
  </si>
  <si>
    <t>SHORT PANTS TERRY BOYS SPLASH PHBYS1SHT:OFF WHITE:11-12:GRAPHIC:SHORT PANTS</t>
  </si>
  <si>
    <t>PHBYS3SHT</t>
  </si>
  <si>
    <t>SHORT PANTS TERRY DINOSAUR PHBYS3SHT:BLACK:5-6:GRAPHIC:SHORT PANTS</t>
  </si>
  <si>
    <t>SHORT PANTS TERRY DINOSAUR PHBYS3SHT:BLACK:7-8:GRAPHIC:SHORT PANTS</t>
  </si>
  <si>
    <t>SHORT PANTS TERRY DINOSAUR PHBYS3SHT:BLACK:9-10:GRAPHIC:SHORT PANTS</t>
  </si>
  <si>
    <t>SHORT PANTS TERRY DINOSAUR PHBYS3SHT:BLACK:11-12:GRAPHIC:SHORT PANTS</t>
  </si>
  <si>
    <t>DEWCRG01</t>
  </si>
  <si>
    <t>SHORT PANTS TERRY KTG CARGO DEWCRG01:PASTEL BLUE:5-6:SOLID:SHORT PANTS</t>
  </si>
  <si>
    <t>SHORT PANTS TERRY KTG CARGO DEWCRG01:PASTEL BLUE:7-8:SOLID:SHORT PANTS</t>
  </si>
  <si>
    <t>SHORT PANTS TERRY KTG CARGO DEWCRG01:PASTEL BLUE:9-10:SOLID:SHORT PANTS</t>
  </si>
  <si>
    <t>SHORT PANTS TERRY KTG CARGO DEWCRG01:PASTEL BLUE:11-12:SOLID:SHORT PANTS</t>
  </si>
  <si>
    <t>DEWCRG02</t>
  </si>
  <si>
    <t>SHORT PANTS TERRY KTG CARGO DEWCRG02:VANILLA:5-6:SOLID:SHORT PANTS</t>
  </si>
  <si>
    <t>SHORT PANTS TERRY KTG CARGO DEWCRG02:VANILLA:7-8:SOLID:SHORT PANTS</t>
  </si>
  <si>
    <t>SHORT PANTS TERRY KTG CARGO DEWCRG02:VANILLA:9-10:SOLID:SHORT PANTS</t>
  </si>
  <si>
    <t>SHORT PANTS TERRY KTG CARGO DEWCRG02:VANILLA:11-12:SOLID:SHORT PANTS</t>
  </si>
  <si>
    <t>DEWCRG03</t>
  </si>
  <si>
    <t>SHORT PANTS TERRY KTG CARGO DEWCRG03:BLACK:5-6:SOLID:SHORT PANTS</t>
  </si>
  <si>
    <t>SHORT PANTS TERRY KTG CARGO DEWCRG03:BLACK:7-8:SOLID:SHORT PANTS</t>
  </si>
  <si>
    <t>SHORT PANTS TERRY KTG CARGO DEWCRG03:BLACK:9-10:SOLID:SHORT PANTS</t>
  </si>
  <si>
    <t>SHORT PANTS TERRY KTG CARGO DEWCRG03:BLACK:11-12:SOLID:SHORT PANTS</t>
  </si>
  <si>
    <t>DEWCRG04</t>
  </si>
  <si>
    <t>SHORT PANTS TERRY KTG CARGO DEWCRG04:PASTEL GREEN:5-6:SOLID:SHORT PANTS</t>
  </si>
  <si>
    <t>SHORT PANTS TERRY KTG CARGO DEWCRG04:PASTEL GREEN:7-8:SOLID:SHORT PANTS</t>
  </si>
  <si>
    <t>SHORT PANTS TERRY KTG CARGO DEWCRG04:PASTEL GREEN:9-10:SOLID:SHORT PANTS</t>
  </si>
  <si>
    <t>SHORT PANTS TERRY KTG CARGO DEWCRG04:PASTEL GREEN:11-12:SOLID:SHORT PANTS</t>
  </si>
  <si>
    <t>DEWCRG05</t>
  </si>
  <si>
    <t>SHORT PANTS TERRY KTG CARGO DEWCRG05:MISTY MEDIUM GREY:5-6:SOLID:SHORT PANTS</t>
  </si>
  <si>
    <t>SHORT PANTS TERRY KTG CARGO DEWCRG05:MISTY MEDIUM GREY:7-8:SOLID:SHORT PANTS</t>
  </si>
  <si>
    <t>SHORT PANTS TERRY KTG CARGO DEWCRG05:MISTY MEDIUM GREY:9-10:SOLID:SHORT PANTS</t>
  </si>
  <si>
    <t>SHORT PANTS TERRY KTG CARGO DEWCRG05:MISTY MEDIUM GREY:11-12:SOLID:SHORT PANTS</t>
  </si>
  <si>
    <t>PHBRV1SHT</t>
  </si>
  <si>
    <t>SHORT PANTS TERRY BRAVE CUT SEWN PHBRV1SHT:PASTEL BLUE:5-6:SOLID:SHORT PANTS</t>
  </si>
  <si>
    <t>SHORT PANTS TERRY BRAVE CUT SEWN PHBRV1SHT:PASTEL BLUE:7-8:SOLID:SHORT PANTS</t>
  </si>
  <si>
    <t>SHORT PANTS TERRY BRAVE CUT SEWN PHBRV1SHT:PASTEL BLUE:9-10:SOLID:SHORT PANTS</t>
  </si>
  <si>
    <t>SHORT PANTS TERRY BRAVE CUT SEWN PHBRV1SHT:PASTEL BLUE:11-12:SOLID:SHORT PANTS</t>
  </si>
  <si>
    <t>PHBRV2SHT</t>
  </si>
  <si>
    <t>SHORT PANTS TERRY ANIME BRAVE PHBRV2SHT:MISTY MEDIUM GREY:5-6:GRAPHIC:SHORT PANTS</t>
  </si>
  <si>
    <t>SHORT PANTS TERRY ANIME BRAVE PHBRV2SHT:MISTY MEDIUM GREY:7-8:GRAPHIC:SHORT PANTS</t>
  </si>
  <si>
    <t>SHORT PANTS TERRY ANIME BRAVE PHBRV2SHT:MISTY MEDIUM GREY:9-10:GRAPHIC:SHORT PANTS</t>
  </si>
  <si>
    <t>SHORT PANTS TERRY ANIME BRAVE PHBRV2SHT:MISTY MEDIUM GREY:11-12:GRAPHIC:SHORT PANTS</t>
  </si>
  <si>
    <t>PSZRPRINT</t>
  </si>
  <si>
    <t>SHORT PANTS TERRY PRINT ABSTRAK PSZRPRINT:OFF WHITE:5-6:PRINT:SHORT PANTS</t>
  </si>
  <si>
    <t>SHORT PANTS TERRY PRINT ABSTRAK PSZRPRINT:OFF WHITE:7-8:PRINT:SHORT PANTS</t>
  </si>
  <si>
    <t>SHORT PANTS TERRY PRINT ABSTRAK PSZRPRINT:OFF WHITE:9-10:PRINT:SHORT PANTS</t>
  </si>
  <si>
    <t>SHORT PANTS TERRY PRINT ABSTRAK PSZRPRINT:OFF WHITE:11-12:PRINT:SHORT PANTS</t>
  </si>
  <si>
    <t>PHTIDY2SHT</t>
  </si>
  <si>
    <t>SHORT PANTS TERRY OMBRE BLUE PHTIDY2SHT:PASTEL BLUE:5-6:STRIPES:SHORT PANTS</t>
  </si>
  <si>
    <t>SHORT PANTS TERRY OMBRE BLUE PHTIDY2SHT:PASTEL BLUE:7-8:STRIPES:SHORT PANTS</t>
  </si>
  <si>
    <t>SHORT PANTS TERRY OMBRE BLUE PHTIDY2SHT:PASTEL BLUE:9-10:STRIPES:SHORT PANTS</t>
  </si>
  <si>
    <t>SHORT PANTS TERRY OMBRE BLUE PHTIDY2SHT:PASTEL BLUE:11-12:STRIPES:SHORT PANTS</t>
  </si>
  <si>
    <t>KIPSDFR01B</t>
  </si>
  <si>
    <t>SHORT PANTS DINO AND FRIENDS KIPSDFR01B:BLACK:5-6:GRAPHIC:SHORT PANTS</t>
  </si>
  <si>
    <t>SHORT PANTS DINO AND FRIENDS KIPSDFR01B:BLACK:7-8:GRAPHIC:SHORT PANTS</t>
  </si>
  <si>
    <t>SHORT PANTS DINO AND FRIENDS KIPSDFR01B:BLACK:9-10:GRAPHIC:SHORT PANTS</t>
  </si>
  <si>
    <t>SHORT PANTS DINO AND FRIENDS KIPSDFR01B:BLACK:11-12:GRAPHIC:SHORT PANTS</t>
  </si>
  <si>
    <t>KIPSDFR02B</t>
  </si>
  <si>
    <t>SHORT PANTS SPACE ADVENTURE KIPSDFR02B:CHARCOAL:5-6:GRAPHIC:SHORT PANTS</t>
  </si>
  <si>
    <t>SHORT PANTS SPACE ADVENTURE KIPSDFR02B:CHARCOAL:7-8:GRAPHIC:SHORT PANTS</t>
  </si>
  <si>
    <t>SHORT PANTS SPACE ADVENTURE KIPSDFR02B:CHARCOAL:9-10:GRAPHIC:SHORT PANTS</t>
  </si>
  <si>
    <t>SHORT PANTS SPACE ADVENTURE KIPSDFR02B:CHARCOAL:11-12:GRAPHIC:SHORT PANTS</t>
  </si>
  <si>
    <t>KIDEWRC01B</t>
  </si>
  <si>
    <t>SHORT PANTS DYNASTY RACER KIDEWRC01B:BROWN SUGAR:5-6:GRAPHIC:SHORT PANTS</t>
  </si>
  <si>
    <t>SHORT PANTS DYNASTY RACER KIDEWRC01B:BROWN SUGAR:7-8:GRAPHIC:SHORT PANTS</t>
  </si>
  <si>
    <t>SHORT PANTS DYNASTY RACER KIDEWRC01B:BROWN SUGAR:9-10:GRAPHIC:SHORT PANTS</t>
  </si>
  <si>
    <t>SHORT PANTS DYNASTY RACER KIDEWRC01B:BROWN SUGAR:11-12:GRAPHIC:SHORT PANTS</t>
  </si>
  <si>
    <t>KIDEWRC02B</t>
  </si>
  <si>
    <t>SHORT PANTS UNLOCKED LEVEL KIDEWRC02B:BLACK:5-6:GRAPHIC:SHORT PANTS</t>
  </si>
  <si>
    <t>SHORT PANTS UNLOCKED LEVEL KIDEWRC02B:BLACK:7-8:GRAPHIC:SHORT PANTS</t>
  </si>
  <si>
    <t>SHORT PANTS UNLOCKED LEVEL KIDEWRC02B:BLACK:9-10:GRAPHIC:SHORT PANTS</t>
  </si>
  <si>
    <t>SHORT PANTS UNLOCKED LEVEL KIDEWRC02B:BLACK:11-12:GRAPHIC:SHORT PANTS</t>
  </si>
  <si>
    <t>KIDEWRC03B</t>
  </si>
  <si>
    <t>SHORT PANTS DREAM TEAM REPTIL KIDEWRC03B:NAVY BLUE:5-6:GRAPHIC:SHORT PANTS</t>
  </si>
  <si>
    <t>SHORT PANTS DREAM TEAM REPTIL KIDEWRC03B:NAVY BLUE:7-8:GRAPHIC:SHORT PANTS</t>
  </si>
  <si>
    <t>SHORT PANTS DREAM TEAM REPTIL KIDEWRC03B:NAVY BLUE:9-10:GRAPHIC:SHORT PANTS</t>
  </si>
  <si>
    <t>SHORT PANTS DREAM TEAM REPTIL KIDEWRC03B:NAVY BLUE:11-12:GRAPHIC:SHORT PANTS</t>
  </si>
  <si>
    <t>KIDEWWRD1B</t>
  </si>
  <si>
    <t>SHORT PANTS BE COOL KIDEWWRD1B:NAVY BLUE:5-6:GRAPHIC:SHORT PANTS</t>
  </si>
  <si>
    <t>SHORT PANTS BE COOL KIDEWWRD1B:NAVY BLUE:7-8:GRAPHIC:SHORT PANTS</t>
  </si>
  <si>
    <t>SHORT PANTS BE COOL KIDEWWRD1B:NAVY BLUE:9-10:GRAPHIC:SHORT PANTS</t>
  </si>
  <si>
    <t>SHORT PANTS BE COOL KIDEWWRD1B:NAVY BLUE:11-12:GRAPHIC:SHORT PANTS</t>
  </si>
  <si>
    <t>KIDEWWRD2B</t>
  </si>
  <si>
    <t>SHORT PANTS SPORT KIDEWWRD2B:PASTEL BLUE:5-6:GRAPHIC:SHORT PANTS</t>
  </si>
  <si>
    <t>SHORT PANTS SPORT KIDEWWRD2B:PASTEL BLUE:7-8:GRAPHIC:SHORT PANTS</t>
  </si>
  <si>
    <t>SHORT PANTS SPORT KIDEWWRD2B:PASTEL BLUE:9-10:GRAPHIC:SHORT PANTS</t>
  </si>
  <si>
    <t>SHORT PANTS SPORT KIDEWWRD2B:PASTEL BLUE:11-12:GRAPHIC:SHORT PANTS</t>
  </si>
  <si>
    <t>KIDEWWRD3B</t>
  </si>
  <si>
    <t>SHORT PANTS AWESOME KIDEWWRD3B:BLACK:5-6:GRAPHIC:SHORT PANTS</t>
  </si>
  <si>
    <t>SHORT PANTS AWESOME KIDEWWRD3B:BLACK:7-8:GRAPHIC:SHORT PANTS</t>
  </si>
  <si>
    <t>SHORT PANTS AWESOME KIDEWWRD3B:BLACK:9-10:GRAPHIC:SHORT PANTS</t>
  </si>
  <si>
    <t>SHORT PANTS AWESOME KIDEWWRD3B:BLACK:11-12:GRAPHIC:SHORT PANTS</t>
  </si>
  <si>
    <t>PHPRNT01</t>
  </si>
  <si>
    <t>SHORT PANTS JERSEY DINO FEARLESS PHPRNT01:OLIVE:5-6:PRINT:SHORT PANTS</t>
  </si>
  <si>
    <t>SHORT PANTS JERSEY DINO FEARLESS PHPRNT01:OLIVE:7-8:PRINT:SHORT PANTS</t>
  </si>
  <si>
    <t>SHORT PANTS JERSEY DINO FEARLESS PHPRNT01:OLIVE:9-10:PRINT:SHORT PANTS</t>
  </si>
  <si>
    <t>SHORT PANTS JERSEY DINO FEARLESS PHPRNT01:OLIVE:11-12:PRINT:SHORT PANTS</t>
  </si>
  <si>
    <t>PHPRNT02</t>
  </si>
  <si>
    <t>SHORT PANTS JERSEY SPORTS PHPRNT02:BLACK:5-6:PRINT:SHORT PANTS</t>
  </si>
  <si>
    <t>SHORT PANTS JERSEY SPORTS PHPRNT02:BLACK:7-8:PRINT:SHORT PANTS</t>
  </si>
  <si>
    <t>SHORT PANTS JERSEY SPORTS PHPRNT02:BLACK:9-10:PRINT:SHORT PANTS</t>
  </si>
  <si>
    <t>SHORT PANTS JERSEY SPORTS PHPRNT02:BLACK:11-12:PRINT:SHORT PANTS</t>
  </si>
  <si>
    <t>PHPRNT03</t>
  </si>
  <si>
    <t>SHORT PANTS JERSEY PRINT PETIR PHPRNT03:MISTY MEDIUM GREY:5-6:PRINT:SHORT PANTS</t>
  </si>
  <si>
    <t>SHORT PANTS JERSEY PRINT PETIR PHPRNT03:MISTY MEDIUM GREY:7-8:PRINT:SHORT PANTS</t>
  </si>
  <si>
    <t>SHORT PANTS JERSEY PRINT PETIR PHPRNT03:MISTY MEDIUM GREY:9-10:PRINT:SHORT PANTS</t>
  </si>
  <si>
    <t>SHORT PANTS JERSEY PRINT PETIR PHPRNT03:MISTY MEDIUM GREY:11-12:PRINT:SHORT PANTS</t>
  </si>
  <si>
    <t>PSTWCRG01</t>
  </si>
  <si>
    <t>SHORT PANTS CARGO TWILL KANTONG PSTWCRG01:KHAKI:5-6:SOLID:SHORT PANTS</t>
  </si>
  <si>
    <t>SHORT PANTS CARGO TWILL KANTONG PSTWCRG01:KHAKI:7-8:SOLID:SHORT PANTS</t>
  </si>
  <si>
    <t>SHORT PANTS CARGO TWILL KANTONG PSTWCRG01:KHAKI:9-10:SOLID:SHORT PANTS</t>
  </si>
  <si>
    <t>SHORT PANTS CARGO TWILL KANTONG PSTWCRG01:KHAKI:11-12:SOLID:SHORT PANTS</t>
  </si>
  <si>
    <t>PSTWCRG02</t>
  </si>
  <si>
    <t>SHORT PANTS CARGO TWILL KANTONG PSTWCRG02:OLIVE:5-6:SOLID:SHORT PANTS</t>
  </si>
  <si>
    <t>SHORT PANTS CARGO TWILL KANTONG PSTWCRG02:OLIVE:7-8:SOLID:SHORT PANTS</t>
  </si>
  <si>
    <t>SHORT PANTS CARGO TWILL KANTONG PSTWCRG02:OLIVE:9-10:SOLID:SHORT PANTS</t>
  </si>
  <si>
    <t>SHORT PANTS CARGO TWILL KANTONG PSTWCRG02:OLIVE:11-12:SOLID:SHORT PANTS</t>
  </si>
  <si>
    <t>PSKTUTUP01</t>
  </si>
  <si>
    <t>SHORT PANTS KANTONG TUTUP PSKTUTUP01:VANILLA:5-6:SOLID:SHORT PANTS</t>
  </si>
  <si>
    <t>SHORT PANTS KANTONG TUTUP PSKTUTUP01:VANILLA:7-8:SOLID:SHORT PANTS</t>
  </si>
  <si>
    <t>SHORT PANTS KANTONG TUTUP PSKTUTUP01:VANILLA:9-10:SOLID:SHORT PANTS</t>
  </si>
  <si>
    <t>SHORT PANTS KANTONG TUTUP PSKTUTUP01:VANILLA:11-12:SOLID:SHORT PANTS</t>
  </si>
  <si>
    <t>PSKTUTUP02</t>
  </si>
  <si>
    <t>SHORT PANTS KANTONG TUTUP PSKTUTUP02:SAND:5-6:SOLID:SHORT PANTS</t>
  </si>
  <si>
    <t>SHORT PANTS KANTONG TUTUP PSKTUTUP02:SAND:7-8:SOLID:SHORT PANTS</t>
  </si>
  <si>
    <t>SHORT PANTS KANTONG TUTUP PSKTUTUP02:SAND:9-10:SOLID:SHORT PANTS</t>
  </si>
  <si>
    <t>SHORT PANTS KANTONG TUTUP PSKTUTUP02:SAND:11-12:SOLID:SHORT PANTS</t>
  </si>
  <si>
    <t>KIBDNM1SHT</t>
  </si>
  <si>
    <t>SHORT PANTS BSC LIGHT KIBDNM1SHT:MEDIUM DENIM:5-6:SOLID:SHORT PANTS</t>
  </si>
  <si>
    <t>SHORT PANTS BSC LIGHT KIBDNM1SHT:MEDIUM DENIM:7-8:SOLID:SHORT PANTS</t>
  </si>
  <si>
    <t>SHORT PANTS BSC LIGHT KIBDNM1SHT:MEDIUM DENIM:9-10:SOLID:SHORT PANTS</t>
  </si>
  <si>
    <t>SHORT PANTS BSC LIGHT KIBDNM1SHT:MEDIUM DENIM:11-12:SOLID:SHORT PANTS</t>
  </si>
  <si>
    <t>KIBDNM2SHT</t>
  </si>
  <si>
    <t>SHORT PANTS BSC DARK KIBDNM2SHT:DARK DENIM:5-6:SOLID:SHORT PANTS</t>
  </si>
  <si>
    <t>SHORT PANTS BSC DARK KIBDNM2SHT:DARK DENIM:7-8:SOLID:SHORT PANTS</t>
  </si>
  <si>
    <t>SHORT PANTS BSC DARK KIBDNM2SHT:DARK DENIM:9-10:SOLID:SHORT PANTS</t>
  </si>
  <si>
    <t>SHORT PANTS BSC DARK KIBDNM2SHT:DARK DENIM:11-12:SOLID:SHORT PANTS</t>
  </si>
  <si>
    <t>PSNEXT03</t>
  </si>
  <si>
    <t>SHORT PANTS KTG TEMPEL DAN CRAGO PSNEXT03:PASTEL GREEN:5-6:SOLID:SHORT PANTS</t>
  </si>
  <si>
    <t>SHORT PANTS KTG TEMPEL DAN CRAGO PSNEXT03:PASTEL GREEN:7-8:SOLID:SHORT PANTS</t>
  </si>
  <si>
    <t>SHORT PANTS KTG TEMPEL DAN CRAGO PSNEXT03:PASTEL GREEN:9-10:SOLID:SHORT PANTS</t>
  </si>
  <si>
    <t>SHORT PANTS KTG TEMPEL DAN CRAGO PSNEXT03:PASTEL GREEN:11-12:SOLID:SHORT PANTS</t>
  </si>
  <si>
    <t>PSNEXT04</t>
  </si>
  <si>
    <t>SHORT PANTS KTG TEMPEL DAN CRAGO PSNEXT04:PASTEL BLUE:5-6:SOLID:SHORT PANTS</t>
  </si>
  <si>
    <t>SHORT PANTS KTG TEMPEL DAN CRAGO PSNEXT04:PASTEL BLUE:7-8:SOLID:SHORT PANTS</t>
  </si>
  <si>
    <t>SHORT PANTS KTG TEMPEL DAN CRAGO PSNEXT04:PASTEL BLUE:9-10:SOLID:SHORT PANTS</t>
  </si>
  <si>
    <t>SHORT PANTS KTG TEMPEL DAN CRAGO PSNEXT04:PASTEL BLUE:11-12:SOLID:SHORT PANTS</t>
  </si>
  <si>
    <t>CWTO7</t>
  </si>
  <si>
    <t>SHORT PANTS WOVEN BABY CANVAS 3D POCKET CWTO7:VANILLA:9-10:SOLID:SHORT PANTS</t>
  </si>
  <si>
    <t>SHORT PANTS WOVEN BABY CANVAS 3D POCKET CWTO7:VANILLA:11-12:SOLID:SHORT PANTS</t>
  </si>
  <si>
    <t>SHORT PANTS WOVEN BABY CANVAS 3D POCKET CWTO7:VANILLA:13-14:SOLID:SHORT PANTS</t>
  </si>
  <si>
    <t>SHORT PANTS WOVEN BABY CANVAS 3D POCKET CWTO7:VANILLA:15-16:SOLID:SHORT PANTS</t>
  </si>
  <si>
    <t>SHORT PANTS WOVEN BABY CANVAS 3D POCKET CWTO7:OLIVE:9-10:SOLID:SHORT PANTS</t>
  </si>
  <si>
    <t>SHORT PANTS WOVEN BABY CANVAS 3D POCKET CWTO7:OLIVE:11-12:SOLID:SHORT PANTS</t>
  </si>
  <si>
    <t>SHORT PANTS WOVEN BABY CANVAS 3D POCKET CWTO7:OLIVE:13-14:SOLID:SHORT PANTS</t>
  </si>
  <si>
    <t>SHORT PANTS WOVEN BABY CANVAS 3D POCKET CWTO7:OLIVE:15-16:SOLID:SHORT PANTS</t>
  </si>
  <si>
    <t>CWTO8</t>
  </si>
  <si>
    <t>SHORT PANTS WOVEN KARET KENZO TWILL 3D POCKET WITH TAPE CWTO8:CHARCOAL:9-10:SOLID:SHORT PANTS</t>
  </si>
  <si>
    <t>SHORT PANTS WOVEN KARET KENZO TWILL 3D POCKET WITH TAPE CWTO8:CHARCOAL:11-12:SOLID:SHORT PANTS</t>
  </si>
  <si>
    <t>SHORT PANTS WOVEN KARET KENZO TWILL 3D POCKET WITH TAPE CWTO8:CHARCOAL:13-14:SOLID:SHORT PANTS</t>
  </si>
  <si>
    <t>SHORT PANTS WOVEN KARET KENZO TWILL 3D POCKET WITH TAPE CWTO8:CHARCOAL:15-16:SOLID:SHORT PANTS</t>
  </si>
  <si>
    <t>SHORT PANTS WOVEN KARET KENZO TWILL 3D POCKET WITH TAPE CWTO8:CACTUS GREEN:9-10:SOLID:SHORT PANTS</t>
  </si>
  <si>
    <t>SHORT PANTS WOVEN KARET KENZO TWILL 3D POCKET WITH TAPE CWTO8:CACTUS GREEN:11-12:SOLID:SHORT PANTS</t>
  </si>
  <si>
    <t>SHORT PANTS WOVEN KARET KENZO TWILL 3D POCKET WITH TAPE CWTO8:CACTUS GREEN:13-14:SOLID:SHORT PANTS</t>
  </si>
  <si>
    <t>SHORT PANTS WOVEN KARET KENZO TWILL 3D POCKET WITH TAPE CWTO8:CACTUS GREEN:15-16:SOLID:SHORT PANTS</t>
  </si>
  <si>
    <t>CDCK1</t>
  </si>
  <si>
    <t>DENIM SHORTS KARET WASHING SOLID CDCK1:BLACK:9-10:SOLID:DENIM SHORT PANTS</t>
  </si>
  <si>
    <t>DENIM SHORTS KARET WASHING SOLID CDCK1:BLACK:11-12:SOLID:DENIM SHORT PANTS</t>
  </si>
  <si>
    <t>DENIM SHORTS KARET WASHING SOLID CDCK1:BLACK:13-14:SOLID:DENIM SHORT PANTS</t>
  </si>
  <si>
    <t>DENIM SHORTS KARET WASHING SOLID CDCK1:BLACK:15-16:SOLID:DENIM SHORT PANTS</t>
  </si>
  <si>
    <t>CDCK2</t>
  </si>
  <si>
    <t>DENIM SHORTS KARET WASHING  CDCK2:LIGHT DENIM:9-10:SOLID:DENIM SHORT PANTS</t>
  </si>
  <si>
    <t>DENIM SHORTS KARET WASHING  CDCK2:LIGHT DENIM:11-12:SOLID:DENIM SHORT PANTS</t>
  </si>
  <si>
    <t>DENIM SHORTS KARET WASHING  CDCK2:LIGHT DENIM:13-14:SOLID:DENIM SHORT PANTS</t>
  </si>
  <si>
    <t>DENIM SHORTS KARET WASHING  CDCK2:LIGHT DENIM:15-16:SOLID:DENIM SHORT PANTS</t>
  </si>
  <si>
    <t>CDYD1</t>
  </si>
  <si>
    <t>DENIM SHORTS KARET WASHING WHIS1R CDYD1:DARK DENIM:9-10:SOLID:DENIM SHORT PANTS</t>
  </si>
  <si>
    <t>DENIM SHORTS KARET WASHING WHIS1R CDYD1:DARK DENIM:11-12:SOLID:DENIM SHORT PANTS</t>
  </si>
  <si>
    <t>DENIM SHORTS KARET WASHING WHIS1R CDYD1:DARK DENIM:13-14:SOLID:DENIM SHORT PANTS</t>
  </si>
  <si>
    <t>DENIM SHORTS KARET WASHING WHIS1R CDYD1:DARK DENIM:15-16:SOLID:DENIM SHORT PANTS</t>
  </si>
  <si>
    <t>CWAD2</t>
  </si>
  <si>
    <t>SHORT PANTS WOVEN BABY NYLON POCKET BESAR TEMPEL CWAD2:BLACK:9-10:SOLID:SHORT PANTS</t>
  </si>
  <si>
    <t>SHORT PANTS WOVEN BABY NYLON POCKET BESAR TEMPEL CWAD2:BLACK:11-12:SOLID:SHORT PANTS</t>
  </si>
  <si>
    <t>SHORT PANTS WOVEN BABY NYLON POCKET BESAR TEMPEL CWAD2:BLACK:13-14:SOLID:SHORT PANTS</t>
  </si>
  <si>
    <t>SHORT PANTS WOVEN BABY NYLON POCKET BESAR TEMPEL CWAD2:BLACK:15-16:SOLID:SHORT PANTS</t>
  </si>
  <si>
    <t>SHORT PANTS WOVEN BABY NYLON POCKET BESAR TEMPEL CWAD2:OLIVE:9-10:SOLID:SHORT PANTS</t>
  </si>
  <si>
    <t>SHORT PANTS WOVEN BABY NYLON POCKET BESAR TEMPEL CWAD2:OLIVE:11-12:SOLID:SHORT PANTS</t>
  </si>
  <si>
    <t>SHORT PANTS WOVEN BABY NYLON POCKET BESAR TEMPEL CWAD2:OLIVE:13-14:SOLID:SHORT PANTS</t>
  </si>
  <si>
    <t>SHORT PANTS WOVEN BABY NYLON POCKET BESAR TEMPEL CWAD2:OLIVE:15-16:SOLID:SHORT PANTS</t>
  </si>
  <si>
    <t>KICVSTO5</t>
  </si>
  <si>
    <t>SHORT PANTS KI CANVAS PRINT ABSTRACT KICVSTO5:BLACK:9-10:PRINT:SHORT PANTS</t>
  </si>
  <si>
    <t>SHORT PANTS KI CANVAS PRINT ABSTRACT KICVSTO5:BLACK:11-12:PRINT:SHORT PANTS</t>
  </si>
  <si>
    <t>SHORT PANTS KI CANVAS PRINT ABSTRACT KICVSTO5:BLACK:13-14:PRINT:SHORT PANTS</t>
  </si>
  <si>
    <t>SHORT PANTS KI CANVAS PRINT ABSTRACT KICVSTO5:BLACK:15-16:PRINT:SHORT PANTS</t>
  </si>
  <si>
    <t>SHORT PANTS KI CANVAS PRINT ABSTRACT KICVSTO5:NAVY BLUE:9-10:PRINT:SHORT PANTS</t>
  </si>
  <si>
    <t>SHORT PANTS KI CANVAS PRINT ABSTRACT KICVSTO5:NAVY BLUE:11-12:PRINT:SHORT PANTS</t>
  </si>
  <si>
    <t>SHORT PANTS KI CANVAS PRINT ABSTRACT KICVSTO5:NAVY BLUE:13-14:PRINT:SHORT PANTS</t>
  </si>
  <si>
    <t>SHORT PANTS KI CANVAS PRINT ABSTRACT KICVSTO5:NAVY BLUE:15-16:PRINT:SHORT PANTS</t>
  </si>
  <si>
    <t>KICWV115D1</t>
  </si>
  <si>
    <t>SHORTS PANTS WOVEN KI SOLID KICWV115D1:MUSTARD:9-10:SOLID:SHORT PANTS</t>
  </si>
  <si>
    <t>SHORTS PANTS WOVEN KI SOLID KICWV115D1:MUSTARD:11-12:SOLID:SHORT PANTS</t>
  </si>
  <si>
    <t>SHORTS PANTS WOVEN KI SOLID KICWV115D1:MUSTARD:13-14:SOLID:SHORT PANTS</t>
  </si>
  <si>
    <t>SHORTS PANTS WOVEN KI SOLID KICWV115D1:MUSTARD:15-16:SOLID:SHORT PANTS</t>
  </si>
  <si>
    <t>SHORTS PANTS WOVEN KI SOLID KICWV115D1:MANDARIN ORANGE:9-10:SOLID:SHORT PANTS</t>
  </si>
  <si>
    <t>SHORTS PANTS WOVEN KI SOLID KICWV115D1:MANDARIN ORANGE:11-12:SOLID:SHORT PANTS</t>
  </si>
  <si>
    <t>SHORTS PANTS WOVEN KI SOLID KICWV115D1:MANDARIN ORANGE:13-14:SOLID:SHORT PANTS</t>
  </si>
  <si>
    <t>SHORTS PANTS WOVEN KI SOLID KICWV115D1:MANDARIN ORANGE:15-16:SOLID:SHORT PANTS</t>
  </si>
  <si>
    <t>KIGENIO1SLD</t>
  </si>
  <si>
    <t>SHORT PANTS KI CROP WOVEN KARET GENIO CANVAS SOLID RELAX KIGENIO1SLD:VANILLA:9-10:SOLID:SHORT PANTS</t>
  </si>
  <si>
    <t>SHORT PANTS KI CROP WOVEN KARET GENIO CANVAS SOLID RELAX KIGENIO1SLD:VANILLA:11-12:SOLID:SHORT PANTS</t>
  </si>
  <si>
    <t>SHORT PANTS KI CROP WOVEN KARET GENIO CANVAS SOLID RELAX KIGENIO1SLD:VANILLA:13-14:SOLID:SHORT PANTS</t>
  </si>
  <si>
    <t>SHORT PANTS KI CROP WOVEN KARET GENIO CANVAS SOLID RELAX KIGENIO1SLD:VANILLA:15-16:SOLID:SHORT PANTS</t>
  </si>
  <si>
    <t>SHORT PANTS KI CROP WOVEN KARET GENIO CANVAS SOLID RELAX KIGENIO1SLD:NAVY BLUE:9-10:SOLID:SHORT PANT</t>
  </si>
  <si>
    <t>SHORT PANTS KI CROP WOVEN KARET GENIO CANVAS SOLID RELAX KIGENIO1SLD:NAVY BLUE:11-12:SOLID:SHORT PAN</t>
  </si>
  <si>
    <t>SHORT PANTS KI CROP WOVEN KARET GENIO CANVAS SOLID RELAX KIGENIO1SLD:NAVY BLUE:13-14:SOLID:SHORT PAN</t>
  </si>
  <si>
    <t>SHORT PANTS KI CROP WOVEN KARET GENIO CANVAS SOLID RELAX KIGENIO1SLD:NAVY BLUE:15-16:SOLID:SHORT PAN</t>
  </si>
  <si>
    <t>SHORT PANTS KI CROP WOVEN KARET GENIO CANVAS SOLID RELAX KIGENIO1SLD:CHARCOAL:9-10:SOLID:SHORT PANTS</t>
  </si>
  <si>
    <t>SHORT PANTS KI CROP WOVEN KARET GENIO CANVAS SOLID RELAX KIGENIO1SLD:CHARCOAL:11-12:SOLID:SHORT PANT</t>
  </si>
  <si>
    <t>SHORT PANTS KI CROP WOVEN KARET GENIO CANVAS SOLID RELAX KIGENIO1SLD:CHARCOAL:13-14:SOLID:SHORT PANT</t>
  </si>
  <si>
    <t>SHORT PANTS KI CROP WOVEN KARET GENIO CANVAS SOLID RELAX KIGENIO1SLD:CHARCOAL:15-16:SOLID:SHORT PANT</t>
  </si>
  <si>
    <t>SHORT PANTS KI CROP WOVEN KARET GENIO CANVAS SOLID RELAX KIGENIO1SLD:FOREST GREEN:9-10:SOLID:SHORT P</t>
  </si>
  <si>
    <t xml:space="preserve">SHORT PANTS KI CROP WOVEN KARET GENIO CANVAS SOLID RELAX KIGENIO1SLD:FOREST GREEN:11-12:SOLID:SHORT </t>
  </si>
  <si>
    <t xml:space="preserve">SHORT PANTS KI CROP WOVEN KARET GENIO CANVAS SOLID RELAX KIGENIO1SLD:FOREST GREEN:13-14:SOLID:SHORT </t>
  </si>
  <si>
    <t xml:space="preserve">SHORT PANTS KI CROP WOVEN KARET GENIO CANVAS SOLID RELAX KIGENIO1SLD:FOREST GREEN:15-16:SOLID:SHORT </t>
  </si>
  <si>
    <t>KI DOUBLE RIBSTOP CROP WOVEN PRINT ABSTRACT KIRBSTO2:PASTEL GREY:9-10:PRINT:SHORT PANTS</t>
  </si>
  <si>
    <t>KI DOUBLE RIBSTOP CROP WOVEN PRINT ABSTRACT KIRBSTO2:PASTEL GREY:11-12:PRINT:SHORT PANTS</t>
  </si>
  <si>
    <t>KI DOUBLE RIBSTOP CROP WOVEN PRINT ABSTRACT KIRBSTO2:PASTEL GREY:13-14:PRINT:SHORT PANTS</t>
  </si>
  <si>
    <t>KI DOUBLE RIBSTOP CROP WOVEN PRINT ABSTRACT KIRBSTO2:PASTEL GREY:15-16:PRINT:SHORT PANTS</t>
  </si>
  <si>
    <t>KI DOUBLE RIBSTOP CROP WOVEN PRINT ABSTRACT KIRBSTO2:CACTUS GREEN:9-10:PRINT:SHORT PANTS</t>
  </si>
  <si>
    <t>KI DOUBLE RIBSTOP CROP WOVEN PRINT ABSTRACT KIRBSTO2:CACTUS GREEN:11-12:PRINT:SHORT PANTS</t>
  </si>
  <si>
    <t>KI DOUBLE RIBSTOP CROP WOVEN PRINT ABSTRACT KIRBSTO2:CACTUS GREEN:13-14:PRINT:SHORT PANTS</t>
  </si>
  <si>
    <t>KI DOUBLE RIBSTOP CROP WOVEN PRINT ABSTRACT KIRBSTO2:CACTUS GREEN:15-16:PRINT:SHORT PANTS</t>
  </si>
  <si>
    <t>KITEXT2</t>
  </si>
  <si>
    <t>KI CROP WOVEN TEXTURED MARCHELANO RIB KITEXT2:PASTEL BLUE:9-10:SOLID:SHORT PANTS</t>
  </si>
  <si>
    <t>KI CROP WOVEN TEXTURED MARCHELANO RIB KITEXT2:PASTEL BLUE:11-12:SOLID:SHORT PANTS</t>
  </si>
  <si>
    <t>KI CROP WOVEN TEXTURED MARCHELANO RIB KITEXT2:PASTEL BLUE:13-14:SOLID:SHORT PANTS</t>
  </si>
  <si>
    <t>KI CROP WOVEN TEXTURED MARCHELANO RIB KITEXT2:PASTEL BLUE:15-16:SOLID:SHORT PANTS</t>
  </si>
  <si>
    <t>KI CROP WOVEN TEXTURED MARCHELANO RIB KITEXT2:NAVY BLUE:9-10:SOLID:SHORT PANTS</t>
  </si>
  <si>
    <t>KI CROP WOVEN TEXTURED MARCHELANO RIB KITEXT2:NAVY BLUE:11-12:SOLID:SHORT PANTS</t>
  </si>
  <si>
    <t>KI CROP WOVEN TEXTURED MARCHELANO RIB KITEXT2:NAVY BLUE:13-14:SOLID:SHORT PANTS</t>
  </si>
  <si>
    <t>KI CROP WOVEN TEXTURED MARCHELANO RIB KITEXT2:NAVY BLUE:15-16:SOLID:SHORT PANTS</t>
  </si>
  <si>
    <t>KI CROP WOVEN TEXTURED MARCHELANO RIB KITEXT2:WOOD BROWN:9-10:SOLID:SHORT PANTS</t>
  </si>
  <si>
    <t>KI CROP WOVEN TEXTURED MARCHELANO RIB KITEXT2:WOOD BROWN:11-12:SOLID:SHORT PANTS</t>
  </si>
  <si>
    <t>KI CROP WOVEN TEXTURED MARCHELANO RIB KITEXT2:WOOD BROWN:13-14:SOLID:SHORT PANTS</t>
  </si>
  <si>
    <t>KI CROP WOVEN TEXTURED MARCHELANO RIB KITEXT2:WOOD BROWN:15-16:SOLID:SHORT PANTS</t>
  </si>
  <si>
    <t>KIGENIOPR1A</t>
  </si>
  <si>
    <t>SHORT PANTS KI CROP WOVEN KARET GENIO CANVAS PRINT ABSTRACT KIGENIOPR1A:BLACK:9-10:PRINT:SHORT PANTS</t>
  </si>
  <si>
    <t>SHORT PANTS KI CROP WOVEN KARET GENIO CANVAS PRINT ABSTRACT KIGENIOPR1A:BLACK:11-12:PRINT:SHORT PANT</t>
  </si>
  <si>
    <t>SHORT PANTS KI CROP WOVEN KARET GENIO CANVAS PRINT ABSTRACT KIGENIOPR1A:BLACK:13-14:PRINT:SHORT PANT</t>
  </si>
  <si>
    <t>SHORT PANTS KI CROP WOVEN KARET GENIO CANVAS PRINT ABSTRACT KIGENIOPR1A:BLACK:15-16:PRINT:SHORT PANT</t>
  </si>
  <si>
    <t>SHORT PANTS KI CROP WOVEN KARET GENIO CANVAS PRINT ABSTRACT KIGENIOPR1A:CLASSIC BLUE:9-10:PRINT:SHOR</t>
  </si>
  <si>
    <t>SHORT PANTS KI CROP WOVEN KARET GENIO CANVAS PRINT ABSTRACT KIGENIOPR1A:CLASSIC BLUE:11-12:PRINT:SHO</t>
  </si>
  <si>
    <t>SHORT PANTS KI CROP WOVEN KARET GENIO CANVAS PRINT ABSTRACT KIGENIOPR1A:CLASSIC BLUE:13-14:PRINT:SHO</t>
  </si>
  <si>
    <t>SHORT PANTS KI CROP WOVEN KARET GENIO CANVAS PRINT ABSTRACT KIGENIOPR1A:CLASSIC BLUE:15-16:PRINT:SHO</t>
  </si>
  <si>
    <t>SHORT PANTS KI CROP WOVEN KARET GENIO CANVAS PRINT ABSTRACT KIGENIOPR1A:EMERALD GREEN:9-10:PRINT:SHO</t>
  </si>
  <si>
    <t>SHORT PANTS KI CROP WOVEN KARET GENIO CANVAS PRINT ABSTRACT KIGENIOPR1A:EMERALD GREEN:11-12:PRINT:SH</t>
  </si>
  <si>
    <t>SHORT PANTS KI CROP WOVEN KARET GENIO CANVAS PRINT ABSTRACT KIGENIOPR1A:EMERALD GREEN:13-14:PRINT:SH</t>
  </si>
  <si>
    <t>SHORT PANTS KI CROP WOVEN KARET GENIO CANVAS PRINT ABSTRACT KIGENIOPR1A:EMERALD GREEN:15-16:PRINT:SH</t>
  </si>
  <si>
    <t>KIGENIOPR2A</t>
  </si>
  <si>
    <t>SHORT PANTS KI CROP WOVEN KARET GENIO CANVAS PRINT BINTIK KECIL KIGENIOPR2A:BLACK:9-10:PRINT:SHORT P</t>
  </si>
  <si>
    <t xml:space="preserve">SHORT PANTS KI CROP WOVEN KARET GENIO CANVAS PRINT BINTIK KECIL KIGENIOPR2A:BLACK:11-12:PRINT:SHORT </t>
  </si>
  <si>
    <t xml:space="preserve">SHORT PANTS KI CROP WOVEN KARET GENIO CANVAS PRINT BINTIK KECIL KIGENIOPR2A:BLACK:13-14:PRINT:SHORT </t>
  </si>
  <si>
    <t xml:space="preserve">SHORT PANTS KI CROP WOVEN KARET GENIO CANVAS PRINT BINTIK KECIL KIGENIOPR2A:BLACK:15-16:PRINT:SHORT </t>
  </si>
  <si>
    <t>SHORT PANTS KI CROP WOVEN KARET GENIO CANVAS PRINT BINTIK KECIL KIGENIOPR2A:FROST GREY:9-10:PRINT:SH</t>
  </si>
  <si>
    <t>SHORT PANTS KI CROP WOVEN KARET GENIO CANVAS PRINT BINTIK KECIL KIGENIOPR2A:FROST GREY:11-12:PRINT:S</t>
  </si>
  <si>
    <t>SHORT PANTS KI CROP WOVEN KARET GENIO CANVAS PRINT BINTIK KECIL KIGENIOPR2A:FROST GREY:13-14:PRINT:S</t>
  </si>
  <si>
    <t>SHORT PANTS KI CROP WOVEN KARET GENIO CANVAS PRINT BINTIK KECIL KIGENIOPR2A:FROST GREY:15-16:PRINT:S</t>
  </si>
  <si>
    <t>SHORT PANTS KI CROP WOVEN KARET GENIO CANVAS PRINT BINTIK KECIL KIGENIOPR2A:GRASS GREEN:9-10:PRINT:S</t>
  </si>
  <si>
    <t>SHORT PANTS KI CROP WOVEN KARET GENIO CANVAS PRINT BINTIK KECIL KIGENIOPR2A:GRASS GREEN:11-12:PRINT:</t>
  </si>
  <si>
    <t>SHORT PANTS KI CROP WOVEN KARET GENIO CANVAS PRINT BINTIK KECIL KIGENIOPR2A:GRASS GREEN:13-14:PRINT:</t>
  </si>
  <si>
    <t>SHORT PANTS KI CROP WOVEN KARET GENIO CANVAS PRINT BINTIK KECIL KIGENIOPR2A:GRASS GREEN:15-16:PRINT:</t>
  </si>
  <si>
    <t>KIGENIOPR3A</t>
  </si>
  <si>
    <t>SHORT PANTS KI CROP WOVEN KARET GENIO CANVAS PRINT SKETCH GARIS TIPIS KIGENIOPR3A:GRASS GREEN:9-10:P</t>
  </si>
  <si>
    <t>SHORT PANTS KI CROP WOVEN KARET GENIO CANVAS PRINT SKETCH GARIS TIPIS KIGENIOPR3A:GRASS GREEN:11-12:</t>
  </si>
  <si>
    <t>SHORT PANTS KI CROP WOVEN KARET GENIO CANVAS PRINT SKETCH GARIS TIPIS KIGENIOPR3A:GRASS GREEN:13-14:</t>
  </si>
  <si>
    <t>SHORT PANTS KI CROP WOVEN KARET GENIO CANVAS PRINT SKETCH GARIS TIPIS KIGENIOPR3A:GRASS GREEN:15-16:</t>
  </si>
  <si>
    <t>SHORT PANTS KI CROP WOVEN KARET GENIO CANVAS PRINT SKETCH GARIS TIPIS KIGENIOPR3A:FROST GREY:9-10:PR</t>
  </si>
  <si>
    <t>SHORT PANTS KI CROP WOVEN KARET GENIO CANVAS PRINT SKETCH GARIS TIPIS KIGENIOPR3A:FROST GREY:11-12:P</t>
  </si>
  <si>
    <t>SHORT PANTS KI CROP WOVEN KARET GENIO CANVAS PRINT SKETCH GARIS TIPIS KIGENIOPR3A:FROST GREY:13-14:P</t>
  </si>
  <si>
    <t>SHORT PANTS KI CROP WOVEN KARET GENIO CANVAS PRINT SKETCH GARIS TIPIS KIGENIOPR3A:FROST GREY:15-16:P</t>
  </si>
  <si>
    <t>SHORT PANTS KI CROP WOVEN KARET GENIO CANVAS PRINT SKETCH GARIS TIPIS KIGENIOPR3A:SAND:9-10:PRINT:SH</t>
  </si>
  <si>
    <t>SHORT PANTS KI CROP WOVEN KARET GENIO CANVAS PRINT SKETCH GARIS TIPIS KIGENIOPR3A:SAND:11-12:PRINT:S</t>
  </si>
  <si>
    <t>SHORT PANTS KI CROP WOVEN KARET GENIO CANVAS PRINT SKETCH GARIS TIPIS KIGENIOPR3A:SAND:13-14:PRINT:S</t>
  </si>
  <si>
    <t>SHORT PANTS KI CROP WOVEN KARET GENIO CANVAS PRINT SKETCH GARIS TIPIS KIGENIOPR3A:SAND:15-16:PRINT:S</t>
  </si>
  <si>
    <t>KIGENIOPR4A</t>
  </si>
  <si>
    <t>SHORT PANTS KI CROP WOVEN KARET GENIO CANVAS PRINT ANYAM KIGENIOPR4A:OLIVE:9-10:SOLID:SHORT PANTS</t>
  </si>
  <si>
    <t>SHORT PANTS KI CROP WOVEN KARET GENIO CANVAS PRINT ANYAM KIGENIOPR4A:OLIVE:11-12:SOLID:SHORT PANTS</t>
  </si>
  <si>
    <t>SHORT PANTS KI CROP WOVEN KARET GENIO CANVAS PRINT ANYAM KIGENIOPR4A:OLIVE:13-14:SOLID:SHORT PANTS</t>
  </si>
  <si>
    <t>SHORT PANTS KI CROP WOVEN KARET GENIO CANVAS PRINT ANYAM KIGENIOPR4A:OLIVE:15-16:SOLID:SHORT PANTS</t>
  </si>
  <si>
    <t>SHORT PANTS KI CROP WOVEN KARET GENIO CANVAS PRINT ANYAM KIGENIOPR4A:KHAKI:9-10:SOLID:SHORT PANTS</t>
  </si>
  <si>
    <t>SHORT PANTS KI CROP WOVEN KARET GENIO CANVAS PRINT ANYAM KIGENIOPR4A:KHAKI:11-12:SOLID:SHORT PANTS</t>
  </si>
  <si>
    <t>SHORT PANTS KI CROP WOVEN KARET GENIO CANVAS PRINT ANYAM KIGENIOPR4A:KHAKI:13-14:SOLID:SHORT PANTS</t>
  </si>
  <si>
    <t>SHORT PANTS KI CROP WOVEN KARET GENIO CANVAS PRINT ANYAM KIGENIOPR4A:KHAKI:15-16:SOLID:SHORT PANTS</t>
  </si>
  <si>
    <t>SHORT PANTS KI CROP WOVEN KARET GENIO CANVAS PRINT ANYAM KIGENIOPR4A:FROST GREY:9-10:SOLID:SHORT PAN</t>
  </si>
  <si>
    <t>SHORT PANTS KI CROP WOVEN KARET GENIO CANVAS PRINT ANYAM KIGENIOPR4A:FROST GREY:11-12:SOLID:SHORT PA</t>
  </si>
  <si>
    <t>SHORT PANTS KI CROP WOVEN KARET GENIO CANVAS PRINT ANYAM KIGENIOPR4A:FROST GREY:13-14:SOLID:SHORT PA</t>
  </si>
  <si>
    <t>SHORT PANTS KI CROP WOVEN KARET GENIO CANVAS PRINT ANYAM KIGENIOPR4A:FROST GREY:15-16:SOLID:SHORT PA</t>
  </si>
  <si>
    <t>SHORTS PANTS WOVEN KI SOLID KICWV115E1:PEPPERMINT:9-10:SOLID:SHORT PANTS</t>
  </si>
  <si>
    <t>SHORTS PANTS WOVEN KI SOLID KICWV115E1:PEPPERMINT:11-12:SOLID:SHORT PANTS</t>
  </si>
  <si>
    <t>SHORTS PANTS WOVEN KI SOLID KICWV115E1:PEPPERMINT:13-14:SOLID:SHORT PANTS</t>
  </si>
  <si>
    <t>SHORTS PANTS WOVEN KI SOLID KICWV115E1:PEPPERMINT:15-16:SOLID:SHORT PANTS</t>
  </si>
  <si>
    <t>SHORTS PANTS WOVEN KI SOLID KICWV115E1:MANDARIN ORANGE:9-10:SOLID:SHORT PANTS</t>
  </si>
  <si>
    <t>SHORTS PANTS WOVEN KI SOLID KICWV115E1:MANDARIN ORANGE:11-12:SOLID:SHORT PANTS</t>
  </si>
  <si>
    <t>SHORTS PANTS WOVEN KI SOLID KICWV115E1:MANDARIN ORANGE:13-14:SOLID:SHORT PANTS</t>
  </si>
  <si>
    <t>SHORTS PANTS WOVEN KI SOLID KICWV115E1:MANDARIN ORANGE:15-16:SOLID:SHORT PANTS</t>
  </si>
  <si>
    <t>SHORTS PANTS WOVEN KI SOLID KICWV115E1:GOLDEN BROWN:9-10:SOLID:SHORT PANTS</t>
  </si>
  <si>
    <t>SHORTS PANTS WOVEN KI SOLID KICWV115E1:GOLDEN BROWN:11-12:SOLID:SHORT PANTS</t>
  </si>
  <si>
    <t>SHORTS PANTS WOVEN KI SOLID KICWV115E1:GOLDEN BROWN:13-14:SOLID:SHORT PANTS</t>
  </si>
  <si>
    <t>SHORTS PANTS WOVEN KI SOLID KICWV115E1:GOLDEN BROWN:15-16:SOLID:SHORT PANTS</t>
  </si>
  <si>
    <t>CWCARGO1</t>
  </si>
  <si>
    <t>SHORT PANTS WOVEN KENZO TWILL 3D POCKET CWCARGO1:KHAKI:9-10:SOLID:SHORT PANTS</t>
  </si>
  <si>
    <t>SHORT PANTS WOVEN KENZO TWILL 3D POCKET CWCARGO1:KHAKI:13-14:SOLID:SHORT PANTS</t>
  </si>
  <si>
    <t>SHORT PANTS WOVEN KENZO TWILL 3D POCKET CWCARGO1:KHAKI:15-16:SOLID:SHORT PANTS</t>
  </si>
  <si>
    <t>SHORT PANTS WOVEN KENZO TWILL 3D POCKET CWCARGO1:RUSTIC BROWN:9-10:SOLID:SHORT PANTS</t>
  </si>
  <si>
    <t>SHORT PANTS WOVEN KENZO TWILL 3D POCKET CWCARGO1:RUSTIC BROWN:11-12:SOLID:SHORT PANTS</t>
  </si>
  <si>
    <t>SHORT PANTS WOVEN KENZO TWILL 3D POCKET CWCARGO1:RUSTIC BROWN:13-14:SOLID:SHORT PANTS</t>
  </si>
  <si>
    <t>SHORT PANTS WOVEN KENZO TWILL 3D POCKET CWCARGO1:RUSTIC BROWN:15-16:SOLID:SHORT PANTS</t>
  </si>
  <si>
    <t>SHORT PANTS WOVEN KENZO TWILL 3D POCKET CWCARGO1:BLACK:9-10:SOLID:SHORT PANTS</t>
  </si>
  <si>
    <t>SHORT PANTS WOVEN KENZO TWILL 3D POCKET CWCARGO1:BLACK:11-12:SOLID:SHORT PANTS</t>
  </si>
  <si>
    <t>SHORT PANTS WOVEN KENZO TWILL 3D POCKET CWCARGO1:BLACK:13-14:SOLID:SHORT PANTS</t>
  </si>
  <si>
    <t>SHORT PANTS WOVEN KENZO TWILL 3D POCKET CWCARGO1:BLACK:15-16:SOLID:SHORT PANTS</t>
  </si>
  <si>
    <t>SHORT PANTS WOVEN KENZO TWILL 3D POCKET CWCARGO1:CHARCOAL:9-10:SOLID:SHORT PANTS</t>
  </si>
  <si>
    <t>SHORT PANTS WOVEN KENZO TWILL 3D POCKET CWCARGO1:CHARCOAL:11-12:SOLID:SHORT PANTS</t>
  </si>
  <si>
    <t>SHORT PANTS WOVEN KENZO TWILL 3D POCKET CWCARGO1:CHARCOAL:13-14:SOLID:SHORT PANTS</t>
  </si>
  <si>
    <t>SHORT PANTS WOVEN KENZO TWILL 3D POCKET CWCARGO1:CHARCOAL:15-16:SOLID:SHORT PANTS</t>
  </si>
  <si>
    <t>BTG5</t>
  </si>
  <si>
    <t>SHORT KNIT BT SOLID CARGO WITH ACC NYLON BTG5:CHRISTMAS GREEN:9-10:SOLID:SHORT PANTS</t>
  </si>
  <si>
    <t>SHORT KNIT BT SOLID CARGO WITH ACC NYLON BTG5:CHRISTMAS GREEN:11-12:SOLID:SHORT PANTS</t>
  </si>
  <si>
    <t>SHORT KNIT BT SOLID CARGO WITH ACC NYLON BTG5:CHRISTMAS GREEN:13-14:SOLID:SHORT PANTS</t>
  </si>
  <si>
    <t>SHORT KNIT BT SOLID CARGO WITH ACC NYLON BTG5:CHRISTMAS GREEN:15-16:SOLID:SHORT PANTS</t>
  </si>
  <si>
    <t>BTG6</t>
  </si>
  <si>
    <t>SHORT PANTS KNIT BT SOLID TEXTURED BTG6:GRASS GREEN:9-10:TEXTURE:SHORT PANTS</t>
  </si>
  <si>
    <t>SHORT PANTS KNIT BT SOLID TEXTURED BTG6:GRASS GREEN:11-12:TEXTURE:SHORT PANTS</t>
  </si>
  <si>
    <t>SHORT PANTS KNIT BT SOLID TEXTURED BTG6:GRASS GREEN:13-14:TEXTURE:SHORT PANTS</t>
  </si>
  <si>
    <t>SHORT PANTS KNIT BT SOLID TEXTURED BTG6:GRASS GREEN:15-16:TEXTURE:SHORT PANTS</t>
  </si>
  <si>
    <t>BTG7</t>
  </si>
  <si>
    <t>SHORT PANTS KNIT BT SOLID TEXTURED BTG7:GOLDEN BROWN:9-10:TEXTURE:SHORT PANTS</t>
  </si>
  <si>
    <t>SHORT PANTS KNIT BT SOLID TEXTURED BTG7:GOLDEN BROWN:11-12:TEXTURE:SHORT PANTS</t>
  </si>
  <si>
    <t>SHORT PANTS KNIT BT SOLID TEXTURED BTG7:GOLDEN BROWN:13-14:TEXTURE:SHORT PANTS</t>
  </si>
  <si>
    <t>SHORT PANTS KNIT BT SOLID TEXTURED BTG7:GOLDEN BROWN:15-16:TEXTURE:SHORT PANTS</t>
  </si>
  <si>
    <t>BTG8</t>
  </si>
  <si>
    <t>SHORT PANTS KNIT BT SOLID TEXTURED BTG8:MISTY MEDIUM GREY:9-10:TEXTURE:SHORT PANTS</t>
  </si>
  <si>
    <t>SHORT PANTS KNIT BT SOLID TEXTURED BTG8:MISTY MEDIUM GREY:11-12:TEXTURE:SHORT PANTS</t>
  </si>
  <si>
    <t>SHORT PANTS KNIT BT SOLID TEXTURED BTG8:MISTY MEDIUM GREY:13-14:TEXTURE:SHORT PANTS</t>
  </si>
  <si>
    <t>SHORT PANTS KNIT BT SOLID TEXTURED BTG8:MISTY MEDIUM GREY:15-16:TEXTURE:SHORT PANTS</t>
  </si>
  <si>
    <t>STCG4A</t>
  </si>
  <si>
    <t>SHORT PANTS BABY TERRY TC WITH TEXTURED STCG4A:MISTY LIGHT GREY:9-10:SOLID:SHORT PANTS</t>
  </si>
  <si>
    <t>SHORT PANTS BABY TERRY TC WITH TEXTURED STCG4A:MISTY LIGHT GREY:11-12:SOLID:SHORT PANTS</t>
  </si>
  <si>
    <t>SHORT PANTS BABY TERRY TC WITH TEXTURED STCG4A:MISTY LIGHT GREY:13-14:SOLID:SHORT PANTS</t>
  </si>
  <si>
    <t>SHORT PANTS BABY TERRY TC WITH TEXTURED STCG4A:MISTY LIGHT GREY:15-16:SOLID:SHORT PANTS</t>
  </si>
  <si>
    <t>CNSGN1</t>
  </si>
  <si>
    <t>SHORT PANTS KNIT SJ CNS COLOR BLOCK BREAK NEW GROUND CNSGN1:BLACK:9-10:SOLID:SHORT PANTS</t>
  </si>
  <si>
    <t>SHORT PANTS KNIT SJ CNS COLOR BLOCK BREAK NEW GROUND CNSGN1:BLACK:11-12:SOLID:SHORT PANTS</t>
  </si>
  <si>
    <t>SHORT PANTS KNIT SJ CNS COLOR BLOCK BREAK NEW GROUND CNSGN1:BLACK:13-14:SOLID:SHORT PANTS</t>
  </si>
  <si>
    <t>SHORT PANTS KNIT SJ CNS COLOR BLOCK BREAK NEW GROUND CNSGN1:BLACK:15-16:SOLID:SHORT PANTS</t>
  </si>
  <si>
    <t>CNSGN10</t>
  </si>
  <si>
    <t>SHORT PANTS KNIT PE SJ CNS SIDE PRINT NO RULES CNSGN10:NAVY BLUE:9-10:SOLID:SHORT PANTS</t>
  </si>
  <si>
    <t>SHORT PANTS KNIT PE SJ CNS SIDE PRINT NO RULES CNSGN10:NAVY BLUE:11-12:SOLID:SHORT PANTS</t>
  </si>
  <si>
    <t>SHORT PANTS KNIT PE SJ CNS SIDE PRINT NO RULES CNSGN10:NAVY BLUE:13-14:SOLID:SHORT PANTS</t>
  </si>
  <si>
    <t>SHORT PANTS KNIT PE SJ CNS SIDE PRINT NO RULES CNSGN10:NAVY BLUE:15-16:SOLID:SHORT PANTS</t>
  </si>
  <si>
    <t>CNSGN6</t>
  </si>
  <si>
    <t>SHORT PANTS KNIT SJ CNS SIDE NEVADA CNSGN6:BLACK:9-10:SOLID:SHORT PANTS</t>
  </si>
  <si>
    <t>SHORT PANTS KNIT SJ CNS SIDE NEVADA CNSGN6:BLACK:11-12:SOLID:SHORT PANTS</t>
  </si>
  <si>
    <t>SHORT PANTS KNIT SJ CNS SIDE NEVADA CNSGN6:BLACK:13-14:SOLID:SHORT PANTS</t>
  </si>
  <si>
    <t>SHORT PANTS KNIT SJ CNS SIDE NEVADA CNSGN6:BLACK:15-16:SOLID:SHORT PANTS</t>
  </si>
  <si>
    <t>CNSGN7A</t>
  </si>
  <si>
    <t>SHORT PANTS KNIT PE SJ CNS SIDE TAPE CNSGN7A:BLACK:9-10:STRIPES:SHORT PANTS</t>
  </si>
  <si>
    <t>SHORT PANTS KNIT PE SJ CNS SIDE TAPE CNSGN7A:BLACK:11-12:STRIPES:SHORT PANTS</t>
  </si>
  <si>
    <t>SHORT PANTS KNIT PE SJ CNS SIDE TAPE CNSGN7A:BLACK:13-14:STRIPES:SHORT PANTS</t>
  </si>
  <si>
    <t>SHORT PANTS KNIT PE SJ CNS SIDE TAPE CNSGN7A:BLACK:15-16:STRIPES:SHORT PANTS</t>
  </si>
  <si>
    <t>CNSGN8</t>
  </si>
  <si>
    <t>SHORT PANTS KNIT PE SJ CNS SIDE PRINT NVD 98 CNSGN8:MISTY DARK GREY:9-10:SOLID:SHORT PANTS</t>
  </si>
  <si>
    <t>SHORT PANTS KNIT PE SJ CNS SIDE PRINT NVD 98 CNSGN8:MISTY DARK GREY:11-12:SOLID:SHORT PANTS</t>
  </si>
  <si>
    <t>SHORT PANTS KNIT PE SJ CNS SIDE PRINT NVD 98 CNSGN8:MISTY DARK GREY:13-14:SOLID:SHORT PANTS</t>
  </si>
  <si>
    <t>SHORT PANTS KNIT PE SJ CNS SIDE PRINT NVD 98 CNSGN8:MISTY DARK GREY:15-16:SOLID:SHORT PANTS</t>
  </si>
  <si>
    <t>SJG612A</t>
  </si>
  <si>
    <t>SHORT PANTS KNIT SJ CNS RESPECT SJG612A:MISTY DARK GREY:9-10:GRAPHIC:SHORT PANTS</t>
  </si>
  <si>
    <t>SHORT PANTS KNIT SJ CNS RESPECT SJG612A:MISTY DARK GREY:11-12:GRAPHIC:SHORT PANTS</t>
  </si>
  <si>
    <t>SHORT PANTS KNIT SJ CNS RESPECT SJG612A:MISTY DARK GREY:13-14:GRAPHIC:SHORT PANTS</t>
  </si>
  <si>
    <t>SHORT PANTS KNIT SJ CNS RESPECT SJG612A:MISTY DARK GREY:15-16:GRAPHIC:SHORT PANTS</t>
  </si>
  <si>
    <t>LONG PANTS WOVEN REGULAR  KICHNOSTR4:BLACK:9-10:SOLID:LONG PANTS</t>
  </si>
  <si>
    <t>LONG PANTS WOVEN REGULAR  KICHNOSTR4:BLACK:11-12:SOLID:LONG PANTS</t>
  </si>
  <si>
    <t>LONG PANTS WOVEN REGULAR  KICHNOSTR4:BLACK:13-14:SOLID:LONG PANTS</t>
  </si>
  <si>
    <t>LONG PANTS WOVEN REGULAR  KICHNOSTR4:BLACK:15-16:SOLID:LONG PANTS</t>
  </si>
  <si>
    <t>LONG PANTS WOVEN REGULAR  KICHNOSTR4:CHARCOAL:9-10:SOLID:LONG PANTS</t>
  </si>
  <si>
    <t>LONG PANTS WOVEN REGULAR  KICHNOSTR4:CHARCOAL:11-12:SOLID:LONG PANTS</t>
  </si>
  <si>
    <t>LONG PANTS WOVEN REGULAR  KICHNOSTR4:CHARCOAL:13-14:SOLID:LONG PANTS</t>
  </si>
  <si>
    <t>LONG PANTS WOVEN REGULAR  KICHNOSTR4:CHARCOAL:15-16:SOLID:LONG PANTS</t>
  </si>
  <si>
    <t>LONG PANTS WOVEN REGULAR  KICHNOSTR4:PASTEL GREY:9-10:SOLID:LONG PANTS</t>
  </si>
  <si>
    <t>LONG PANTS WOVEN REGULAR  KICHNOSTR4:PASTEL GREY:11-12:SOLID:LONG PANTS</t>
  </si>
  <si>
    <t>LONG PANTS WOVEN REGULAR  KICHNOSTR4:PASTEL GREY:13-14:SOLID:LONG PANTS</t>
  </si>
  <si>
    <t>LONG PANTS WOVEN REGULAR  KICHNOSTR4:PASTEL GREY:15-16:SOLID:LONG PANTS</t>
  </si>
  <si>
    <t>LONG PANTS WOVEN REGULAR  KICHNOSTR4:KHAKI:9-10:SOLID:LONG PANTS</t>
  </si>
  <si>
    <t>LONG PANTS WOVEN REGULAR  KICHNOSTR4:KHAKI:11-12:SOLID:LONG PANTS</t>
  </si>
  <si>
    <t>LONG PANTS WOVEN REGULAR  KICHNOSTR4:KHAKI:13-14:SOLID:LONG PANTS</t>
  </si>
  <si>
    <t>LONG PANTS WOVEN REGULAR  KICHNOSTR4:KHAKI:15-16:SOLID:LONG PANTS</t>
  </si>
  <si>
    <t>KIH49</t>
  </si>
  <si>
    <t>SS T-SHIRT KI PRINT SPACE1 KIH49:TEAL:9-10:GRAPHIC:SS T-SHIRT</t>
  </si>
  <si>
    <t>SS T-SHIRT KI PRINT SPACE1 KIH49:TEAL:11-12:GRAPHIC:SS T-SHIRT</t>
  </si>
  <si>
    <t>SS T-SHIRT KI PRINT SPACE1 KIH49:TEAL:13-14:GRAPHIC:SS T-SHIRT</t>
  </si>
  <si>
    <t>SS T-SHIRT KI PRINT SPACE1 KIH49:TEAL:15-16:GRAPHIC:SS T-SHIRT</t>
  </si>
  <si>
    <t>KIH50A</t>
  </si>
  <si>
    <t>SS T-SHIRT KI PRINT SPACE2 KIH50A:CACTUS GREEN:9-10:GRAPHIC:SS T-SHIRT</t>
  </si>
  <si>
    <t>SS T-SHIRT KI PRINT SPACE2 KIH50A:CACTUS GREEN:11-12:GRAPHIC:SS T-SHIRT</t>
  </si>
  <si>
    <t>SS T-SHIRT KI PRINT SPACE2 KIH50A:CACTUS GREEN:13-14:GRAPHIC:SS T-SHIRT</t>
  </si>
  <si>
    <t>SS T-SHIRT KI PRINT SPACE2 KIH50A:CACTUS GREEN:15-16:GRAPHIC:SS T-SHIRT</t>
  </si>
  <si>
    <t>KIH51A</t>
  </si>
  <si>
    <t>SS T-SHIRT KI PRINT SPACE3 KIH51A:PASTEL BLUE:9-10:GRAPHIC:SS T-SHIRT</t>
  </si>
  <si>
    <t>SS T-SHIRT KI PRINT SPACE3 KIH51A:PASTEL BLUE:11-12:GRAPHIC:SS T-SHIRT</t>
  </si>
  <si>
    <t>SS T-SHIRT KI PRINT SPACE3 KIH51A:PASTEL BLUE:13-14:GRAPHIC:SS T-SHIRT</t>
  </si>
  <si>
    <t>SS T-SHIRT KI PRINT SPACE3 KIH51A:PASTEL BLUE:15-16:GRAPHIC:SS T-SHIRT</t>
  </si>
  <si>
    <t>KIH52A</t>
  </si>
  <si>
    <t>SS T-SHIRT KI PRINT SPACE4 KIH52A:DUSTY PINK:9-10:GRAPHIC:SS T-SHIRT</t>
  </si>
  <si>
    <t>SS T-SHIRT KI PRINT SPACE4 KIH52A:DUSTY PINK:11-12:GRAPHIC:SS T-SHIRT</t>
  </si>
  <si>
    <t>SS T-SHIRT KI PRINT SPACE4 KIH52A:DUSTY PINK:13-14:GRAPHIC:SS T-SHIRT</t>
  </si>
  <si>
    <t>SS T-SHIRT KI PRINT SPACE4 KIH52A:DUSTY PINK:15-16:GRAPHIC:SS T-SHIRT</t>
  </si>
  <si>
    <t>KIH53</t>
  </si>
  <si>
    <t>SS T-SHIRT KI PRINT SPACE5 KIH53:MISTY MEDIUM GREY:9-10:GRAPHIC:SS T-SHIRT</t>
  </si>
  <si>
    <t>SS T-SHIRT KI PRINT SPACE5 KIH53:MISTY MEDIUM GREY:11-12:GRAPHIC:SS T-SHIRT</t>
  </si>
  <si>
    <t>SS T-SHIRT KI PRINT SPACE5 KIH53:MISTY MEDIUM GREY:13-14:GRAPHIC:SS T-SHIRT</t>
  </si>
  <si>
    <t>SS T-SHIRT KI PRINT SPACE5 KIH53:MISTY MEDIUM GREY:15-16:GRAPHIC:SS T-SHIRT</t>
  </si>
  <si>
    <t>KIH54</t>
  </si>
  <si>
    <t>SS T-SHIRT KI PRINT ANIME KIH54:MISTY LIGHT KHAKI:9-10:GRAPHIC:SS T-SHIRT</t>
  </si>
  <si>
    <t>SS T-SHIRT KI PRINT ANIME KIH54:MISTY LIGHT KHAKI:11-12:GRAPHIC:SS T-SHIRT</t>
  </si>
  <si>
    <t>SS T-SHIRT KI PRINT ANIME KIH54:MISTY LIGHT KHAKI:13-14:GRAPHIC:SS T-SHIRT</t>
  </si>
  <si>
    <t>SS T-SHIRT KI PRINT ANIME KIH54:MISTY LIGHT KHAKI:15-16:GRAPHIC:SS T-SHIRT</t>
  </si>
  <si>
    <t>KIH55</t>
  </si>
  <si>
    <t>SS T-SHIRT KI PRINT ANIME KIH55:CLASSIC BLUE:9-10:GRAPHIC:SS T-SHIRT</t>
  </si>
  <si>
    <t>SS T-SHIRT KI PRINT ANIME KIH55:CLASSIC BLUE:11-12:GRAPHIC:SS T-SHIRT</t>
  </si>
  <si>
    <t>SS T-SHIRT KI PRINT ANIME KIH55:CLASSIC BLUE:13-14:GRAPHIC:SS T-SHIRT</t>
  </si>
  <si>
    <t>SS T-SHIRT KI PRINT ANIME KIH55:CLASSIC BLUE:15-16:GRAPHIC:SS T-SHIRT</t>
  </si>
  <si>
    <t>KIH56</t>
  </si>
  <si>
    <t>SS T-SHIRT KI PRINT ANIME KIH56:CACTUS GREEN:9-10:GRAPHIC:SS T-SHIRT</t>
  </si>
  <si>
    <t>SS T-SHIRT KI PRINT ANIME KIH56:CACTUS GREEN:11-12:GRAPHIC:SS T-SHIRT</t>
  </si>
  <si>
    <t>SS T-SHIRT KI PRINT ANIME KIH56:CACTUS GREEN:13-14:GRAPHIC:SS T-SHIRT</t>
  </si>
  <si>
    <t>SS T-SHIRT KI PRINT ANIME KIH56:CACTUS GREEN:15-16:GRAPHIC:SS T-SHIRT</t>
  </si>
  <si>
    <t>KIH57</t>
  </si>
  <si>
    <t>SS T-SHIRT KI PRINT ANIME KIH57:FOREST GREEN:9-10:GRAPHIC:SS T-SHIRT</t>
  </si>
  <si>
    <t>SS T-SHIRT KI PRINT ANIME KIH57:FOREST GREEN:11-12:GRAPHIC:SS T-SHIRT</t>
  </si>
  <si>
    <t>SS T-SHIRT KI PRINT ANIME KIH57:FOREST GREEN:13-14:GRAPHIC:SS T-SHIRT</t>
  </si>
  <si>
    <t>SS T-SHIRT KI PRINT ANIME KIH57:FOREST GREEN:15-16:GRAPHIC:SS T-SHIRT</t>
  </si>
  <si>
    <t>KIH58</t>
  </si>
  <si>
    <t>SS T-SHIRT KI PRINT ANIME KIH58:DUSTY PINK:9-10:GRAPHIC:SS T-SHIRT</t>
  </si>
  <si>
    <t>SS T-SHIRT KI PRINT ANIME KIH58:DUSTY PINK:11-12:GRAPHIC:SS T-SHIRT</t>
  </si>
  <si>
    <t>SS T-SHIRT KI PRINT ANIME KIH58:DUSTY PINK:13-14:GRAPHIC:SS T-SHIRT</t>
  </si>
  <si>
    <t>SS T-SHIRT KI PRINT ANIME KIH58:DUSTY PINK:15-16:GRAPHIC:SS T-SHIRT</t>
  </si>
  <si>
    <t>KIJVSOLID2</t>
  </si>
  <si>
    <t>SS T-SHIRT KI CARDET 24S KATUN SOLID POLOS KIJVSOLID2:MANDARIN ORANGE:9-10:SOLID:SS T-SHIRT</t>
  </si>
  <si>
    <t>SS T-SHIRT KI CARDET 24S KATUN SOLID POLOS KIJVSOLID2:MANDARIN ORANGE:11-12:SOLID:SS T-SHIRT</t>
  </si>
  <si>
    <t>SS T-SHIRT KI CARDET 24S KATUN SOLID POLOS KIJVSOLID2:MANDARIN ORANGE:13-14:SOLID:SS T-SHIRT</t>
  </si>
  <si>
    <t>SS T-SHIRT KI CARDET 24S KATUN SOLID POLOS KIJVSOLID2:MANDARIN ORANGE:15-16:SOLID:SS T-SHIRT</t>
  </si>
  <si>
    <t>SS T-SHIRT KI CARDET 24S KATUN SOLID POLOS KIJVSOLID2:GOLDEN BROWN:9-10:SOLID:SS T-SHIRT</t>
  </si>
  <si>
    <t>SS T-SHIRT KI CARDET 24S KATUN SOLID POLOS KIJVSOLID2:GOLDEN BROWN:11-12:SOLID:SS T-SHIRT</t>
  </si>
  <si>
    <t>SS T-SHIRT KI CARDET 24S KATUN SOLID POLOS KIJVSOLID2:GOLDEN BROWN:13-14:SOLID:SS T-SHIRT</t>
  </si>
  <si>
    <t>SS T-SHIRT KI CARDET 24S KATUN SOLID POLOS KIJVSOLID2:GOLDEN BROWN:15-16:SOLID:SS T-SHIRT</t>
  </si>
  <si>
    <t>SS T-SHIRT KI CARDET 24S KATUN SOLID POLOS KIJVSOLID2:TEAL:9-10:SOLID:SS T-SHIRT</t>
  </si>
  <si>
    <t>SS T-SHIRT KI CARDET 24S KATUN SOLID POLOS KIJVSOLID2:TEAL:11-12:SOLID:SS T-SHIRT</t>
  </si>
  <si>
    <t>SS T-SHIRT KI CARDET 24S KATUN SOLID POLOS KIJVSOLID2:TEAL:13-14:SOLID:SS T-SHIRT</t>
  </si>
  <si>
    <t>SS T-SHIRT KI CARDET 24S KATUN SOLID POLOS KIJVSOLID2:TEAL:15-16:SOLID:SS T-SHIRT</t>
  </si>
  <si>
    <t>SS T-SHIRT KI CARDET 24S KATUN SOLID POLOS KIJVSOLID2:CLASSIC BLUE:9-10:SOLID:SS T-SHIRT</t>
  </si>
  <si>
    <t>SS T-SHIRT KI CARDET 24S KATUN SOLID POLOS KIJVSOLID2:CLASSIC BLUE:11-12:SOLID:SS T-SHIRT</t>
  </si>
  <si>
    <t>SS T-SHIRT KI CARDET 24S KATUN SOLID POLOS KIJVSOLID2:CLASSIC BLUE:13-14:SOLID:SS T-SHIRT</t>
  </si>
  <si>
    <t>SS T-SHIRT KI CARDET 24S KATUN SOLID POLOS KIJVSOLID2:CLASSIC BLUE:15-16:SOLID:SS T-SHIRT</t>
  </si>
  <si>
    <t>SS T-SHIRT KI CARDET 24S KATUN SOLID POLOS KIJVSOLID2:CHARCOAL:9-10:SOLID:SS T-SHIRT</t>
  </si>
  <si>
    <t>SS T-SHIRT KI CARDET 24S KATUN SOLID POLOS KIJVSOLID2:CHARCOAL:11-12:SOLID:SS T-SHIRT</t>
  </si>
  <si>
    <t>SS T-SHIRT KI CARDET 24S KATUN SOLID POLOS KIJVSOLID2:CHARCOAL:13-14:SOLID:SS T-SHIRT</t>
  </si>
  <si>
    <t>SS T-SHIRT KI CARDET 24S KATUN SOLID POLOS KIJVSOLID2:CHARCOAL:15-16:SOLID:SS T-SHIRT</t>
  </si>
  <si>
    <t>KIJVSOLID3</t>
  </si>
  <si>
    <t>SS T-SHIRT KI CARDET 24S KATUN SOLID POLOS KIJVSOLID3:DUSTY PINK:9-10:SOLID:SS T-SHIRT</t>
  </si>
  <si>
    <t>SS T-SHIRT KI CARDET 24S KATUN SOLID POLOS KIJVSOLID3:DUSTY PINK:11-12:SOLID:SS T-SHIRT</t>
  </si>
  <si>
    <t>SS T-SHIRT KI CARDET 24S KATUN SOLID POLOS KIJVSOLID3:DUSTY PINK:13-14:SOLID:SS T-SHIRT</t>
  </si>
  <si>
    <t>SS T-SHIRT KI CARDET 24S KATUN SOLID POLOS KIJVSOLID3:DUSTY PINK:15-16:SOLID:SS T-SHIRT</t>
  </si>
  <si>
    <t>SS T-SHIRT KI CARDET 24S KATUN SOLID POLOS KIJVSOLID3:KHAKI:9-10:SOLID:SS T-SHIRT</t>
  </si>
  <si>
    <t>SS T-SHIRT KI CARDET 24S KATUN SOLID POLOS KIJVSOLID3:KHAKI:11-12:SOLID:SS T-SHIRT</t>
  </si>
  <si>
    <t>SS T-SHIRT KI CARDET 24S KATUN SOLID POLOS KIJVSOLID3:KHAKI:13-14:SOLID:SS T-SHIRT</t>
  </si>
  <si>
    <t>SS T-SHIRT KI CARDET 24S KATUN SOLID POLOS KIJVSOLID3:KHAKI:15-16:SOLID:SS T-SHIRT</t>
  </si>
  <si>
    <t>SS T-SHIRT KI CARDET 24S KATUN SOLID POLOS KIJVSOLID3:VANILLA:9-10:SOLID:SS T-SHIRT</t>
  </si>
  <si>
    <t>SS T-SHIRT KI CARDET 24S KATUN SOLID POLOS KIJVSOLID3:VANILLA:11-12:SOLID:SS T-SHIRT</t>
  </si>
  <si>
    <t>SS T-SHIRT KI CARDET 24S KATUN SOLID POLOS KIJVSOLID3:VANILLA:13-14:SOLID:SS T-SHIRT</t>
  </si>
  <si>
    <t>SS T-SHIRT KI CARDET 24S KATUN SOLID POLOS KIJVSOLID3:VANILLA:15-16:SOLID:SS T-SHIRT</t>
  </si>
  <si>
    <t>SS T-SHIRT KI CARDET 24S KATUN SOLID POLOS KIJVSOLID3:PASTEL BLUE:9-10:SOLID:SS T-SHIRT</t>
  </si>
  <si>
    <t>SS T-SHIRT KI CARDET 24S KATUN SOLID POLOS KIJVSOLID3:PASTEL BLUE:11-12:SOLID:SS T-SHIRT</t>
  </si>
  <si>
    <t>SS T-SHIRT KI CARDET 24S KATUN SOLID POLOS KIJVSOLID3:PASTEL BLUE:13-14:SOLID:SS T-SHIRT</t>
  </si>
  <si>
    <t>SS T-SHIRT KI CARDET 24S KATUN SOLID POLOS KIJVSOLID3:PASTEL BLUE:15-16:SOLID:SS T-SHIRT</t>
  </si>
  <si>
    <t>SS T-SHIRT KI CARDET 24S KATUN SOLID POLOS KIJVSOLID3:CACTUS GREEN:9-10:SOLID:SS T-SHIRT</t>
  </si>
  <si>
    <t>SS T-SHIRT KI CARDET 24S KATUN SOLID POLOS KIJVSOLID3:CACTUS GREEN:11-12:SOLID:SS T-SHIRT</t>
  </si>
  <si>
    <t>SS T-SHIRT KI CARDET 24S KATUN SOLID POLOS KIJVSOLID3:CACTUS GREEN:13-14:SOLID:SS T-SHIRT</t>
  </si>
  <si>
    <t>SS T-SHIRT KI CARDET 24S KATUN SOLID POLOS KIJVSOLID3:CACTUS GREEN:15-16:SOLID:SS T-SHIRT</t>
  </si>
  <si>
    <t>KIDEW2516</t>
  </si>
  <si>
    <t>SS T-SHIRT FOSSIL T REX KIDEW2516:PASTEL GREEN:5-6:GRAPHIC:SS T-SHIRT</t>
  </si>
  <si>
    <t>SS T-SHIRT FOSSIL T REX KIDEW2516:PASTEL GREEN:7-8:GRAPHIC:SS T-SHIRT</t>
  </si>
  <si>
    <t>SS T-SHIRT FOSSIL T REX KIDEW2516:PASTEL GREEN:9-10:GRAPHIC:SS T-SHIRT</t>
  </si>
  <si>
    <t>SS T-SHIRT FOSSIL T REX KIDEW2516:PASTEL GREEN:11-12:GRAPHIC:SS T-SHIRT</t>
  </si>
  <si>
    <t>KIDEW2517</t>
  </si>
  <si>
    <t>SS T-SHIRT DINOSAURUS ARE ALIVE KIDEW2517:CHARCOAL:5-6:GRAPHIC:SS T-SHIRT</t>
  </si>
  <si>
    <t>SS T-SHIRT DINOSAURUS ARE ALIVE KIDEW2517:CHARCOAL:7-8:GRAPHIC:SS T-SHIRT</t>
  </si>
  <si>
    <t>SS T-SHIRT DINOSAURUS ARE ALIVE KIDEW2517:CHARCOAL:9-10:GRAPHIC:SS T-SHIRT</t>
  </si>
  <si>
    <t>SS T-SHIRT DINOSAURUS ARE ALIVE KIDEW2517:CHARCOAL:11-12:GRAPHIC:SS T-SHIRT</t>
  </si>
  <si>
    <t>KIDEW2518</t>
  </si>
  <si>
    <t>SS T-SHIRT TREX KIDEW2518:PASTEL BLUE:5-6:GRAPHIC:SS T-SHIRT</t>
  </si>
  <si>
    <t>SS T-SHIRT TREX KIDEW2518:PASTEL BLUE:7-8:GRAPHIC:SS T-SHIRT</t>
  </si>
  <si>
    <t>SS T-SHIRT TREX KIDEW2518:PASTEL BLUE:9-10:GRAPHIC:SS T-SHIRT</t>
  </si>
  <si>
    <t>SS T-SHIRT TREX KIDEW2518:PASTEL BLUE:11-12:GRAPHIC:SS T-SHIRT</t>
  </si>
  <si>
    <t>KIDEW2519</t>
  </si>
  <si>
    <t>SS T-SHIRT ROAR SOME KIDEW2519:BLACK:5-6:GRAPHIC:SS T-SHIRT</t>
  </si>
  <si>
    <t>SS T-SHIRT ROAR SOME KIDEW2519:BLACK:7-8:GRAPHIC:SS T-SHIRT</t>
  </si>
  <si>
    <t>SS T-SHIRT ROAR SOME KIDEW2519:BLACK:9-10:GRAPHIC:SS T-SHIRT</t>
  </si>
  <si>
    <t>SS T-SHIRT ROAR SOME KIDEW2519:BLACK:11-12:GRAPHIC:SS T-SHIRT</t>
  </si>
  <si>
    <t>KIDEW2520</t>
  </si>
  <si>
    <t>SS T-SHIRT DINOSAUR EXPLORER KIDEW2520:OFF WHITE:5-6:GRAPHIC:SS T-SHIRT</t>
  </si>
  <si>
    <t>SS T-SHIRT DINOSAUR EXPLORER KIDEW2520:OFF WHITE:7-8:GRAPHIC:SS T-SHIRT</t>
  </si>
  <si>
    <t>SS T-SHIRT DINOSAUR EXPLORER KIDEW2520:OFF WHITE:9-10:GRAPHIC:SS T-SHIRT</t>
  </si>
  <si>
    <t>SS T-SHIRT DINOSAUR EXPLORER KIDEW2520:OFF WHITE:11-12:GRAPHIC:SS T-SHIRT</t>
  </si>
  <si>
    <t>KIDEW2521</t>
  </si>
  <si>
    <t>SS T-SHIRT I MAKE AWESOME KIDEW2521:KHAKI:5-6:GRAPHIC:SS T-SHIRT</t>
  </si>
  <si>
    <t>SS T-SHIRT I MAKE AWESOME KIDEW2521:KHAKI:7-8:GRAPHIC:SS T-SHIRT</t>
  </si>
  <si>
    <t>SS T-SHIRT I MAKE AWESOME KIDEW2521:KHAKI:9-10:GRAPHIC:SS T-SHIRT</t>
  </si>
  <si>
    <t>SS T-SHIRT I MAKE AWESOME KIDEW2521:KHAKI:11-12:GRAPHIC:SS T-SHIRT</t>
  </si>
  <si>
    <t>KIDEW2522</t>
  </si>
  <si>
    <t>SS T-SHIRT STREET WEAR NYC KIDEW2522:KHAKI:5-6:GRAPHIC:SS T-SHIRT</t>
  </si>
  <si>
    <t>SS T-SHIRT STREET WEAR NYC KIDEW2522:KHAKI:7-8:GRAPHIC:SS T-SHIRT</t>
  </si>
  <si>
    <t>SS T-SHIRT STREET WEAR NYC KIDEW2522:KHAKI:9-10:GRAPHIC:SS T-SHIRT</t>
  </si>
  <si>
    <t>SS T-SHIRT STREET WEAR NYC KIDEW2522:KHAKI:11-12:GRAPHIC:SS T-SHIRT</t>
  </si>
  <si>
    <t>KIDEW2523</t>
  </si>
  <si>
    <t>SS T-SHIRT ASTRONOUT KIDEW2523:MISTY LIGHT GREY:5-6:GRAPHIC:SS T-SHIRT</t>
  </si>
  <si>
    <t>SS T-SHIRT ASTRONOUT KIDEW2523:MISTY LIGHT GREY:7-8:GRAPHIC:SS T-SHIRT</t>
  </si>
  <si>
    <t>SS T-SHIRT ASTRONOUT KIDEW2523:MISTY LIGHT GREY:9-10:GRAPHIC:SS T-SHIRT</t>
  </si>
  <si>
    <t>SS T-SHIRT ASTRONOUT KIDEW2523:MISTY LIGHT GREY:11-12:GRAPHIC:SS T-SHIRT</t>
  </si>
  <si>
    <t>KIDEW2524</t>
  </si>
  <si>
    <t>SS T-SHIRT JEEP OUTDOOR KIDEW2524:PASTEL GREEN:5-6:GRAPHIC:SS T-SHIRT</t>
  </si>
  <si>
    <t>SS T-SHIRT JEEP OUTDOOR KIDEW2524:PASTEL GREEN:7-8:GRAPHIC:SS T-SHIRT</t>
  </si>
  <si>
    <t>SS T-SHIRT JEEP OUTDOOR KIDEW2524:PASTEL GREEN:9-10:GRAPHIC:SS T-SHIRT</t>
  </si>
  <si>
    <t>SS T-SHIRT JEEP OUTDOOR KIDEW2524:PASTEL GREEN:11-12:GRAPHIC:SS T-SHIRT</t>
  </si>
  <si>
    <t>KIDEW2525</t>
  </si>
  <si>
    <t>SS T-SHIRT ANIME KIRI SMASH KIDEW2525:OFF WHITE:5-6:GRAPHIC:SS T-SHIRT</t>
  </si>
  <si>
    <t>SS T-SHIRT ANIME KIRI SMASH KIDEW2525:OFF WHITE:7-8:GRAPHIC:SS T-SHIRT</t>
  </si>
  <si>
    <t>SS T-SHIRT ANIME KIRI SMASH KIDEW2525:OFF WHITE:9-10:GRAPHIC:SS T-SHIRT</t>
  </si>
  <si>
    <t>SS T-SHIRT ANIME KIRI SMASH KIDEW2525:OFF WHITE:11-12:GRAPHIC:SS T-SHIRT</t>
  </si>
  <si>
    <t>KIDEW2526</t>
  </si>
  <si>
    <t>SS T-SHIRT ANIME KIRI WAR IS OVER KIDEW2526:PASTEL GREEN:5-6:GRAPHIC:SS T-SHIRT</t>
  </si>
  <si>
    <t>SS T-SHIRT ANIME KIRI WAR IS OVER KIDEW2526:PASTEL GREEN:7-8:GRAPHIC:SS T-SHIRT</t>
  </si>
  <si>
    <t>SS T-SHIRT ANIME KIRI WAR IS OVER KIDEW2526:PASTEL GREEN:9-10:GRAPHIC:SS T-SHIRT</t>
  </si>
  <si>
    <t>SS T-SHIRT ANIME KIRI WAR IS OVER KIDEW2526:PASTEL GREEN:11-12:GRAPHIC:SS T-SHIRT</t>
  </si>
  <si>
    <t>KIDEW2527</t>
  </si>
  <si>
    <t>SS T-SHIRT ANIME KIRI NEVER GIVE UP KIDEW2527:PASTEL BLUE:5-6:GRAPHIC:SS T-SHIRT</t>
  </si>
  <si>
    <t>SS T-SHIRT ANIME KIRI NEVER GIVE UP KIDEW2527:PASTEL BLUE:7-8:GRAPHIC:SS T-SHIRT</t>
  </si>
  <si>
    <t>SS T-SHIRT ANIME KIRI NEVER GIVE UP KIDEW2527:PASTEL BLUE:9-10:GRAPHIC:SS T-SHIRT</t>
  </si>
  <si>
    <t>SS T-SHIRT ANIME KIRI NEVER GIVE UP KIDEW2527:PASTEL BLUE:11-12:GRAPHIC:SS T-SHIRT</t>
  </si>
  <si>
    <t>KIDEW2528</t>
  </si>
  <si>
    <t>SS T-SHIRT ANIME KIRI FREEDOM KIDEW2528:MUSTARD:5-6:GRAPHIC:SS T-SHIRT</t>
  </si>
  <si>
    <t>SS T-SHIRT ANIME KIRI FREEDOM KIDEW2528:MUSTARD:7-8:GRAPHIC:SS T-SHIRT</t>
  </si>
  <si>
    <t>SS T-SHIRT ANIME KIRI FREEDOM KIDEW2528:MUSTARD:9-10:GRAPHIC:SS T-SHIRT</t>
  </si>
  <si>
    <t>SS T-SHIRT ANIME KIRI FREEDOM KIDEW2528:MUSTARD:11-12:GRAPHIC:SS T-SHIRT</t>
  </si>
  <si>
    <t>KIDEW2529</t>
  </si>
  <si>
    <t>SS T-SHIRT ANIME KIRI SWORDSMAN KIDEW2529:CLASSIC RED:5-6:GRAPHIC:SS T-SHIRT</t>
  </si>
  <si>
    <t>SS T-SHIRT ANIME KIRI SWORDSMAN KIDEW2529:CLASSIC RED:7-8:GRAPHIC:SS T-SHIRT</t>
  </si>
  <si>
    <t>SS T-SHIRT ANIME KIRI SWORDSMAN KIDEW2529:CLASSIC RED:9-10:GRAPHIC:SS T-SHIRT</t>
  </si>
  <si>
    <t>SS T-SHIRT ANIME KIRI SWORDSMAN KIDEW2529:CLASSIC RED:11-12:GRAPHIC:SS T-SHIRT</t>
  </si>
  <si>
    <t>KIDEW2530</t>
  </si>
  <si>
    <t>SS T-SHIRT ANIME KIRI WARRIOR KIDEW2530:BLACK:5-6:GRAPHIC:SS T-SHIRT</t>
  </si>
  <si>
    <t>SS T-SHIRT ANIME KIRI WARRIOR KIDEW2530:BLACK:7-8:GRAPHIC:SS T-SHIRT</t>
  </si>
  <si>
    <t>SS T-SHIRT ANIME KIRI WARRIOR KIDEW2530:BLACK:9-10:GRAPHIC:SS T-SHIRT</t>
  </si>
  <si>
    <t>SS T-SHIRT ANIME KIRI WARRIOR KIDEW2530:BLACK:11-12:GRAPHIC:SS T-SHIRT</t>
  </si>
  <si>
    <t>KIPHC2508S</t>
  </si>
  <si>
    <t>SS T-SHIRT MONSTER TRUCK KIPHC2508S:OFF WHITE:5-6:GRAPHIC:SS T-SHIRT</t>
  </si>
  <si>
    <t>SS T-SHIRT MONSTER TRUCK KIPHC2508S:OFF WHITE:7-8:GRAPHIC:SS T-SHIRT</t>
  </si>
  <si>
    <t>SS T-SHIRT MONSTER TRUCK KIPHC2508S:OFF WHITE:9-10:GRAPHIC:SS T-SHIRT</t>
  </si>
  <si>
    <t>SS T-SHIRT MONSTER TRUCK KIPHC2508S:OFF WHITE:11-12:GRAPHIC:SS T-SHIRT</t>
  </si>
  <si>
    <t>KIHREYES1</t>
  </si>
  <si>
    <t>SS T-SHIRT KI EMBRO EYES 1 KIHREYES1:OFF WHITE:9-10:GRAPHIC:SS T-SHIRT</t>
  </si>
  <si>
    <t>SS T-SHIRT KI EMBRO EYES 1 KIHREYES1:OFF WHITE:11-12:GRAPHIC:SS T-SHIRT</t>
  </si>
  <si>
    <t>SS T-SHIRT KI EMBRO EYES 1 KIHREYES1:OFF WHITE:13-14:GRAPHIC:SS T-SHIRT</t>
  </si>
  <si>
    <t>SS T-SHIRT KI EMBRO EYES 1 KIHREYES1:OFF WHITE:15-16:GRAPHIC:SS T-SHIRT</t>
  </si>
  <si>
    <t>KIHREYES2</t>
  </si>
  <si>
    <t>SS T-SHIRT KI EMBRO EYES 2 KIHREYES2:CACTUS GREEN:9-10:GRAPHIC:SS T-SHIRT</t>
  </si>
  <si>
    <t>SS T-SHIRT KI EMBRO EYES 2 KIHREYES2:CACTUS GREEN:11-12:GRAPHIC:SS T-SHIRT</t>
  </si>
  <si>
    <t>SS T-SHIRT KI EMBRO EYES 2 KIHREYES2:CACTUS GREEN:13-14:GRAPHIC:SS T-SHIRT</t>
  </si>
  <si>
    <t>SS T-SHIRT KI EMBRO EYES 2 KIHREYES2:CACTUS GREEN:15-16:GRAPHIC:SS T-SHIRT</t>
  </si>
  <si>
    <t>KIHREYES3</t>
  </si>
  <si>
    <t>SS T-SHIRT KI EMBRO EYES 3 KIHREYES3:MUSTARD:9-10:GRAPHIC:SS T-SHIRT</t>
  </si>
  <si>
    <t>SS T-SHIRT KI EMBRO EYES 3 KIHREYES3:MUSTARD:11-12:GRAPHIC:SS T-SHIRT</t>
  </si>
  <si>
    <t>SS T-SHIRT KI EMBRO EYES 3 KIHREYES3:MUSTARD:13-14:GRAPHIC:SS T-SHIRT</t>
  </si>
  <si>
    <t>SS T-SHIRT KI EMBRO EYES 3 KIHREYES3:MUSTARD:15-16:GRAPHIC:SS T-SHIRT</t>
  </si>
  <si>
    <t>KIHREYES4</t>
  </si>
  <si>
    <t>SS T-SHIRT KI EMBRO EYES 3 KIHREYES4:PASTEL BLUE:9-10:GRAPHIC:SS T-SHIRT</t>
  </si>
  <si>
    <t>SS T-SHIRT KI EMBRO EYES 3 KIHREYES4:PASTEL BLUE:11-12:GRAPHIC:SS T-SHIRT</t>
  </si>
  <si>
    <t>SS T-SHIRT KI EMBRO EYES 3 KIHREYES4:PASTEL BLUE:13-14:GRAPHIC:SS T-SHIRT</t>
  </si>
  <si>
    <t>SS T-SHIRT KI EMBRO EYES 3 KIHREYES4:PASTEL BLUE:15-16:GRAPHIC:SS T-SHIRT</t>
  </si>
  <si>
    <t>KIJDSPL</t>
  </si>
  <si>
    <t>SS T-SHIRT KI SOLID SPL KIJDSPL:MAROON:9-10:SOLID:SS T-SHIRT</t>
  </si>
  <si>
    <t>SS T-SHIRT KI SOLID SPL KIJDSPL:MAROON:11-12:SOLID:SS T-SHIRT</t>
  </si>
  <si>
    <t>SS T-SHIRT KI SOLID SPL KIJDSPL:MAROON:13-14:SOLID:SS T-SHIRT</t>
  </si>
  <si>
    <t>SS T-SHIRT KI SOLID SPL KIJDSPL:MAROON:15-16:SOLID:SS T-SHIRT</t>
  </si>
  <si>
    <t>KIJDSBS</t>
  </si>
  <si>
    <t>SS T-SHIRT KI SOLID BASIC KIJDSBS:OFF WHITE:9-10:SOLID:SS T-SHIRT</t>
  </si>
  <si>
    <t>SS T-SHIRT KI SOLID BASIC KIJDSBS:OFF WHITE:11-12:SOLID:SS T-SHIRT</t>
  </si>
  <si>
    <t>SS T-SHIRT KI SOLID BASIC KIJDSBS:OFF WHITE:13-14:SOLID:SS T-SHIRT</t>
  </si>
  <si>
    <t>SS T-SHIRT KI SOLID BASIC KIJDSBS:OFF WHITE:15-16:SOLID:SS T-SHIRT</t>
  </si>
  <si>
    <t>KIJVKTG4C</t>
  </si>
  <si>
    <t>SS T-SHIRT KI CARDET 24S KATUN SOLID POLOS KANTONG KIJVKTG4C:CLASSIC BLUE:9-10:SOLID:SS T-SHIRT</t>
  </si>
  <si>
    <t>SS T-SHIRT KI CARDET 24S KATUN SOLID POLOS KANTONG KIJVKTG4C:CLASSIC BLUE:11-12:SOLID:SS T-SHIRT</t>
  </si>
  <si>
    <t>SS T-SHIRT KI CARDET 24S KATUN SOLID POLOS KANTONG KIJVKTG4C:CLASSIC BLUE:13-14:SOLID:SS T-SHIRT</t>
  </si>
  <si>
    <t>SS T-SHIRT KI CARDET 24S KATUN SOLID POLOS KANTONG KIJVKTG4C:CLASSIC BLUE:15-16:SOLID:SS T-SHIRT</t>
  </si>
  <si>
    <t>KIJVKTG4D</t>
  </si>
  <si>
    <t>SS T-SHIRT KI CARDET 24S KATUN SOLID POLOS KANTONG KIJVKTG4D:FOREST GREEN:9-10:SOLID:SS T-SHIRT</t>
  </si>
  <si>
    <t>SS T-SHIRT KI CARDET 24S KATUN SOLID POLOS KANTONG KIJVKTG4D:FOREST GREEN:11-12:SOLID:SS T-SHIRT</t>
  </si>
  <si>
    <t>SS T-SHIRT KI CARDET 24S KATUN SOLID POLOS KANTONG KIJVKTG4D:FOREST GREEN:13-14:SOLID:SS T-SHIRT</t>
  </si>
  <si>
    <t>SS T-SHIRT KI CARDET 24S KATUN SOLID POLOS KANTONG KIJVKTG4D:FOREST GREEN:15-16:SOLID:SS T-SHIRT</t>
  </si>
  <si>
    <t>KIJVKTG4E</t>
  </si>
  <si>
    <t>SS T-SHIRT KI CARDET 24S KATUN SOLID POLOS KANTONG KIJVKTG4E:INDIGO BLUE:9-10:SOLID:SS T-SHIRT</t>
  </si>
  <si>
    <t>SS T-SHIRT KI CARDET 24S KATUN SOLID POLOS KANTONG KIJVKTG4E:INDIGO BLUE:11-12:SOLID:SS T-SHIRT</t>
  </si>
  <si>
    <t>SS T-SHIRT KI CARDET 24S KATUN SOLID POLOS KANTONG KIJVKTG4E:INDIGO BLUE:13-14:SOLID:SS T-SHIRT</t>
  </si>
  <si>
    <t>SS T-SHIRT KI CARDET 24S KATUN SOLID POLOS KANTONG KIJVKTG4E:INDIGO BLUE:15-16:SOLID:SS T-SHIRT</t>
  </si>
  <si>
    <t>KIJVPR1</t>
  </si>
  <si>
    <t>SS T-SHIRT KI PRINT BOSTON KIJVPR1:CHARCOAL:9-10:GRAPHIC:SS T-SHIRT</t>
  </si>
  <si>
    <t>SS T-SHIRT KI PRINT BOSTON KIJVPR1:CHARCOAL:11-12:GRAPHIC:SS T-SHIRT</t>
  </si>
  <si>
    <t>SS T-SHIRT KI PRINT BOSTON KIJVPR1:CHARCOAL:13-14:GRAPHIC:SS T-SHIRT</t>
  </si>
  <si>
    <t>SS T-SHIRT KI PRINT BOSTON KIJVPR1:CHARCOAL:15-16:GRAPHIC:SS T-SHIRT</t>
  </si>
  <si>
    <t>KIJVPR2</t>
  </si>
  <si>
    <t>SS T-SHIRT KI PRINT LOS ANGELES KIJVPR2:CLASSIC RED:9-10:GRAPHIC:SS T-SHIRT</t>
  </si>
  <si>
    <t>SS T-SHIRT KI PRINT LOS ANGELES KIJVPR2:CLASSIC RED:11-12:GRAPHIC:SS T-SHIRT</t>
  </si>
  <si>
    <t>SS T-SHIRT KI PRINT LOS ANGELES KIJVPR2:CLASSIC RED:13-14:GRAPHIC:SS T-SHIRT</t>
  </si>
  <si>
    <t>SS T-SHIRT KI PRINT LOS ANGELES KIJVPR2:CLASSIC RED:15-16:GRAPHIC:SS T-SHIRT</t>
  </si>
  <si>
    <t>KIJVPR3</t>
  </si>
  <si>
    <t>SS T-SHIRT KI PRINT SAN FRANSISCO KIJVPR3:INDIGO BLUE:9-10:GRAPHIC:SS T-SHIRT</t>
  </si>
  <si>
    <t>SS T-SHIRT KI PRINT SAN FRANSISCO KIJVPR3:INDIGO BLUE:11-12:GRAPHIC:SS T-SHIRT</t>
  </si>
  <si>
    <t>SS T-SHIRT KI PRINT SAN FRANSISCO KIJVPR3:INDIGO BLUE:13-14:GRAPHIC:SS T-SHIRT</t>
  </si>
  <si>
    <t>SS T-SHIRT KI PRINT SAN FRANSISCO KIJVPR3:INDIGO BLUE:15-16:GRAPHIC:SS T-SHIRT</t>
  </si>
  <si>
    <t>KIJVPR4</t>
  </si>
  <si>
    <t>SS T-SHIRT KI PRINT NEW YORK CITY KIJVPR4:MANDARIN ORANGE:9-10:GRAPHIC:SS T-SHIRT</t>
  </si>
  <si>
    <t>SS T-SHIRT KI PRINT NEW YORK CITY KIJVPR4:MANDARIN ORANGE:11-12:GRAPHIC:SS T-SHIRT</t>
  </si>
  <si>
    <t>SS T-SHIRT KI PRINT NEW YORK CITY KIJVPR4:MANDARIN ORANGE:13-14:GRAPHIC:SS T-SHIRT</t>
  </si>
  <si>
    <t>SS T-SHIRT KI PRINT NEW YORK CITY KIJVPR4:MANDARIN ORANGE:15-16:GRAPHIC:SS T-SHIRT</t>
  </si>
  <si>
    <t>KIJVPR5</t>
  </si>
  <si>
    <t>SS T-SHIRT KI PRINTNEW JERSEY KIJVPR5:CLASSIC GREEN:9-10:GRAPHIC:SS T-SHIRT</t>
  </si>
  <si>
    <t>SS T-SHIRT KI PRINTNEW JERSEY KIJVPR5:CLASSIC GREEN:11-12:GRAPHIC:SS T-SHIRT</t>
  </si>
  <si>
    <t>SS T-SHIRT KI PRINTNEW JERSEY KIJVPR5:CLASSIC GREEN:13-14:GRAPHIC:SS T-SHIRT</t>
  </si>
  <si>
    <t>SS T-SHIRT KI PRINTNEW JERSEY KIJVPR5:CLASSIC GREEN:15-16:GRAPHIC:SS T-SHIRT</t>
  </si>
  <si>
    <t>KIPHC2511S</t>
  </si>
  <si>
    <t>SS T-SHIRT SPACE CRUISER KIPHC2511S:INDIGO BLUE:5-6:GRAPHIC:SS T-SHIRT</t>
  </si>
  <si>
    <t>SS T-SHIRT SPACE CRUISER KIPHC2511S:INDIGO BLUE:7-8:GRAPHIC:SS T-SHIRT</t>
  </si>
  <si>
    <t>SS T-SHIRT SPACE CRUISER KIPHC2511S:INDIGO BLUE:9-10:GRAPHIC:SS T-SHIRT</t>
  </si>
  <si>
    <t>SS T-SHIRT SPACE CRUISER KIPHC2511S:INDIGO BLUE:11-12:GRAPHIC:SS T-SHIRT</t>
  </si>
  <si>
    <t>KIPHC2512S</t>
  </si>
  <si>
    <t>SS T-SHIRT STAY WILD DINO KIPHC2512S:PASTEL GREEN:5-6:GRAPHIC:SS T-SHIRT</t>
  </si>
  <si>
    <t>SS T-SHIRT STAY WILD DINO KIPHC2512S:PASTEL GREEN:7-8:GRAPHIC:SS T-SHIRT</t>
  </si>
  <si>
    <t>SS T-SHIRT STAY WILD DINO KIPHC2512S:PASTEL GREEN:9-10:GRAPHIC:SS T-SHIRT</t>
  </si>
  <si>
    <t>SS T-SHIRT STAY WILD DINO KIPHC2512S:PASTEL GREEN:11-12:GRAPHIC:SS T-SHIRT</t>
  </si>
  <si>
    <t>KIPHC2513S</t>
  </si>
  <si>
    <t>SS T-SHIRT ASTRONOUT 88 KIPHC2513S:CHARCOAL:5-6:GRAPHIC:SS T-SHIRT</t>
  </si>
  <si>
    <t>SS T-SHIRT ASTRONOUT 88 KIPHC2513S:CHARCOAL:7-8:GRAPHIC:SS T-SHIRT</t>
  </si>
  <si>
    <t>SS T-SHIRT ASTRONOUT 88 KIPHC2513S:CHARCOAL:9-10:GRAPHIC:SS T-SHIRT</t>
  </si>
  <si>
    <t>SS T-SHIRT ASTRONOUT 88 KIPHC2513S:CHARCOAL:11-12:GRAPHIC:SS T-SHIRT</t>
  </si>
  <si>
    <t>KIPHC2505S</t>
  </si>
  <si>
    <t>SS T-SHIRT ONE GOAL IS NOT ENOUGH KIPHC2505S:BLACK:5-6:GRAPHIC:SS T-SHIRT</t>
  </si>
  <si>
    <t>SS T-SHIRT ONE GOAL IS NOT ENOUGH KIPHC2505S:BLACK:7-8:GRAPHIC:SS T-SHIRT</t>
  </si>
  <si>
    <t>SS T-SHIRT ONE GOAL IS NOT ENOUGH KIPHC2505S:BLACK:9-10:GRAPHIC:SS T-SHIRT</t>
  </si>
  <si>
    <t>SS T-SHIRT ONE GOAL IS NOT ENOUGH KIPHC2505S:BLACK:11-12:GRAPHIC:SS T-SHIRT</t>
  </si>
  <si>
    <t>KIPHC2506S</t>
  </si>
  <si>
    <t>SS T-SHIRT SLAM DUNK 23 KIPHC2506S:PASTEL BLUE:5-6:GRAPHIC:SS T-SHIRT</t>
  </si>
  <si>
    <t>SS T-SHIRT SLAM DUNK 23 KIPHC2506S:PASTEL BLUE:7-8:GRAPHIC:SS T-SHIRT</t>
  </si>
  <si>
    <t>SS T-SHIRT SLAM DUNK 23 KIPHC2506S:PASTEL BLUE:9-10:GRAPHIC:SS T-SHIRT</t>
  </si>
  <si>
    <t>SS T-SHIRT SLAM DUNK 23 KIPHC2506S:PASTEL BLUE:11-12:GRAPHIC:SS T-SHIRT</t>
  </si>
  <si>
    <t>KIPHC2507S</t>
  </si>
  <si>
    <t>SS T-SHIRT EXPLORE ASTRONOUT KIPHC2507S:MUSTARD:5-6:GRAPHIC:SS T-SHIRT</t>
  </si>
  <si>
    <t>SS T-SHIRT EXPLORE ASTRONOUT KIPHC2507S:MUSTARD:7-8:GRAPHIC:SS T-SHIRT</t>
  </si>
  <si>
    <t>SS T-SHIRT EXPLORE ASTRONOUT KIPHC2507S:MUSTARD:9-10:GRAPHIC:SS T-SHIRT</t>
  </si>
  <si>
    <t>SS T-SHIRT EXPLORE ASTRONOUT KIPHC2507S:MUSTARD:11-12:GRAPHIC:SS T-SHIRT</t>
  </si>
  <si>
    <t>KIPHC2509S</t>
  </si>
  <si>
    <t>SS T-SHIRT TYRANSAURUS BALL KIPHC2509S:PEPPERMINT:5-6:GRAPHIC:SS T-SHIRT</t>
  </si>
  <si>
    <t>SS T-SHIRT TYRANSAURUS BALL KIPHC2509S:PEPPERMINT:7-8:GRAPHIC:SS T-SHIRT</t>
  </si>
  <si>
    <t>SS T-SHIRT TYRANSAURUS BALL KIPHC2509S:PEPPERMINT:9-10:GRAPHIC:SS T-SHIRT</t>
  </si>
  <si>
    <t>SS T-SHIRT TYRANSAURUS BALL KIPHC2509S:PEPPERMINT:11-12:GRAPHIC:SS T-SHIRT</t>
  </si>
  <si>
    <t>KIH59</t>
  </si>
  <si>
    <t>SS T-SHIRT KI PRINT ANIME KIH59:MISTY MEDIUM BLUE:9-10:GRAPHIC:SS T-SHIRT</t>
  </si>
  <si>
    <t>SS T-SHIRT KI PRINT ANIME KIH59:MISTY MEDIUM BLUE:11-12:GRAPHIC:SS T-SHIRT</t>
  </si>
  <si>
    <t>SS T-SHIRT KI PRINT ANIME KIH59:MISTY MEDIUM BLUE:13-14:GRAPHIC:SS T-SHIRT</t>
  </si>
  <si>
    <t>SS T-SHIRT KI PRINT ANIME KIH59:MISTY MEDIUM BLUE:15-16:GRAPHIC:SS T-SHIRT</t>
  </si>
  <si>
    <t>KIH60</t>
  </si>
  <si>
    <t>SS T-SHIRT KI PRINT ANIME KIH60:MISTY MEDIUM GREEN:9-10:GRAPHIC:SS T-SHIRT</t>
  </si>
  <si>
    <t>SS T-SHIRT KI PRINT ANIME KIH60:MISTY MEDIUM GREEN:11-12:GRAPHIC:SS T-SHIRT</t>
  </si>
  <si>
    <t>SS T-SHIRT KI PRINT ANIME KIH60:MISTY MEDIUM GREEN:13-14:GRAPHIC:SS T-SHIRT</t>
  </si>
  <si>
    <t>SS T-SHIRT KI PRINT ANIME KIH60:MISTY MEDIUM GREEN:15-16:GRAPHIC:SS T-SHIRT</t>
  </si>
  <si>
    <t>KIH61</t>
  </si>
  <si>
    <t>SS T-SHIRT KI PRINT ANIME KIH61:MISTY LIGHT KHAKI:9-10:GRAPHIC:SS T-SHIRT</t>
  </si>
  <si>
    <t>SS T-SHIRT KI PRINT ANIME KIH61:MISTY LIGHT KHAKI:11-12:GRAPHIC:SS T-SHIRT</t>
  </si>
  <si>
    <t>SS T-SHIRT KI PRINT ANIME KIH61:MISTY LIGHT KHAKI:13-14:GRAPHIC:SS T-SHIRT</t>
  </si>
  <si>
    <t>SS T-SHIRT KI PRINT ANIME KIH61:MISTY LIGHT KHAKI:15-16:GRAPHIC:SS T-SHIRT</t>
  </si>
  <si>
    <t>KIH62</t>
  </si>
  <si>
    <t>SS T-SHIRT KI PRINT ANIME KIH62:MISTY MEDIUM RED:9-10:GRAPHIC:SS T-SHIRT</t>
  </si>
  <si>
    <t>SS T-SHIRT KI PRINT ANIME KIH62:MISTY MEDIUM RED:11-12:GRAPHIC:SS T-SHIRT</t>
  </si>
  <si>
    <t>SS T-SHIRT KI PRINT ANIME KIH62:MISTY MEDIUM RED:13-14:GRAPHIC:SS T-SHIRT</t>
  </si>
  <si>
    <t>SS T-SHIRT KI PRINT ANIME KIH62:MISTY MEDIUM RED:15-16:GRAPHIC:SS T-SHIRT</t>
  </si>
  <si>
    <t>KIH63</t>
  </si>
  <si>
    <t>SS T-SHIRT KI PRINT ANIME KIH63:MISTY MEDIUM GREY:9-10:GRAPHIC:SS T-SHIRT</t>
  </si>
  <si>
    <t>SS T-SHIRT KI PRINT ANIME KIH63:MISTY MEDIUM GREY:11-12:GRAPHIC:SS T-SHIRT</t>
  </si>
  <si>
    <t>SS T-SHIRT KI PRINT ANIME KIH63:MISTY MEDIUM GREY:13-14:GRAPHIC:SS T-SHIRT</t>
  </si>
  <si>
    <t>SS T-SHIRT KI PRINT ANIME KIH63:MISTY MEDIUM GREY:15-16:GRAPHIC:SS T-SHIRT</t>
  </si>
  <si>
    <t>KIHRHADE1</t>
  </si>
  <si>
    <t>SS T-SHIRT KI EMBRO MINI HADE 1 KIHRHADE1:VANILLA:9-10:GRAPHIC:SS T-SHIRT</t>
  </si>
  <si>
    <t>SS T-SHIRT KI EMBRO MINI HADE 1 KIHRHADE1:VANILLA:11-12:GRAPHIC:SS T-SHIRT</t>
  </si>
  <si>
    <t>SS T-SHIRT KI EMBRO MINI HADE 1 KIHRHADE1:VANILLA:13-14:GRAPHIC:SS T-SHIRT</t>
  </si>
  <si>
    <t>SS T-SHIRT KI EMBRO MINI HADE 1 KIHRHADE1:VANILLA:15-16:GRAPHIC:SS T-SHIRT</t>
  </si>
  <si>
    <t>KIHRHADE2</t>
  </si>
  <si>
    <t>SS T-SHIRT KI EMBRO MINI HADE 2 KIHRHADE2:LIGHT BLUE:9-10:GRAPHIC:SS T-SHIRT</t>
  </si>
  <si>
    <t>SS T-SHIRT KI EMBRO MINI HADE 2 KIHRHADE2:LIGHT BLUE:11-12:GRAPHIC:SS T-SHIRT</t>
  </si>
  <si>
    <t>SS T-SHIRT KI EMBRO MINI HADE 2 KIHRHADE2:LIGHT BLUE:13-14:GRAPHIC:SS T-SHIRT</t>
  </si>
  <si>
    <t>SS T-SHIRT KI EMBRO MINI HADE 2 KIHRHADE2:LIGHT BLUE:15-16:GRAPHIC:SS T-SHIRT</t>
  </si>
  <si>
    <t>KIHRHADE3</t>
  </si>
  <si>
    <t>SS T-SHIRT KI EMBRO MINI HADE 3 KIHRHADE3:PEPPERMINT:9-10:GRAPHIC:SS T-SHIRT</t>
  </si>
  <si>
    <t>SS T-SHIRT KI EMBRO MINI HADE 3 KIHRHADE3:PEPPERMINT:11-12:GRAPHIC:SS T-SHIRT</t>
  </si>
  <si>
    <t>SS T-SHIRT KI EMBRO MINI HADE 3 KIHRHADE3:PEPPERMINT:13-14:GRAPHIC:SS T-SHIRT</t>
  </si>
  <si>
    <t>SS T-SHIRT KI EMBRO MINI HADE 3 KIHRHADE3:PEPPERMINT:15-16:GRAPHIC:SS T-SHIRT</t>
  </si>
  <si>
    <t>KIHRHADE4</t>
  </si>
  <si>
    <t>SS T-SHIRT KI EMBRO MINI HADE 4 KIHRHADE4:GOLDEN BROWN:9-10:GRAPHIC:SS T-SHIRT</t>
  </si>
  <si>
    <t>SS T-SHIRT KI EMBRO MINI HADE 4 KIHRHADE4:GOLDEN BROWN:11-12:GRAPHIC:SS T-SHIRT</t>
  </si>
  <si>
    <t>SS T-SHIRT KI EMBRO MINI HADE 4 KIHRHADE4:GOLDEN BROWN:13-14:GRAPHIC:SS T-SHIRT</t>
  </si>
  <si>
    <t>SS T-SHIRT KI EMBRO MINI HADE 4 KIHRHADE4:GOLDEN BROWN:15-16:GRAPHIC:SS T-SHIRT</t>
  </si>
  <si>
    <t>KIJVKTG4A</t>
  </si>
  <si>
    <t>SS T-SHIRT KI CARDET 24S KATUN SOLID POLOS KANTONG KIJVKTG4A:KHAKI:9-10:SOLID:SS T-SHIRT</t>
  </si>
  <si>
    <t>SS T-SHIRT KI CARDET 24S KATUN SOLID POLOS KANTONG KIJVKTG4A:KHAKI:11-12:SOLID:SS T-SHIRT</t>
  </si>
  <si>
    <t>SS T-SHIRT KI CARDET 24S KATUN SOLID POLOS KANTONG KIJVKTG4A:KHAKI:13-14:SOLID:SS T-SHIRT</t>
  </si>
  <si>
    <t>SS T-SHIRT KI CARDET 24S KATUN SOLID POLOS KANTONG KIJVKTG4A:KHAKI:15-16:SOLID:SS T-SHIRT</t>
  </si>
  <si>
    <t>KIJVKTG4B</t>
  </si>
  <si>
    <t>SS T-SHIRT KI CARDET 24S KATUN SOLID POLOS KANTONG KIJVKTG4B:LIGHT BLUE:9-10:SOLID:SS T-SHIRT</t>
  </si>
  <si>
    <t>SS T-SHIRT KI CARDET 24S KATUN SOLID POLOS KANTONG KIJVKTG4B:LIGHT BLUE:11-12:SOLID:SS T-SHIRT</t>
  </si>
  <si>
    <t>SS T-SHIRT KI CARDET 24S KATUN SOLID POLOS KANTONG KIJVKTG4B:LIGHT BLUE:13-14:SOLID:SS T-SHIRT</t>
  </si>
  <si>
    <t>SS T-SHIRT KI CARDET 24S KATUN SOLID POLOS KANTONG KIJVKTG4B:LIGHT BLUE:15-16:SOLID:SS T-SHIRT</t>
  </si>
  <si>
    <t>KIDEW25S01</t>
  </si>
  <si>
    <t>SS T-SHIRT SOCCER GOAL KIDEW25S01:OFF WHITE:5-6:GRAPHIC:SS T-SHIRT</t>
  </si>
  <si>
    <t>SS T-SHIRT SOCCER GOAL KIDEW25S01:OFF WHITE:7-8:GRAPHIC:SS T-SHIRT</t>
  </si>
  <si>
    <t>SS T-SHIRT SOCCER GOAL KIDEW25S01:OFF WHITE:9-10:GRAPHIC:SS T-SHIRT</t>
  </si>
  <si>
    <t>SS T-SHIRT SOCCER GOAL KIDEW25S01:OFF WHITE:11-12:GRAPHIC:SS T-SHIRT</t>
  </si>
  <si>
    <t>KIDEW25S02</t>
  </si>
  <si>
    <t>SS T-SHIRT ALWAYS PLAY KIDEW25S02:CLASSIC ORANGE:5-6:GRAPHIC:SS T-SHIRT</t>
  </si>
  <si>
    <t>SS T-SHIRT ALWAYS PLAY KIDEW25S02:CLASSIC ORANGE:7-8:GRAPHIC:SS T-SHIRT</t>
  </si>
  <si>
    <t>SS T-SHIRT ALWAYS PLAY KIDEW25S02:CLASSIC ORANGE:9-10:GRAPHIC:SS T-SHIRT</t>
  </si>
  <si>
    <t>SS T-SHIRT ALWAYS PLAY KIDEW25S02:CLASSIC ORANGE:11-12:GRAPHIC:SS T-SHIRT</t>
  </si>
  <si>
    <t>KIDEW2503</t>
  </si>
  <si>
    <t>SS T-SHIRT CRASH ZONE KIDEW2503:OFF WHITE:5-6:GRAPHIC:SS T-SHIRT</t>
  </si>
  <si>
    <t>SS T-SHIRT CRASH ZONE KIDEW2503:OFF WHITE:7-8:GRAPHIC:SS T-SHIRT</t>
  </si>
  <si>
    <t>SS T-SHIRT CRASH ZONE KIDEW2503:OFF WHITE:9-10:GRAPHIC:SS T-SHIRT</t>
  </si>
  <si>
    <t>SS T-SHIRT CRASH ZONE KIDEW2503:OFF WHITE:11-12:GRAPHIC:SS T-SHIRT</t>
  </si>
  <si>
    <t>KIDEW2504</t>
  </si>
  <si>
    <t>SS T-SHIRT I CALL THE SHOTS KIDEW2504:CHARCOAL:5-6:GRAPHIC:SS T-SHIRT</t>
  </si>
  <si>
    <t>SS T-SHIRT I CALL THE SHOTS KIDEW2504:CHARCOAL:7-8:GRAPHIC:SS T-SHIRT</t>
  </si>
  <si>
    <t>SS T-SHIRT I CALL THE SHOTS KIDEW2504:CHARCOAL:9-10:GRAPHIC:SS T-SHIRT</t>
  </si>
  <si>
    <t>SS T-SHIRT I CALL THE SHOTS KIDEW2504:CHARCOAL:11-12:GRAPHIC:SS T-SHIRT</t>
  </si>
  <si>
    <t>KIDEW2505</t>
  </si>
  <si>
    <t>SS T-SHIRT BASEBALL KIDEW2505:PASTEL BLUE:5-6:GRAPHIC:SS T-SHIRT</t>
  </si>
  <si>
    <t>SS T-SHIRT BASEBALL KIDEW2505:PASTEL BLUE:7-8:GRAPHIC:SS T-SHIRT</t>
  </si>
  <si>
    <t>SS T-SHIRT BASEBALL KIDEW2505:PASTEL BLUE:9-10:GRAPHIC:SS T-SHIRT</t>
  </si>
  <si>
    <t>SS T-SHIRT BASEBALL KIDEW2505:PASTEL BLUE:11-12:GRAPHIC:SS T-SHIRT</t>
  </si>
  <si>
    <t>KIDEW2506</t>
  </si>
  <si>
    <t>SS T-SHIRT TRUK SUPER CHARGED KIDEW2506:BLACK:5-6:GRAPHIC:SS T-SHIRT</t>
  </si>
  <si>
    <t>SS T-SHIRT TRUK SUPER CHARGED KIDEW2506:BLACK:7-8:GRAPHIC:SS T-SHIRT</t>
  </si>
  <si>
    <t>SS T-SHIRT TRUK SUPER CHARGED KIDEW2506:BLACK:9-10:GRAPHIC:SS T-SHIRT</t>
  </si>
  <si>
    <t>SS T-SHIRT TRUK SUPER CHARGED KIDEW2506:BLACK:11-12:GRAPHIC:SS T-SHIRT</t>
  </si>
  <si>
    <t>KIDEW2507</t>
  </si>
  <si>
    <t>SS T-SHIRT TYRANNOSAURUS KIDEW2507:OLIVE:5-6:GRAPHIC:SS T-SHIRT</t>
  </si>
  <si>
    <t>SS T-SHIRT TYRANNOSAURUS KIDEW2507:OLIVE:7-8:GRAPHIC:SS T-SHIRT</t>
  </si>
  <si>
    <t>SS T-SHIRT TYRANNOSAURUS KIDEW2507:OLIVE:9-10:GRAPHIC:SS T-SHIRT</t>
  </si>
  <si>
    <t>SS T-SHIRT TYRANNOSAURUS KIDEW2507:OLIVE:11-12:GRAPHIC:SS T-SHIRT</t>
  </si>
  <si>
    <t>KIDEW2509</t>
  </si>
  <si>
    <t>SS T-SHIRT KONTRUKSI ROKET KIDEW2509:PASTEL GREY:5-6:GRAPHIC:SS T-SHIRT</t>
  </si>
  <si>
    <t>SS T-SHIRT KONTRUKSI ROKET KIDEW2509:PASTEL GREY:7-8:GRAPHIC:SS T-SHIRT</t>
  </si>
  <si>
    <t>SS T-SHIRT KONTRUKSI ROKET KIDEW2509:PASTEL GREY:9-10:GRAPHIC:SS T-SHIRT</t>
  </si>
  <si>
    <t>SS T-SHIRT KONTRUKSI ROKET KIDEW2509:PASTEL GREY:11-12:GRAPHIC:SS T-SHIRT</t>
  </si>
  <si>
    <t>KIDEW2510</t>
  </si>
  <si>
    <t>SS T-SHIRT CAR FRAME KIDEW2510:PASTEL BLUE:5-6:GRAPHIC:SS T-SHIRT</t>
  </si>
  <si>
    <t>SS T-SHIRT CAR FRAME KIDEW2510:PASTEL BLUE:7-8:GRAPHIC:SS T-SHIRT</t>
  </si>
  <si>
    <t>SS T-SHIRT CAR FRAME KIDEW2510:PASTEL BLUE:9-10:GRAPHIC:SS T-SHIRT</t>
  </si>
  <si>
    <t>SS T-SHIRT CAR FRAME KIDEW2510:PASTEL BLUE:11-12:GRAPHIC:SS T-SHIRT</t>
  </si>
  <si>
    <t>KIPHC2501S</t>
  </si>
  <si>
    <t>SS T-SHIRT SPORT BALLS KIPHC2501S:CLASSIC BLUE:5-6:GRAPHIC:SS T-SHIRT</t>
  </si>
  <si>
    <t>SS T-SHIRT SPORT BALLS KIPHC2501S:CLASSIC BLUE:7-8:GRAPHIC:SS T-SHIRT</t>
  </si>
  <si>
    <t>SS T-SHIRT SPORT BALLS KIPHC2501S:CLASSIC BLUE:9-10:GRAPHIC:SS T-SHIRT</t>
  </si>
  <si>
    <t>SS T-SHIRT SPORT BALLS KIPHC2501S:CLASSIC BLUE:11-12:GRAPHIC:SS T-SHIRT</t>
  </si>
  <si>
    <t>KIPHC2502S</t>
  </si>
  <si>
    <t>SS T-SHIRT CAR 4X4 KIPHC2502S:OFF WHITE:5-6:GRAPHIC:SS T-SHIRT</t>
  </si>
  <si>
    <t>SS T-SHIRT CAR 4X4 KIPHC2502S:OFF WHITE:7-8:GRAPHIC:SS T-SHIRT</t>
  </si>
  <si>
    <t>SS T-SHIRT CAR 4X4 KIPHC2502S:OFF WHITE:9-10:GRAPHIC:SS T-SHIRT</t>
  </si>
  <si>
    <t>SS T-SHIRT CAR 4X4 KIPHC2502S:OFF WHITE:11-12:GRAPHIC:SS T-SHIRT</t>
  </si>
  <si>
    <t>KIPHC2503S</t>
  </si>
  <si>
    <t>SS T-SHIRT DINO SKATE THE CITY KIPHC2503S:RUSTIC BROWN:5-6:GRAPHIC:SS T-SHIRT</t>
  </si>
  <si>
    <t>SS T-SHIRT DINO SKATE THE CITY KIPHC2503S:RUSTIC BROWN:7-8:GRAPHIC:SS T-SHIRT</t>
  </si>
  <si>
    <t>SS T-SHIRT DINO SKATE THE CITY KIPHC2503S:RUSTIC BROWN:9-10:GRAPHIC:SS T-SHIRT</t>
  </si>
  <si>
    <t>SS T-SHIRT DINO SKATE THE CITY KIPHC2503S:RUSTIC BROWN:11-12:GRAPHIC:SS T-SHIRT</t>
  </si>
  <si>
    <t>KIPHC2504S</t>
  </si>
  <si>
    <t>SS T-SHIRT TREX ROAR SOME KIPHC2504S:OLIVE:5-6:GRAPHIC:SS T-SHIRT</t>
  </si>
  <si>
    <t>SS T-SHIRT TREX ROAR SOME KIPHC2504S:OLIVE:7-8:GRAPHIC:SS T-SHIRT</t>
  </si>
  <si>
    <t>SS T-SHIRT TREX ROAR SOME KIPHC2504S:OLIVE:9-10:GRAPHIC:SS T-SHIRT</t>
  </si>
  <si>
    <t>SS T-SHIRT TREX ROAR SOME KIPHC2504S:OLIVE:11-12:GRAPHIC:SS T-SHIRT</t>
  </si>
  <si>
    <t>BTASD1</t>
  </si>
  <si>
    <t>DENIM SHORT PANTS KANCING DEPAN POCKET CARGO TEMPEL BTASD1:DARK DENIM:9-10:SOLID:DENIM SHORT PANTS</t>
  </si>
  <si>
    <t>DENIM SHORT PANTS KANCING DEPAN POCKET CARGO TEMPEL BTASD1:DARK DENIM:11-12:SOLID:DENIM SHORT PANTS</t>
  </si>
  <si>
    <t>DENIM SHORT PANTS KANCING DEPAN POCKET CARGO TEMPEL BTASD1:DARK DENIM:13-14:SOLID:DENIM SHORT PANTS</t>
  </si>
  <si>
    <t>DENIM SHORT PANTS KANCING DEPAN POCKET CARGO TEMPEL BTASD1:DARK DENIM:15-16:SOLID:DENIM SHORT PANTS</t>
  </si>
  <si>
    <t>BTASD2</t>
  </si>
  <si>
    <t>DENIM SHORT PANTS WASHED PINGGANG KOMBINASI KARET CARGO 3D BTASD2:LIGHT DENIM:9-10:SOLID:DENIM SHORT</t>
  </si>
  <si>
    <t>DENIM SHORT PANTS WASHED PINGGANG KOMBINASI KARET CARGO 3D BTASD2:LIGHT DENIM:11-12:SOLID:DENIM SHOR</t>
  </si>
  <si>
    <t>DENIM SHORT PANTS WASHED PINGGANG KOMBINASI KARET CARGO 3D BTASD2:LIGHT DENIM:13-14:SOLID:DENIM SHOR</t>
  </si>
  <si>
    <t>DENIM SHORT PANTS WASHED PINGGANG KOMBINASI KARET CARGO 3D BTASD2:LIGHT DENIM:15-16:SOLID:DENIM SHOR</t>
  </si>
  <si>
    <t>BTASD3</t>
  </si>
  <si>
    <t>DENIM SHORT PANTS WASHED PINGGANG FULL KARET CARGO 3D BTASD3:MEDIUM DENIM:9-10:SOLID:DENIM SHORT PAN</t>
  </si>
  <si>
    <t>DENIM SHORT PANTS WASHED PINGGANG FULL KARET CARGO 3D BTASD3:MEDIUM DENIM:11-12:SOLID:DENIM SHORT PA</t>
  </si>
  <si>
    <t>DENIM SHORT PANTS WASHED PINGGANG FULL KARET CARGO 3D BTASD3:MEDIUM DENIM:13-14:SOLID:DENIM SHORT PA</t>
  </si>
  <si>
    <t>DENIM SHORT PANTS WASHED PINGGANG FULL KARET CARGO 3D BTASD3:MEDIUM DENIM:15-16:SOLID:DENIM SHORT PA</t>
  </si>
  <si>
    <t>ADATWILL3A</t>
  </si>
  <si>
    <t>SHORT PANTS WOVEN TWILL STRETCH CARGO ADATWILL3A:VANILLA:9-10:SOLID:SHORT PANTS</t>
  </si>
  <si>
    <t>SHORT PANTS WOVEN TWILL STRETCH CARGO ADATWILL3A:VANILLA:11-12:SOLID:SHORT PANTS</t>
  </si>
  <si>
    <t>SHORT PANTS WOVEN TWILL STRETCH CARGO ADATWILL3A:VANILLA:13-14:SOLID:SHORT PANTS</t>
  </si>
  <si>
    <t>SHORT PANTS WOVEN TWILL STRETCH CARGO ADATWILL3A:VANILLA:15-16:SOLID:SHORT PANTS</t>
  </si>
  <si>
    <t>ADATWILL3B</t>
  </si>
  <si>
    <t>SHORT PANTS WOVEN TWILL STRETCH CARGO ADATWILL3B:TAUPE GREY:9-10:SOLID:SHORT PANTS</t>
  </si>
  <si>
    <t>SHORT PANTS WOVEN TWILL STRETCH CARGO ADATWILL3B:TAUPE GREY:11-12:SOLID:SHORT PANTS</t>
  </si>
  <si>
    <t>SHORT PANTS WOVEN TWILL STRETCH CARGO ADATWILL3B:TAUPE GREY:13-14:SOLID:SHORT PANTS</t>
  </si>
  <si>
    <t>SHORT PANTS WOVEN TWILL STRETCH CARGO ADATWILL3B:TAUPE GREY:15-16:SOLID:SHORT PANTS</t>
  </si>
  <si>
    <t>ADATWILL3C</t>
  </si>
  <si>
    <t>SHORT PANTS WOVEN TWILL STRETCH CARGO ADATWILL3C:CHARCOAL:9-10:SOLID:SHORT PANTS</t>
  </si>
  <si>
    <t>SHORT PANTS WOVEN TWILL STRETCH CARGO ADATWILL3C:CHARCOAL:11-12:SOLID:SHORT PANTS</t>
  </si>
  <si>
    <t>SHORT PANTS WOVEN TWILL STRETCH CARGO ADATWILL3C:CHARCOAL:13-14:SOLID:SHORT PANTS</t>
  </si>
  <si>
    <t>SHORT PANTS WOVEN TWILL STRETCH CARGO ADATWILL3C:CHARCOAL:15-16:SOLID:SHORT PANTS</t>
  </si>
  <si>
    <t>ADATWILL4A</t>
  </si>
  <si>
    <t>SHORT PANTS WOVEN TWILL STRETCH CARGO ADATWILL4A:BROWN SUGAR:9-10:SOLID:SHORT PANTS</t>
  </si>
  <si>
    <t>SHORT PANTS WOVEN TWILL STRETCH CARGO ADATWILL4A:BROWN SUGAR:11-12:SOLID:SHORT PANTS</t>
  </si>
  <si>
    <t>SHORT PANTS WOVEN TWILL STRETCH CARGO ADATWILL4A:BROWN SUGAR:13-14:SOLID:SHORT PANTS</t>
  </si>
  <si>
    <t>SHORT PANTS WOVEN TWILL STRETCH CARGO ADATWILL4A:BROWN SUGAR:15-16:SOLID:SHORT PANTS</t>
  </si>
  <si>
    <t>ADATWILL4B</t>
  </si>
  <si>
    <t>SHORT PANTS WOVEN TWILL STRETCH CARGO ADATWILL4B:OLIVE:9-10:SOLID:SHORT PANTS</t>
  </si>
  <si>
    <t>SHORT PANTS WOVEN TWILL STRETCH CARGO ADATWILL4B:OLIVE:11-12:SOLID:SHORT PANTS</t>
  </si>
  <si>
    <t>SHORT PANTS WOVEN TWILL STRETCH CARGO ADATWILL4B:OLIVE:13-14:SOLID:SHORT PANTS</t>
  </si>
  <si>
    <t>SHORT PANTS WOVEN TWILL STRETCH CARGO ADATWILL4B:OLIVE:15-16:SOLID:SHORT PANTS</t>
  </si>
  <si>
    <t>ADATWILL4C</t>
  </si>
  <si>
    <t>SHORT PANTS WOVEN TWILL STRETCH CARGO ADATWILL4C:BLACK:9-10:SOLID:SHORT PANTS</t>
  </si>
  <si>
    <t>SHORT PANTS WOVEN TWILL STRETCH CARGO ADATWILL4C:BLACK:11-12:SOLID:SHORT PANTS</t>
  </si>
  <si>
    <t>SHORT PANTS WOVEN TWILL STRETCH CARGO ADATWILL4C:BLACK:13-14:SOLID:SHORT PANTS</t>
  </si>
  <si>
    <t>SHORT PANTS WOVEN TWILL STRETCH CARGO ADATWILL4C:BLACK:15-16:SOLID:SHORT PANTS</t>
  </si>
  <si>
    <t>KITNOXF1</t>
  </si>
  <si>
    <t>SHORT PANTS KI OXFORD LENO KARET CROP WOVEN SOLID KITNOXF1:CACTUS GREEN:9-10:SOLID:SHORT PANTS</t>
  </si>
  <si>
    <t>SHORT PANTS KI OXFORD LENO KARET CROP WOVEN SOLID KITNOXF1:CACTUS GREEN:11-12:SOLID:SHORT PANTS</t>
  </si>
  <si>
    <t>SHORT PANTS KI OXFORD LENO KARET CROP WOVEN SOLID KITNOXF1:CACTUS GREEN:13-14:SOLID:SHORT PANTS</t>
  </si>
  <si>
    <t>SHORT PANTS KI OXFORD LENO KARET CROP WOVEN SOLID KITNOXF1:CACTUS GREEN:15-16:SOLID:SHORT PANTS</t>
  </si>
  <si>
    <t>KITNOXF2</t>
  </si>
  <si>
    <t>SHORT PANTS KI OXFORD LENO KARET CROP WOVEN SOLID KITNOXF2:BLACK:9-10:SOLID:SHORT PANTS</t>
  </si>
  <si>
    <t>SHORT PANTS KI OXFORD LENO KARET CROP WOVEN SOLID KITNOXF2:BLACK:11-12:SOLID:SHORT PANTS</t>
  </si>
  <si>
    <t>SHORT PANTS KI OXFORD LENO KARET CROP WOVEN SOLID KITNOXF2:BLACK:13-14:SOLID:SHORT PANTS</t>
  </si>
  <si>
    <t>SHORT PANTS KI OXFORD LENO KARET CROP WOVEN SOLID KITNOXF2:BLACK:15-16:SOLID:SHORT PANTS</t>
  </si>
  <si>
    <t>KITNOXF3</t>
  </si>
  <si>
    <t>SHORT PANTS KI OXFORD LENO KARET CROP WOVEN SOLID KITNOXF3:CLASSIC BLUE:9-10:SOLID:SHORT PANTS</t>
  </si>
  <si>
    <t>SHORT PANTS KI OXFORD LENO KARET CROP WOVEN SOLID KITNOXF3:CLASSIC BLUE:11-12:SOLID:SHORT PANTS</t>
  </si>
  <si>
    <t>SHORT PANTS KI OXFORD LENO KARET CROP WOVEN SOLID KITNOXF3:CLASSIC BLUE:13-14:SOLID:SHORT PANTS</t>
  </si>
  <si>
    <t>SHORT PANTS KI OXFORD LENO KARET CROP WOVEN SOLID KITNOXF3:CLASSIC BLUE:15-16:SOLID:SHORT PANTS</t>
  </si>
  <si>
    <t>KITNOXF4</t>
  </si>
  <si>
    <t>SHORT PANTS KI OXFORD LENO KARET CROP WOVEN SOLID KITNOXF4:PASTEL GREEN:9-10:SOLID:SHORT PANTS</t>
  </si>
  <si>
    <t>SHORT PANTS KI OXFORD LENO KARET CROP WOVEN SOLID KITNOXF4:PASTEL GREEN:11-12:SOLID:SHORT PANTS</t>
  </si>
  <si>
    <t>SHORT PANTS KI OXFORD LENO KARET CROP WOVEN SOLID KITNOXF4:PASTEL GREEN:13-14:SOLID:SHORT PANTS</t>
  </si>
  <si>
    <t>SHORT PANTS KI OXFORD LENO KARET CROP WOVEN SOLID KITNOXF4:PASTEL GREEN:15-16:SOLID:SHORT PANTS</t>
  </si>
  <si>
    <t>KITNOXF5</t>
  </si>
  <si>
    <t>SHORT PANTS KI OXFORD LENO KARET CROP WOVEN SOLID KITNOXF5:PASTEL GREY:9-10:SOLID:SHORT PANTS</t>
  </si>
  <si>
    <t>SHORT PANTS KI OXFORD LENO KARET CROP WOVEN SOLID KITNOXF5:PASTEL GREY:11-12:SOLID:SHORT PANTS</t>
  </si>
  <si>
    <t>SHORT PANTS KI OXFORD LENO KARET CROP WOVEN SOLID KITNOXF5:PASTEL GREY:13-14:SOLID:SHORT PANTS</t>
  </si>
  <si>
    <t>SHORT PANTS KI OXFORD LENO KARET CROP WOVEN SOLID KITNOXF5:PASTEL GREY:15-16:SOLID:SHORT PANTS</t>
  </si>
  <si>
    <t>CWAD1</t>
  </si>
  <si>
    <t>SHORT PANTS WOVEN BABY NYLON 3D POCKET CWAD1:KHAKI:9-10:SOLID:SHORT PANTS</t>
  </si>
  <si>
    <t>SHORT PANTS WOVEN BABY NYLON 3D POCKET CWAD1:KHAKI:11-12:SOLID:SHORT PANTS</t>
  </si>
  <si>
    <t>SHORT PANTS WOVEN BABY NYLON 3D POCKET CWAD1:KHAKI:13-14:SOLID:SHORT PANTS</t>
  </si>
  <si>
    <t>SHORT PANTS WOVEN BABY NYLON 3D POCKET CWAD1:KHAKI:15-16:SOLID:SHORT PANTS</t>
  </si>
  <si>
    <t>SHORT PANTS WOVEN BABY NYLON 3D POCKET CWAD1:FROST GREY:9-10:SOLID:SHORT PANTS</t>
  </si>
  <si>
    <t>SHORT PANTS WOVEN BABY NYLON 3D POCKET CWAD1:FROST GREY:11-12:SOLID:SHORT PANTS</t>
  </si>
  <si>
    <t>SHORT PANTS WOVEN BABY NYLON 3D POCKET CWAD1:FROST GREY:13-14:SOLID:SHORT PANTS</t>
  </si>
  <si>
    <t>SHORT PANTS WOVEN BABY NYLON 3D POCKET CWAD1:FROST GREY:15-16:SOLID:SHORT PANTS</t>
  </si>
  <si>
    <t>SHORT PANTS WOVEN BABY NYLON 3D POCKET CWAD1:CACTUS GREEN:9-10:SOLID:SHORT PANTS</t>
  </si>
  <si>
    <t>SHORT PANTS WOVEN BABY NYLON 3D POCKET CWAD1:CACTUS GREEN:11-12:SOLID:SHORT PANTS</t>
  </si>
  <si>
    <t>SHORT PANTS WOVEN BABY NYLON 3D POCKET CWAD1:CACTUS GREEN:13-14:SOLID:SHORT PANTS</t>
  </si>
  <si>
    <t>SHORT PANTS WOVEN BABY NYLON 3D POCKET CWAD1:CACTUS GREEN:15-16:SOLID:SHORT PANTS</t>
  </si>
  <si>
    <t>KITNSW1B</t>
  </si>
  <si>
    <t>SHORT PANTS KI CROP WOVEN BABY CANVAS KARET KITNSW1B:CLASSIC BLUE:9-10:SOLID:SHORT PANTS</t>
  </si>
  <si>
    <t>SHORT PANTS KI CROP WOVEN BABY CANVAS KARET KITNSW1B:CLASSIC BLUE:11-12:SOLID:SHORT PANTS</t>
  </si>
  <si>
    <t>SHORT PANTS KI CROP WOVEN BABY CANVAS KARET KITNSW1B:CLASSIC BLUE:13-14:SOLID:SHORT PANTS</t>
  </si>
  <si>
    <t>SHORT PANTS KI CROP WOVEN BABY CANVAS KARET KITNSW1B:CLASSIC BLUE:15-16:SOLID:SHORT PANTS</t>
  </si>
  <si>
    <t>KITNSW1C</t>
  </si>
  <si>
    <t>SHORT PANTS KI CROP WOVEN BABY CANVAS KARET KITNSW1C:KHAKI:9-10:SOLID:SHORT PANTS</t>
  </si>
  <si>
    <t>SHORT PANTS KI CROP WOVEN BABY CANVAS KARET KITNSW1C:KHAKI:11-12:SOLID:SHORT PANTS</t>
  </si>
  <si>
    <t>SHORT PANTS KI CROP WOVEN BABY CANVAS KARET KITNSW1C:KHAKI:13-14:SOLID:SHORT PANTS</t>
  </si>
  <si>
    <t>SHORT PANTS KI CROP WOVEN BABY CANVAS KARET KITNSW1C:KHAKI:15-16:SOLID:SHORT PANTS</t>
  </si>
  <si>
    <t>KITNSW1F</t>
  </si>
  <si>
    <t>SHORT PANTS KI CROP WOVEN BABY CANVAS KARET KITNSW1F:NAVY BLUE:9-10:SOLID:SHORT PANTS</t>
  </si>
  <si>
    <t>SHORT PANTS KI CROP WOVEN BABY CANVAS KARET KITNSW1F:NAVY BLUE:11-12:SOLID:SHORT PANTS</t>
  </si>
  <si>
    <t>SHORT PANTS KI CROP WOVEN BABY CANVAS KARET KITNSW1F:NAVY BLUE:13-14:SOLID:SHORT PANTS</t>
  </si>
  <si>
    <t>SHORT PANTS KI CROP WOVEN BABY CANVAS KARET KITNSW1F:NAVY BLUE:15-16:SOLID:SHORT PANTS</t>
  </si>
  <si>
    <t>KITNSW2A</t>
  </si>
  <si>
    <t>SHORT PANTS KI CROP WOVEN TWILL WITH RIB KITNSW2A:BLACK:9-10:SOLID:SHORT PANTS</t>
  </si>
  <si>
    <t>SHORT PANTS KI CROP WOVEN TWILL WITH RIB KITNSW2A:BLACK:11-12:SOLID:SHORT PANTS</t>
  </si>
  <si>
    <t>SHORT PANTS KI CROP WOVEN TWILL WITH RIB KITNSW2A:BLACK:13-14:SOLID:SHORT PANTS</t>
  </si>
  <si>
    <t>SHORT PANTS KI CROP WOVEN TWILL WITH RIB KITNSW2A:BLACK:15-16:SOLID:SHORT PANTS</t>
  </si>
  <si>
    <t>KITNSW2B</t>
  </si>
  <si>
    <t>SHORT PANTS KI CROP WOVEN TWILL WITH RIB KITNSW2B:GOLDEN BROWN:9-10:SOLID:SHORT PANTS</t>
  </si>
  <si>
    <t>SHORT PANTS KI CROP WOVEN TWILL WITH RIB KITNSW2B:GOLDEN BROWN:11-12:SOLID:SHORT PANTS</t>
  </si>
  <si>
    <t>SHORT PANTS KI CROP WOVEN TWILL WITH RIB KITNSW2B:GOLDEN BROWN:13-14:SOLID:SHORT PANTS</t>
  </si>
  <si>
    <t>SHORT PANTS KI CROP WOVEN TWILL WITH RIB KITNSW2B:GOLDEN BROWN:15-16:SOLID:SHORT PANTS</t>
  </si>
  <si>
    <t>KITNSW2C</t>
  </si>
  <si>
    <t>SHORT PANTS KI CROP WOVEN TWILL WITH RIB KITNSW2C:OLIVE:9-10:SOLID:SHORT PANTS</t>
  </si>
  <si>
    <t>SHORT PANTS KI CROP WOVEN TWILL WITH RIB KITNSW2C:OLIVE:11-12:SOLID:SHORT PANTS</t>
  </si>
  <si>
    <t>SHORT PANTS KI CROP WOVEN TWILL WITH RIB KITNSW2C:OLIVE:13-14:SOLID:SHORT PANTS</t>
  </si>
  <si>
    <t>SHORT PANTS KI CROP WOVEN TWILL WITH RIB KITNSW2C:OLIVE:15-16:SOLID:SHORT PANTS</t>
  </si>
  <si>
    <t>KITNSW4A</t>
  </si>
  <si>
    <t>SHORT PANTS KI CROP WOVEN TWILL RIB WITH CARGO KITNSW4A:OLIVE:9-10:SOLID:SHORT PANTS</t>
  </si>
  <si>
    <t>SHORT PANTS KI CROP WOVEN TWILL RIB WITH CARGO KITNSW4A:OLIVE:11-12:SOLID:SHORT PANTS</t>
  </si>
  <si>
    <t>SHORT PANTS KI CROP WOVEN TWILL RIB WITH CARGO KITNSW4A:OLIVE:13-14:SOLID:SHORT PANTS</t>
  </si>
  <si>
    <t>SHORT PANTS KI CROP WOVEN TWILL RIB WITH CARGO KITNSW4A:OLIVE:15-16:SOLID:SHORT PANTS</t>
  </si>
  <si>
    <t>KITNSW4B</t>
  </si>
  <si>
    <t>SHORT PANTS KI CROP WOVEN TWILL RIB WITH CARGO KITNSW4B:CACTUS GREEN:9-10:SOLID:SHORT PANTS</t>
  </si>
  <si>
    <t>SHORT PANTS KI CROP WOVEN TWILL RIB WITH CARGO KITNSW4B:CACTUS GREEN:11-12:SOLID:SHORT PANTS</t>
  </si>
  <si>
    <t>SHORT PANTS KI CROP WOVEN TWILL RIB WITH CARGO KITNSW4B:CACTUS GREEN:13-14:SOLID:SHORT PANTS</t>
  </si>
  <si>
    <t>SHORT PANTS KI CROP WOVEN TWILL RIB WITH CARGO KITNSW4B:CACTUS GREEN:15-16:SOLID:SHORT PANTS</t>
  </si>
  <si>
    <t>KITNSW4C</t>
  </si>
  <si>
    <t>SHORT PANTS KI CROP WOVEN TWILL RIB WITH CARGO KITNSW4C:VANILLA:9-10:SOLID:SHORT PANTS</t>
  </si>
  <si>
    <t>SHORT PANTS KI CROP WOVEN TWILL RIB WITH CARGO KITNSW4C:VANILLA:11-12:SOLID:SHORT PANTS</t>
  </si>
  <si>
    <t>SHORT PANTS KI CROP WOVEN TWILL RIB WITH CARGO KITNSW4C:VANILLA:13-14:SOLID:SHORT PANTS</t>
  </si>
  <si>
    <t>SHORT PANTS KI CROP WOVEN TWILL RIB WITH CARGO KITNSW4C:VANILLA:15-16:SOLID:SHORT PANTS</t>
  </si>
  <si>
    <t>KITNSW1A</t>
  </si>
  <si>
    <t>SHORT PANTS KI CROP WOVEN BABY CANVAS KARET KITNSW1A:VANILLA:9-10:SOLID:SHORT PANTS</t>
  </si>
  <si>
    <t>SHORT PANTS KI CROP WOVEN BABY CANVAS KARET KITNSW1A:VANILLA:11-12:SOLID:SHORT PANTS</t>
  </si>
  <si>
    <t>SHORT PANTS KI CROP WOVEN BABY CANVAS KARET KITNSW1A:VANILLA:13-14:SOLID:SHORT PANTS</t>
  </si>
  <si>
    <t>SHORT PANTS KI CROP WOVEN BABY CANVAS KARET KITNSW1A:VANILLA:15-16:SOLID:SHORT PANTS</t>
  </si>
  <si>
    <t>KITNSW1D</t>
  </si>
  <si>
    <t>SHORT PANTS KI CROP WOVEN BABY CANVAS KARET KITNSW1D:MANDARIN ORANGE:9-10:SOLID:SHORT PANTS</t>
  </si>
  <si>
    <t>SHORT PANTS KI CROP WOVEN BABY CANVAS KARET KITNSW1D:MANDARIN ORANGE:11-12:SOLID:SHORT PANTS</t>
  </si>
  <si>
    <t>SHORT PANTS KI CROP WOVEN BABY CANVAS KARET KITNSW1D:MANDARIN ORANGE:13-14:SOLID:SHORT PANTS</t>
  </si>
  <si>
    <t>SHORT PANTS KI CROP WOVEN BABY CANVAS KARET KITNSW1D:MANDARIN ORANGE:15-16:SOLID:SHORT PANTS</t>
  </si>
  <si>
    <t>KITNSW1E</t>
  </si>
  <si>
    <t>SHORT PANTS KI CROP WOVEN BABY CANVAS KARET KITNSW1E:CHARCOAL:9-10:SOLID:SHORT PANTS</t>
  </si>
  <si>
    <t>SHORT PANTS KI CROP WOVEN BABY CANVAS KARET KITNSW1E:CHARCOAL:11-12:SOLID:SHORT PANTS</t>
  </si>
  <si>
    <t>SHORT PANTS KI CROP WOVEN BABY CANVAS KARET KITNSW1E:CHARCOAL:13-14:SOLID:SHORT PANTS</t>
  </si>
  <si>
    <t>SHORT PANTS KI CROP WOVEN BABY CANVAS KARET KITNSW1E:CHARCOAL:15-16:SOLID:SHORT PANTS</t>
  </si>
  <si>
    <t>KITNSW3A</t>
  </si>
  <si>
    <t>SHORT PANTS KI CROP WOVEN RIBSTOP/YOSHI LOOKS KITNSW3A:KHAKI:9-10:SOLID:SHORT PANTS</t>
  </si>
  <si>
    <t>SHORT PANTS KI CROP WOVEN RIBSTOP/YOSHI LOOKS KITNSW3A:KHAKI:11-12:SOLID:SHORT PANTS</t>
  </si>
  <si>
    <t>SHORT PANTS KI CROP WOVEN RIBSTOP/YOSHI LOOKS KITNSW3A:KHAKI:13-14:SOLID:SHORT PANTS</t>
  </si>
  <si>
    <t>SHORT PANTS KI CROP WOVEN RIBSTOP/YOSHI LOOKS KITNSW3A:KHAKI:15-16:SOLID:SHORT PANTS</t>
  </si>
  <si>
    <t>KITNSW3B</t>
  </si>
  <si>
    <t>SHORT PANTS KI CROP WOVEN RIBSTOP/YOSHI LOOKS KITNSW3B:CLASSIC GREEN:9-10:SOLID:SHORT PANTS</t>
  </si>
  <si>
    <t>SHORT PANTS KI CROP WOVEN RIBSTOP/YOSHI LOOKS KITNSW3B:CLASSIC GREEN:11-12:SOLID:SHORT PANTS</t>
  </si>
  <si>
    <t>SHORT PANTS KI CROP WOVEN RIBSTOP/YOSHI LOOKS KITNSW3B:CLASSIC GREEN:13-14:SOLID:SHORT PANTS</t>
  </si>
  <si>
    <t>SHORT PANTS KI CROP WOVEN RIBSTOP/YOSHI LOOKS KITNSW3B:CLASSIC GREEN:15-16:SOLID:SHORT PANTS</t>
  </si>
  <si>
    <t>KITNSW3C</t>
  </si>
  <si>
    <t>SHORT PANTS KI CROP WOVEN RIBSTOP/YOSHI LOOKS KITNSW3C:CHARCOAL:9-10:SOLID:SHORT PANTS</t>
  </si>
  <si>
    <t>SHORT PANTS KI CROP WOVEN RIBSTOP/YOSHI LOOKS KITNSW3C:CHARCOAL:11-12:SOLID:SHORT PANTS</t>
  </si>
  <si>
    <t>SHORT PANTS KI CROP WOVEN RIBSTOP/YOSHI LOOKS KITNSW3C:CHARCOAL:13-14:SOLID:SHORT PANTS</t>
  </si>
  <si>
    <t>SHORT PANTS KI CROP WOVEN RIBSTOP/YOSHI LOOKS KITNSW3C:CHARCOAL:15-16:SOLID:SHORT PANTS</t>
  </si>
  <si>
    <t>FLDNCPD1</t>
  </si>
  <si>
    <t>DENIM SHORT PANTS SCRUB FLDNCPD1:LIGHT DENIM:5-6:SOLID:DENIM SHORT PANTS</t>
  </si>
  <si>
    <t>DENIM SHORT PANTS SCRUB FLDNCPD1:LIGHT DENIM:7-8:SOLID:DENIM SHORT PANTS</t>
  </si>
  <si>
    <t>DENIM SHORT PANTS SCRUB FLDNCPD1:LIGHT DENIM:9-10:SOLID:DENIM SHORT PANTS</t>
  </si>
  <si>
    <t>DENIM SHORT PANTS SCRUB FLDNCPD1:LIGHT DENIM:11-12:SOLID:DENIM SHORT PANTS</t>
  </si>
  <si>
    <t>PSNEXT01</t>
  </si>
  <si>
    <t>SHORT PANTS NEXT CARGO PSNEXT01:VANILLA:5-6:SOLID:SHORT PANTS</t>
  </si>
  <si>
    <t>SHORT PANTS NEXT CARGO PSNEXT01:VANILLA:7-8:SOLID:SHORT PANTS</t>
  </si>
  <si>
    <t>SHORT PANTS NEXT CARGO PSNEXT01:VANILLA:9-10:SOLID:SHORT PANTS</t>
  </si>
  <si>
    <t>SHORT PANTS NEXT CARGO PSNEXT01:VANILLA:11-12:SOLID:SHORT PANTS</t>
  </si>
  <si>
    <t>PSNEXT02</t>
  </si>
  <si>
    <t>SHORT PANTS NEXT CARGO PSNEXT02:SAND:5-6:SOLID:SHORT PANTS</t>
  </si>
  <si>
    <t>SHORT PANTS NEXT CARGO PSNEXT02:SAND:7-8:SOLID:SHORT PANTS</t>
  </si>
  <si>
    <t>SHORT PANTS NEXT CARGO PSNEXT02:SAND:9-10:SOLID:SHORT PANTS</t>
  </si>
  <si>
    <t>SHORT PANTS NEXT CARGO PSNEXT02:SAND:11-12:SOLID:SHORT PANTS</t>
  </si>
  <si>
    <t>PSNEXT05</t>
  </si>
  <si>
    <t>SHORT PANTS BSC WAHSHING PSNEXT05:KHAKI:5-6:SOLID:SHORT PANTS</t>
  </si>
  <si>
    <t>SHORT PANTS BSC WAHSHING PSNEXT05:KHAKI:7-8:SOLID:SHORT PANTS</t>
  </si>
  <si>
    <t>SHORT PANTS BSC WAHSHING PSNEXT05:KHAKI:9-10:SOLID:SHORT PANTS</t>
  </si>
  <si>
    <t>SHORT PANTS BSC WAHSHING PSNEXT05:KHAKI:11-12:SOLID:SHORT PANTS</t>
  </si>
  <si>
    <t>PSNEXT06</t>
  </si>
  <si>
    <t>SHORT PANTS BSC WAHSHING PSNEXT06:PEPPERMINT:5-6:SOLID:SHORT PANTS</t>
  </si>
  <si>
    <t>SHORT PANTS BSC WAHSHING PSNEXT06:PEPPERMINT:7-8:SOLID:SHORT PANTS</t>
  </si>
  <si>
    <t>SHORT PANTS BSC WAHSHING PSNEXT06:PEPPERMINT:9-10:SOLID:SHORT PANTS</t>
  </si>
  <si>
    <t>SHORT PANTS BSC WAHSHING PSNEXT06:PEPPERMINT:11-12:SOLID:SHORT PANTS</t>
  </si>
  <si>
    <t>PSNEXT07</t>
  </si>
  <si>
    <t>SHORT PANTS BSC WAHSHING PSNEXT07:RUSTIC BROWN:5-6:SOLID:SHORT PANTS</t>
  </si>
  <si>
    <t>SHORT PANTS BSC WAHSHING PSNEXT07:RUSTIC BROWN:7-8:SOLID:SHORT PANTS</t>
  </si>
  <si>
    <t>SHORT PANTS BSC WAHSHING PSNEXT07:RUSTIC BROWN:9-10:SOLID:SHORT PANTS</t>
  </si>
  <si>
    <t>SHORT PANTS BSC WAHSHING PSNEXT07:RUSTIC BROWN:11-12:SOLID:SHORT PANTS</t>
  </si>
  <si>
    <t>PSNEXT08</t>
  </si>
  <si>
    <t>SHORT PANTS KTG WAHSHING PSNEXT08:FROST GREY:5-6:SOLID:SHORT PANTS</t>
  </si>
  <si>
    <t>SHORT PANTS KTG WAHSHING PSNEXT08:FROST GREY:7-8:SOLID:SHORT PANTS</t>
  </si>
  <si>
    <t>SHORT PANTS KTG WAHSHING PSNEXT08:FROST GREY:9-10:SOLID:SHORT PANTS</t>
  </si>
  <si>
    <t>SHORT PANTS KTG WAHSHING PSNEXT08:FROST GREY:11-12:SOLID:SHORT PANTS</t>
  </si>
  <si>
    <t>PSNEXT09</t>
  </si>
  <si>
    <t>SHORT PANTS KTG WAHSHING PSNEXT09:OLIVE:5-6:SOLID:SHORT PANTS</t>
  </si>
  <si>
    <t>SHORT PANTS KTG WAHSHING PSNEXT09:OLIVE:7-8:SOLID:SHORT PANTS</t>
  </si>
  <si>
    <t>SHORT PANTS KTG WAHSHING PSNEXT09:OLIVE:9-10:SOLID:SHORT PANTS</t>
  </si>
  <si>
    <t>SHORT PANTS KTG WAHSHING PSNEXT09:OLIVE:11-12:SOLID:SHORT PANTS</t>
  </si>
  <si>
    <t>PSNEXT10</t>
  </si>
  <si>
    <t>SHORT PANTS KTG TUTUP WASH PSNEXT10:KHAKI:5-6:SOLID:SHORT PANTS</t>
  </si>
  <si>
    <t>SHORT PANTS KTG TUTUP WASH PSNEXT10:KHAKI:7-8:SOLID:SHORT PANTS</t>
  </si>
  <si>
    <t>SHORT PANTS KTG TUTUP WASH PSNEXT10:KHAKI:9-10:SOLID:SHORT PANTS</t>
  </si>
  <si>
    <t>SHORT PANTS KTG TUTUP WASH PSNEXT10:KHAKI:11-12:SOLID:SHORT PANTS</t>
  </si>
  <si>
    <t>PSNEXT11</t>
  </si>
  <si>
    <t>SHORT PANTS KTG TUTUP WASH PSNEXT11:OLIVE:5-6:SOLID:SHORT PANTS</t>
  </si>
  <si>
    <t>SHORT PANTS KTG TUTUP WASH PSNEXT11:OLIVE:7-8:SOLID:SHORT PANTS</t>
  </si>
  <si>
    <t>SHORT PANTS KTG TUTUP WASH PSNEXT11:OLIVE:9-10:SOLID:SHORT PANTS</t>
  </si>
  <si>
    <t>SHORT PANTS KTG TUTUP WASH PSNEXT11:OLIVE:11-12:SOLID:SHORT PANTS</t>
  </si>
  <si>
    <t>PSNEXT12</t>
  </si>
  <si>
    <t>SHORT PANTS 3D CARGO KANCING PSNEXT12:SAND:5-6:SOLID:SHORT PANTS</t>
  </si>
  <si>
    <t>SHORT PANTS 3D CARGO KANCING PSNEXT12:SAND:7-8:SOLID:SHORT PANTS</t>
  </si>
  <si>
    <t>SHORT PANTS 3D CARGO KANCING PSNEXT12:SAND:9-10:SOLID:SHORT PANTS</t>
  </si>
  <si>
    <t>SHORT PANTS 3D CARGO KANCING PSNEXT12:SAND:11-12:SOLID:SHORT PANTS</t>
  </si>
  <si>
    <t>PSNEXT13</t>
  </si>
  <si>
    <t>SHORT PANTS 3D CARGO KANCING MODEL 2 PSNEXT13:OLIVE:5-6:SOLID:SHORT PANTS</t>
  </si>
  <si>
    <t>SHORT PANTS 3D CARGO KANCING MODEL 2 PSNEXT13:OLIVE:7-8:SOLID:SHORT PANTS</t>
  </si>
  <si>
    <t>SHORT PANTS 3D CARGO KANCING MODEL 2 PSNEXT13:OLIVE:9-10:SOLID:SHORT PANTS</t>
  </si>
  <si>
    <t>SHORT PANTS 3D CARGO KANCING MODEL 2 PSNEXT13:OLIVE:11-12:SOLID:SHORT PANTS</t>
  </si>
  <si>
    <t>PKGBT1</t>
  </si>
  <si>
    <t>SHORT PANTS TERRY TC 250GSM LOGO PRINT CALIFORNIA PKGBT1:MISTY MEDIUM BROWN:9-10:GRAPHIC:SHORT PANTS</t>
  </si>
  <si>
    <t>SHORT PANTS TERRY TC 250GSM LOGO PRINT CALIFORNIA PKGBT1:MISTY MEDIUM BROWN:11-12:GRAPHIC:SHORT PANT</t>
  </si>
  <si>
    <t>SHORT PANTS TERRY TC 250GSM LOGO PRINT CALIFORNIA PKGBT1:MISTY MEDIUM BROWN:13-14:GRAPHIC:SHORT PANT</t>
  </si>
  <si>
    <t>SHORT PANTS TERRY TC 250GSM LOGO PRINT CALIFORNIA PKGBT1:MISTY MEDIUM BROWN:15-16:GRAPHIC:SHORT PANT</t>
  </si>
  <si>
    <t>PKGBT2</t>
  </si>
  <si>
    <t>SHORT PANTS TERRY TC 250GSM LOGO PRINT MASSACHUSETTS PKGBT2:MISTY MEDIUM BLUE:9-10:GRAPHIC:SHORT PAN</t>
  </si>
  <si>
    <t>SHORT PANTS TERRY TC 250GSM LOGO PRINT MASSACHUSETTS PKGBT2:MISTY MEDIUM BLUE:11-12:GRAPHIC:SHORT PA</t>
  </si>
  <si>
    <t>SHORT PANTS TERRY TC 250GSM LOGO PRINT MASSACHUSETTS PKGBT2:MISTY MEDIUM BLUE:13-14:GRAPHIC:SHORT PA</t>
  </si>
  <si>
    <t>SHORT PANTS TERRY TC 250GSM LOGO PRINT MASSACHUSETTS PKGBT2:MISTY MEDIUM BLUE:15-16:GRAPHIC:SHORT PA</t>
  </si>
  <si>
    <t>PKGBT3</t>
  </si>
  <si>
    <t>SHORT PANTS TERRY TC 250GSM LOGO PRINT WASHINGTON PKGBT3:MISTY DARK GREEN:9-10:GRAPHIC:SHORT PANTS</t>
  </si>
  <si>
    <t>SHORT PANTS TERRY TC 250GSM LOGO PRINT WASHINGTON PKGBT3:MISTY DARK GREEN:11-12:GRAPHIC:SHORT PANTS</t>
  </si>
  <si>
    <t>SHORT PANTS TERRY TC 250GSM LOGO PRINT WASHINGTON PKGBT3:MISTY DARK GREEN:13-14:GRAPHIC:SHORT PANTS</t>
  </si>
  <si>
    <t>SHORT PANTS TERRY TC 250GSM LOGO PRINT WASHINGTON PKGBT3:MISTY DARK GREEN:15-16:GRAPHIC:SHORT PANTS</t>
  </si>
  <si>
    <t>MTODNIO4S</t>
  </si>
  <si>
    <t>SHORT PANTS TERRY DINO ZONE MTODNIO4S:BLACK:5-6:GRAPHIC:SHORT PANTS</t>
  </si>
  <si>
    <t>SHORT PANTS TERRY DINO ZONE MTODNIO4S:BLACK:7-8:GRAPHIC:SHORT PANTS</t>
  </si>
  <si>
    <t>SHORT PANTS TERRY DINO ZONE MTODNIO4S:BLACK:9-10:GRAPHIC:SHORT PANTS</t>
  </si>
  <si>
    <t>SHORT PANTS TERRY DINO ZONE MTODNIO4S:BLACK:11-12:GRAPHIC:SHORT PANTS</t>
  </si>
  <si>
    <t>BTPKGB1</t>
  </si>
  <si>
    <t>SHORT PANTS TERRY TC 250GSM LOGO PRINT CALIFORNIA BTPKGB1:MISTY MEDIUM BROWN:9-10:GRAPHIC:SHORT PANT</t>
  </si>
  <si>
    <t>SHORT PANTS TERRY TC 250GSM LOGO PRINT CALIFORNIA BTPKGB1:MISTY MEDIUM BROWN:11-12:GRAPHIC:SHORT PAN</t>
  </si>
  <si>
    <t>SHORT PANTS TERRY TC 250GSM LOGO PRINT CALIFORNIA BTPKGB1:MISTY MEDIUM BROWN:13-14:GRAPHIC:SHORT PAN</t>
  </si>
  <si>
    <t>SHORT PANTS TERRY TC 250GSM LOGO PRINT CALIFORNIA BTPKGB1:MISTY MEDIUM BROWN:15-16:GRAPHIC:SHORT PAN</t>
  </si>
  <si>
    <t>BTPKGB2</t>
  </si>
  <si>
    <t>SHORT PANTS TERRY TC 250GSM LOGO PRINT MASSACHUSETTS BTPKGB2:CHARCOAL:9-10:GRAPHIC:SHORT PANTS</t>
  </si>
  <si>
    <t>SHORT PANTS TERRY TC 250GSM LOGO PRINT MASSACHUSETTS BTPKGB2:CHARCOAL:11-12:GRAPHIC:SHORT PANTS</t>
  </si>
  <si>
    <t>SHORT PANTS TERRY TC 250GSM LOGO PRINT MASSACHUSETTS BTPKGB2:CHARCOAL:13-14:GRAPHIC:SHORT PANTS</t>
  </si>
  <si>
    <t>SHORT PANTS TERRY TC 250GSM LOGO PRINT MASSACHUSETTS BTPKGB2:CHARCOAL:15-16:GRAPHIC:SHORT PANTS</t>
  </si>
  <si>
    <t>BTPKGB3</t>
  </si>
  <si>
    <t>SHORT PANTS TERRY TC 250GSM LOGO PRINT WASHINGTON BTPKGB3:MISTY DARK GREEN:9-10:GRAPHIC:SHORT PANTS</t>
  </si>
  <si>
    <t>SHORT PANTS TERRY TC 250GSM LOGO PRINT WASHINGTON BTPKGB3:MISTY DARK GREEN:11-12:GRAPHIC:SHORT PANTS</t>
  </si>
  <si>
    <t>SHORT PANTS TERRY TC 250GSM LOGO PRINT WASHINGTON BTPKGB3:MISTY DARK GREEN:13-14:GRAPHIC:SHORT PANTS</t>
  </si>
  <si>
    <t>SHORT PANTS TERRY TC 250GSM LOGO PRINT WASHINGTON BTPKGB3:MISTY DARK GREEN:15-16:GRAPHIC:SHORT PANTS</t>
  </si>
  <si>
    <t>PKGDK1</t>
  </si>
  <si>
    <t>SHORT PANTS DOUBLE KNIT TC 250GSM CUT N SEW CHICAGO 23 PKGDK1:BLACK:9-10:GRAPHIC:SHORT PANTS</t>
  </si>
  <si>
    <t>SHORT PANTS DOUBLE KNIT TC 250GSM CUT N SEW CHICAGO 23 PKGDK1:BLACK:11-12:GRAPHIC:SHORT PANTS</t>
  </si>
  <si>
    <t>SHORT PANTS DOUBLE KNIT TC 250GSM CUT N SEW CHICAGO 23 PKGDK1:BLACK:13-14:GRAPHIC:SHORT PANTS</t>
  </si>
  <si>
    <t>SHORT PANTS DOUBLE KNIT TC 250GSM CUT N SEW CHICAGO 23 PKGDK1:BLACK:15-16:GRAPHIC:SHORT PANTS</t>
  </si>
  <si>
    <t>PKGDK2</t>
  </si>
  <si>
    <t>SHORT PANTS DOUBLE KNIT TC 250GSM CUT N SEW BOSTON 33 PKGDK2:TEAL:9-10:GRAPHIC:SHORT PANTS</t>
  </si>
  <si>
    <t>SHORT PANTS DOUBLE KNIT TC 250GSM CUT N SEW BOSTON 33 PKGDK2:TEAL:11-12:GRAPHIC:SHORT PANTS</t>
  </si>
  <si>
    <t>SHORT PANTS DOUBLE KNIT TC 250GSM CUT N SEW BOSTON 33 PKGDK2:TEAL:13-14:GRAPHIC:SHORT PANTS</t>
  </si>
  <si>
    <t>SHORT PANTS DOUBLE KNIT TC 250GSM CUT N SEW BOSTON 33 PKGDK2:TEAL:15-16:GRAPHIC:SHORT PANTS</t>
  </si>
  <si>
    <t>DEWCRG06</t>
  </si>
  <si>
    <t>SHORT PANTS TERRY CUT SEWN MODEL 1 DEWCRG06:CLASSIC YELLOW:5-6:SOLID:SHORT PANTS</t>
  </si>
  <si>
    <t>SHORT PANTS TERRY CUT SEWN MODEL 1 DEWCRG06:CLASSIC YELLOW:7-8:SOLID:SHORT PANTS</t>
  </si>
  <si>
    <t>SHORT PANTS TERRY CUT SEWN MODEL 1 DEWCRG06:CLASSIC YELLOW:9-10:SOLID:SHORT PANTS</t>
  </si>
  <si>
    <t>SHORT PANTS TERRY CUT SEWN MODEL 1 DEWCRG06:CLASSIC YELLOW:11-12:SOLID:SHORT PANTS</t>
  </si>
  <si>
    <t>DEWCRG07</t>
  </si>
  <si>
    <t>SHORT PANTS TERRY CUT SEWN MODEL 2 DEWCRG07:PASTEL BLUE:5-6:SOLID:SHORT PANTS</t>
  </si>
  <si>
    <t>SHORT PANTS TERRY CUT SEWN MODEL 2 DEWCRG07:PASTEL BLUE:7-8:SOLID:SHORT PANTS</t>
  </si>
  <si>
    <t>SHORT PANTS TERRY CUT SEWN MODEL 2 DEWCRG07:PASTEL BLUE:9-10:SOLID:SHORT PANTS</t>
  </si>
  <si>
    <t>SHORT PANTS TERRY CUT SEWN MODEL 2 DEWCRG07:PASTEL BLUE:11-12:SOLID:SHORT PANTS</t>
  </si>
  <si>
    <t>DEWCRG08</t>
  </si>
  <si>
    <t>SHORT PANTS TERRY CUT SEWN MODEL 3 DEWCRG08:KHAKI:5-6:SOLID:SHORT PANTS</t>
  </si>
  <si>
    <t>SHORT PANTS TERRY CUT SEWN MODEL 3 DEWCRG08:KHAKI:7-8:SOLID:SHORT PANTS</t>
  </si>
  <si>
    <t>SHORT PANTS TERRY CUT SEWN MODEL 3 DEWCRG08:KHAKI:9-10:SOLID:SHORT PANTS</t>
  </si>
  <si>
    <t>SHORT PANTS TERRY CUT SEWN MODEL 3 DEWCRG08:KHAKI:11-12:SOLID:SHORT PANTS</t>
  </si>
  <si>
    <t>HRBT1</t>
  </si>
  <si>
    <t>SHORT PANTS KNIT TERRY FASHION 96 HRBT1:BLACK:9-10:GRAPHIC:SHORT PANTS</t>
  </si>
  <si>
    <t>SHORT PANTS KNIT TERRY FASHION 96 HRBT1:BLACK:11-12:GRAPHIC:SHORT PANTS</t>
  </si>
  <si>
    <t>SHORT PANTS KNIT TERRY FASHION 96 HRBT1:BLACK:13-14:GRAPHIC:SHORT PANTS</t>
  </si>
  <si>
    <t>SHORT PANTS KNIT TERRY FASHION 96 HRBT1:BLACK:15-16:GRAPHIC:SHORT PANTS</t>
  </si>
  <si>
    <t>PHTIDY1SHT</t>
  </si>
  <si>
    <t>SHORT PANTS TERRY OMBRE GREEN PHTIDY1SHT:PASTEL GREEN:5-6:STRIPES:SHORT PANTS</t>
  </si>
  <si>
    <t>SHORT PANTS TERRY OMBRE GREEN PHTIDY1SHT:PASTEL GREEN:7-8:STRIPES:SHORT PANTS</t>
  </si>
  <si>
    <t>SHORT PANTS TERRY OMBRE GREEN PHTIDY1SHT:PASTEL GREEN:9-10:STRIPES:SHORT PANTS</t>
  </si>
  <si>
    <t>SHORT PANTS TERRY OMBRE GREEN PHTIDY1SHT:PASTEL GREEN:11-12:STRIPES:SHORT PANTS</t>
  </si>
  <si>
    <t>PHSLRNY1SH</t>
  </si>
  <si>
    <t>SHORT PANTS TERRY SALUR N YORK PHSLRNY1SH:OFF WHITE:5-6:STRIPES:SHORT PANTS</t>
  </si>
  <si>
    <t>SHORT PANTS TERRY SALUR N YORK PHSLRNY1SH:OFF WHITE:7-8:STRIPES:SHORT PANTS</t>
  </si>
  <si>
    <t>SHORT PANTS TERRY SALUR N YORK PHSLRNY1SH:OFF WHITE:9-10:STRIPES:SHORT PANTS</t>
  </si>
  <si>
    <t>SHORT PANTS TERRY SALUR N YORK PHSLRNY1SH:OFF WHITE:11-12:STRIPES:SHORT PANTS</t>
  </si>
  <si>
    <t>PHSLRNY2SH</t>
  </si>
  <si>
    <t>SHORT PANTS TERRY SALUR 98 PHSLRNY2SH:BLACK:5-6:STRIPES:SHORT PANTS</t>
  </si>
  <si>
    <t>SHORT PANTS TERRY SALUR 98 PHSLRNY2SH:BLACK:7-8:STRIPES:SHORT PANTS</t>
  </si>
  <si>
    <t>SHORT PANTS TERRY SALUR 98 PHSLRNY2SH:BLACK:9-10:STRIPES:SHORT PANTS</t>
  </si>
  <si>
    <t>SHORT PANTS TERRY SALUR 98 PHSLRNY2SH:BLACK:11-12:STRIPES:SHORT PANTS</t>
  </si>
  <si>
    <t>PHRACE01SH</t>
  </si>
  <si>
    <t>SHORT PANTS TERRY TURBO PHRACE01SH:KHAKI:5-6:GRAPHIC:SHORT PANTS</t>
  </si>
  <si>
    <t>SHORT PANTS TERRY TURBO PHRACE01SH:KHAKI:7-8:GRAPHIC:SHORT PANTS</t>
  </si>
  <si>
    <t>SHORT PANTS TERRY TURBO PHRACE01SH:KHAKI:9-10:GRAPHIC:SHORT PANTS</t>
  </si>
  <si>
    <t>SHORT PANTS TERRY TURBO PHRACE01SH:KHAKI:11-12:GRAPHIC:SHORT PANTS</t>
  </si>
  <si>
    <t>PHRACE02SH</t>
  </si>
  <si>
    <t>SHORT PANTS TERRY KOMB CAR PHRACE02SH:MISTY MEDIUM GREY:5-6:GRAPHIC:SHORT PANTS</t>
  </si>
  <si>
    <t>SHORT PANTS TERRY KOMB CAR PHRACE02SH:MISTY MEDIUM GREY:7-8:GRAPHIC:SHORT PANTS</t>
  </si>
  <si>
    <t>SHORT PANTS TERRY KOMB CAR PHRACE02SH:MISTY MEDIUM GREY:9-10:GRAPHIC:SHORT PANTS</t>
  </si>
  <si>
    <t>SHORT PANTS TERRY KOMB CAR PHRACE02SH:MISTY MEDIUM GREY:11-12:GRAPHIC:SHORT PANTS</t>
  </si>
  <si>
    <t>PHRACE03SH</t>
  </si>
  <si>
    <t>SHORT PANTS TERRY RACE PHRACE03SH:BLACK:5-6:GRAPHIC:SHORT PANTS</t>
  </si>
  <si>
    <t>SHORT PANTS TERRY RACE PHRACE03SH:BLACK:7-8:GRAPHIC:SHORT PANTS</t>
  </si>
  <si>
    <t>SHORT PANTS TERRY RACE PHRACE03SH:BLACK:9-10:GRAPHIC:SHORT PANTS</t>
  </si>
  <si>
    <t>SHORT PANTS TERRY RACE PHRACE03SH:BLACK:11-12:GRAPHIC:SHORT PANTS</t>
  </si>
  <si>
    <t>KIDEW2507B</t>
  </si>
  <si>
    <t>SHORT PANTS ROAR SOME KIDEW2507B:BLACK:5-6:GRAPHIC:SHORT PANTS</t>
  </si>
  <si>
    <t>SHORT PANTS ROAR SOME KIDEW2507B:BLACK:7-8:GRAPHIC:SHORT PANTS</t>
  </si>
  <si>
    <t>SHORT PANTS ROAR SOME KIDEW2507B:BLACK:9-10:GRAPHIC:SHORT PANTS</t>
  </si>
  <si>
    <t>SHORT PANTS ROAR SOME KIDEW2507B:BLACK:11-12:GRAPHIC:SHORT PANTS</t>
  </si>
  <si>
    <t>KIDEW2508B</t>
  </si>
  <si>
    <t>SHORT PANTS T REX KIDEW2508B:PASTEL GREEN:5-6:GRAPHIC:SHORT PANTS</t>
  </si>
  <si>
    <t>SHORT PANTS T REX KIDEW2508B:PASTEL GREEN:7-8:GRAPHIC:SHORT PANTS</t>
  </si>
  <si>
    <t>SHORT PANTS T REX KIDEW2508B:PASTEL GREEN:9-10:GRAPHIC:SHORT PANTS</t>
  </si>
  <si>
    <t>SHORT PANTS T REX KIDEW2508B:PASTEL GREEN:11-12:GRAPHIC:SHORT PANTS</t>
  </si>
  <si>
    <t>KIDEW2501B</t>
  </si>
  <si>
    <t>SHORT PANTS SUPER CHARGED KIDEW2501B:BLACK:9-10:GRAPHIC:SHORT PANTS</t>
  </si>
  <si>
    <t>SHORT PANTS SUPER CHARGED KIDEW2501B:BLACK:11-12:GRAPHIC:SHORT PANTS</t>
  </si>
  <si>
    <t>KIDEW2502B</t>
  </si>
  <si>
    <t>SHORT PANTS BASEBALL KIDEW2502B:PASTEL BLUE:5-6:GRAPHIC:SHORT PANTS</t>
  </si>
  <si>
    <t>SHORT PANTS BASEBALL KIDEW2502B:PASTEL BLUE:7-8:GRAPHIC:SHORT PANTS</t>
  </si>
  <si>
    <t>SHORT PANTS BASEBALL KIDEW2502B:PASTEL BLUE:9-10:GRAPHIC:SHORT PANTS</t>
  </si>
  <si>
    <t>SHORT PANTS BASEBALL KIDEW2502B:PASTEL BLUE:11-12:GRAPHIC:SHORT PANTS</t>
  </si>
  <si>
    <t>KIDEW2503B</t>
  </si>
  <si>
    <t>SHORT PANTS TYRANNOSAURUS KIDEW2503B:OLIVE:5-6:GRAPHIC:SHORT PANTS</t>
  </si>
  <si>
    <t>SHORT PANTS TYRANNOSAURUS KIDEW2503B:OLIVE:7-8:GRAPHIC:SHORT PANTS</t>
  </si>
  <si>
    <t>SHORT PANTS TYRANNOSAURUS KIDEW2503B:OLIVE:9-10:GRAPHIC:SHORT PANTS</t>
  </si>
  <si>
    <t>SHORT PANTS TYRANNOSAURUS KIDEW2503B:OLIVE:11-12:GRAPHIC:SHORT PANTS</t>
  </si>
  <si>
    <t>KIPHC2501B</t>
  </si>
  <si>
    <t>SHORT PANTS SPORT BALLS KIPHC2501B:CLASSIC BLUE:5-6:GRAPHIC:SHORT PANTS</t>
  </si>
  <si>
    <t>SHORT PANTS SPORT BALLS KIPHC2501B:CLASSIC BLUE:7-8:GRAPHIC:SHORT PANTS</t>
  </si>
  <si>
    <t>SHORT PANTS SPORT BALLS KIPHC2501B:CLASSIC BLUE:9-10:GRAPHIC:SHORT PANTS</t>
  </si>
  <si>
    <t>SHORT PANTS SPORT BALLS KIPHC2501B:CLASSIC BLUE:11-12:GRAPHIC:SHORT PANTS</t>
  </si>
  <si>
    <t>KIPHC2502B</t>
  </si>
  <si>
    <t>SHORT PANTS DINO SKATE THE CITY KIPHC2502B:RUSTIC BROWN:5-6:GRAPHIC:SHORT PANTS</t>
  </si>
  <si>
    <t>SHORT PANTS DINO SKATE THE CITY KIPHC2502B:RUSTIC BROWN:7-8:GRAPHIC:SHORT PANTS</t>
  </si>
  <si>
    <t>SHORT PANTS DINO SKATE THE CITY KIPHC2502B:RUSTIC BROWN:9-10:GRAPHIC:SHORT PANTS</t>
  </si>
  <si>
    <t>SHORT PANTS DINO SKATE THE CITY KIPHC2502B:RUSTIC BROWN:11-12:GRAPHIC:SHORT PANTS</t>
  </si>
  <si>
    <t>KIPHC2503B</t>
  </si>
  <si>
    <t>SHORT PANTS TREX ROAR SOME KIPHC2503B:OLIVE:5-6:GRAPHIC:SHORT PANTS</t>
  </si>
  <si>
    <t>SHORT PANTS TREX ROAR SOME KIPHC2503B:OLIVE:7-8:GRAPHIC:SHORT PANTS</t>
  </si>
  <si>
    <t>SHORT PANTS TREX ROAR SOME KIPHC2503B:OLIVE:9-10:GRAPHIC:SHORT PANTS</t>
  </si>
  <si>
    <t>SHORT PANTS TREX ROAR SOME KIPHC2503B:OLIVE:11-12:GRAPHIC:SHORT PANTS</t>
  </si>
  <si>
    <t>KICHNOSTR5A</t>
  </si>
  <si>
    <t>LONG PANTS WOVEN ZIPPER STRETCH REGULAR KICHNOSTR5A:BLACK:9-10:SOLID:SHORT PANTS</t>
  </si>
  <si>
    <t>LONG PANTS WOVEN ZIPPER STRETCH REGULAR KICHNOSTR5A:BLACK:11-12:SOLID:SHORT PANTS</t>
  </si>
  <si>
    <t>LONG PANTS WOVEN ZIPPER STRETCH REGULAR KICHNOSTR5A:BLACK:13-14:SOLID:SHORT PANTS</t>
  </si>
  <si>
    <t>LONG PANTS WOVEN ZIPPER STRETCH REGULAR KICHNOSTR5A:BLACK:15-16:SOLID:SHORT PANTS</t>
  </si>
  <si>
    <t>KICHNOSTR5B</t>
  </si>
  <si>
    <t>LONG PANTS WOVEN ZIPPER STRETCH REGULAR KICHNOSTR5B:VANILLA:9-10:SOLID:SHORT PANTS</t>
  </si>
  <si>
    <t>LONG PANTS WOVEN ZIPPER STRETCH REGULAR KICHNOSTR5B:VANILLA:11-12:SOLID:SHORT PANTS</t>
  </si>
  <si>
    <t>LONG PANTS WOVEN ZIPPER STRETCH REGULAR KICHNOSTR5B:VANILLA:13-14:SOLID:SHORT PANTS</t>
  </si>
  <si>
    <t>LONG PANTS WOVEN ZIPPER STRETCH REGULAR KICHNOSTR5B:VANILLA:15-16:SOLID:SHORT PANTS</t>
  </si>
  <si>
    <t>KICHNOSTR5C</t>
  </si>
  <si>
    <t>LONG PANTS WOVEN ZIPPER STRETCH REGULAR KICHNOSTR5C:CHARCOAL:9-10:SOLID:SHORT PANTS</t>
  </si>
  <si>
    <t>LONG PANTS WOVEN ZIPPER STRETCH REGULAR KICHNOSTR5C:CHARCOAL:11-12:SOLID:SHORT PANTS</t>
  </si>
  <si>
    <t>LONG PANTS WOVEN ZIPPER STRETCH REGULAR KICHNOSTR5C:CHARCOAL:13-14:SOLID:SHORT PANTS</t>
  </si>
  <si>
    <t>LONG PANTS WOVEN ZIPPER STRETCH REGULAR KICHNOSTR5C:CHARCOAL:15-16:SOLID:SHORT PANTS</t>
  </si>
  <si>
    <t>KICHNOSTR5D</t>
  </si>
  <si>
    <t>LONG PANTS WOVEN ZIPPER STRETCH REGULAR KICHNOSTR5D:PASTEL GREY:9-10:SOLID:LONG PANTS</t>
  </si>
  <si>
    <t>LONG PANTS WOVEN ZIPPER STRETCH REGULAR KICHNOSTR5D:PASTEL GREY:11-12:SOLID:LONG PANTS</t>
  </si>
  <si>
    <t>LONG PANTS WOVEN ZIPPER STRETCH REGULAR KICHNOSTR5D:PASTEL GREY:13-14:SOLID:LONG PANTS</t>
  </si>
  <si>
    <t>LONG PANTS WOVEN ZIPPER STRETCH REGULAR KICHNOSTR5D:PASTEL GREY:15-16:SOLID:LONG PANTS</t>
  </si>
  <si>
    <t>KICHNOSTR5E</t>
  </si>
  <si>
    <t>LONG PANTS WOVEN ZIPPER STRETCH REGULAR KICHNOSTR5E:OLIVE:9-10:SOLID:LONG PANTS</t>
  </si>
  <si>
    <t>LONG PANTS WOVEN ZIPPER STRETCH REGULAR KICHNOSTR5E:OLIVE:11-12:SOLID:LONG PANTS</t>
  </si>
  <si>
    <t>LONG PANTS WOVEN ZIPPER STRETCH REGULAR KICHNOSTR5E:OLIVE:13-14:SOLID:LONG PANTS</t>
  </si>
  <si>
    <t>LONG PANTS WOVEN ZIPPER STRETCH REGULAR KICHNOSTR5E:OLIVE:15-16:SOLID:LONG PANTS</t>
  </si>
  <si>
    <t>KICHNOSTR5F</t>
  </si>
  <si>
    <t>LONG PANTS WOVEN ZIPPER STRETCH REGULAR KICHNOSTR5F:SAND:9-10:SOLID:LONG PANTS</t>
  </si>
  <si>
    <t>LONG PANTS WOVEN ZIPPER STRETCH REGULAR KICHNOSTR5F:SAND:11-12:SOLID:LONG PANTS</t>
  </si>
  <si>
    <t>LONG PANTS WOVEN ZIPPER STRETCH REGULAR KICHNOSTR5F:SAND:13-14:SOLID:LONG PANTS</t>
  </si>
  <si>
    <t>LONG PANTS WOVEN ZIPPER STRETCH REGULAR KICHNOSTR5F:SAND:15-16:SOLID:LONG PANTS</t>
  </si>
  <si>
    <t>KICHNOSTR5G</t>
  </si>
  <si>
    <t>LONG PANTS WOVEN ZIPPER STRETCH REGULAR KICHNOSTR5G:KHAKI:9-10:SOLID:LONG PANTS</t>
  </si>
  <si>
    <t>LONG PANTS WOVEN ZIPPER STRETCH REGULAR KICHNOSTR5G:KHAKI:11-12:SOLID:LONG PANTS</t>
  </si>
  <si>
    <t>LONG PANTS WOVEN ZIPPER STRETCH REGULAR KICHNOSTR5G:KHAKI:13-14:SOLID:LONG PANTS</t>
  </si>
  <si>
    <t>LONG PANTS WOVEN ZIPPER STRETCH REGULAR KICHNOSTR5G:KHAKI:15-16:SOLID:LONG PANTS</t>
  </si>
  <si>
    <t>KIJV001</t>
  </si>
  <si>
    <t>SS T-SHIRT KI SABLON MANHATTAN-1 KIJV001:VANILLA:9-10:GRAPHIC:SS T-SHIRT</t>
  </si>
  <si>
    <t>SS T-SHIRT KI SABLON MANHATTAN-1 KIJV001:VANILLA:11-12:GRAPHIC:SS T-SHIRT</t>
  </si>
  <si>
    <t>SS T-SHIRT KI SABLON MANHATTAN-1 KIJV001:VANILLA:13-14:GRAPHIC:SS T-SHIRT</t>
  </si>
  <si>
    <t>SS T-SHIRT KI SABLON MANHATTAN-1 KIJV001:VANILLA:15-16:GRAPHIC:SS T-SHIRT</t>
  </si>
  <si>
    <t>KIJV003</t>
  </si>
  <si>
    <t>SS T-SHIRT KI SABLON LETS SPORT KIJV003:BLACK:9-10:GRAPHIC:SS T-SHIRT</t>
  </si>
  <si>
    <t>SS T-SHIRT KI SABLON LETS SPORT KIJV003:BLACK:11-12:GRAPHIC:SS T-SHIRT</t>
  </si>
  <si>
    <t>SS T-SHIRT KI SABLON LETS SPORT KIJV003:BLACK:13-14:GRAPHIC:SS T-SHIRT</t>
  </si>
  <si>
    <t>SS T-SHIRT KI SABLON LETS SPORT KIJV003:BLACK:15-16:GRAPHIC:SS T-SHIRT</t>
  </si>
  <si>
    <t>KIJV004</t>
  </si>
  <si>
    <t>SS T-SHIRT KI SABLON WHATEVER KIJV004:OFF WHITE:9-10:GRAPHIC:SS T-SHIRT</t>
  </si>
  <si>
    <t>SS T-SHIRT KI SABLON WHATEVER KIJV004:OFF WHITE:11-12:GRAPHIC:SS T-SHIRT</t>
  </si>
  <si>
    <t>SS T-SHIRT KI SABLON WHATEVER KIJV004:OFF WHITE:13-14:GRAPHIC:SS T-SHIRT</t>
  </si>
  <si>
    <t>SS T-SHIRT KI SABLON WHATEVER KIJV004:OFF WHITE:15-16:GRAPHIC:SS T-SHIRT</t>
  </si>
  <si>
    <t>KIHD2501</t>
  </si>
  <si>
    <t>SS T-SHIRT KI EMBRO ALIEN 1 KIHD2501:BLACK:5-6:EMBRO:SS T-SHIRT</t>
  </si>
  <si>
    <t>SS T-SHIRT KI EMBRO ALIEN 1 KIHD2501:BLACK:7-8:EMBRO:SS T-SHIRT</t>
  </si>
  <si>
    <t>SS T-SHIRT KI EMBRO ALIEN 1 KIHD2501:BLACK:9-10:EMBRO:SS T-SHIRT</t>
  </si>
  <si>
    <t>SS T-SHIRT KI EMBRO ALIEN 1 KIHD2501:BLACK:11-12:EMBRO:SS T-SHIRT</t>
  </si>
  <si>
    <t>SS T-SHIRT KI EMBRO ALIEN 1 KIHD2501:BLACK:13-14:EMBRO:SS T-SHIRT</t>
  </si>
  <si>
    <t>KIHD2502</t>
  </si>
  <si>
    <t>SS T-SHIRT KI EMBRO ALIEN 2 KIHD2502:FROST GREY:5-6:EMBRO:SS T-SHIRT</t>
  </si>
  <si>
    <t>SS T-SHIRT KI EMBRO ALIEN 2 KIHD2502:FROST GREY:7-8:EMBRO:SS T-SHIRT</t>
  </si>
  <si>
    <t>SS T-SHIRT KI EMBRO ALIEN 2 KIHD2502:FROST GREY:9-10:EMBRO:SS T-SHIRT</t>
  </si>
  <si>
    <t>SS T-SHIRT KI EMBRO ALIEN 2 KIHD2502:FROST GREY:11-12:EMBRO:SS T-SHIRT</t>
  </si>
  <si>
    <t>SS T-SHIRT KI EMBRO ALIEN 2 KIHD2502:FROST GREY:13-14:EMBRO:SS T-SHIRT</t>
  </si>
  <si>
    <t>KIHD2503</t>
  </si>
  <si>
    <t>SS T-SHIRT KI EMBRO ALIEN 3 KIHD2503:PASTEL BLUE:5-6:EMBRO:SS T-SHIRT</t>
  </si>
  <si>
    <t>SS T-SHIRT KI EMBRO ALIEN 3 KIHD2503:PASTEL BLUE:7-8:EMBRO:SS T-SHIRT</t>
  </si>
  <si>
    <t>SS T-SHIRT KI EMBRO ALIEN 3 KIHD2503:PASTEL BLUE:9-10:EMBRO:SS T-SHIRT</t>
  </si>
  <si>
    <t>SS T-SHIRT KI EMBRO ALIEN 3 KIHD2503:PASTEL BLUE:11-12:EMBRO:SS T-SHIRT</t>
  </si>
  <si>
    <t>SS T-SHIRT KI EMBRO ALIEN 3 KIHD2503:PASTEL BLUE:13-14:EMBRO:SS T-SHIRT</t>
  </si>
  <si>
    <t>KIHD2504</t>
  </si>
  <si>
    <t>SS T-SHIRT KI EMBRO ALIEN 4 KIHD2504:MUSTARD:5-6:EMBRO:SS T-SHIRT</t>
  </si>
  <si>
    <t>SS T-SHIRT KI EMBRO ALIEN 4 KIHD2504:MUSTARD:7-8:EMBRO:SS T-SHIRT</t>
  </si>
  <si>
    <t>SS T-SHIRT KI EMBRO ALIEN 4 KIHD2504:MUSTARD:9-10:EMBRO:SS T-SHIRT</t>
  </si>
  <si>
    <t>SS T-SHIRT KI EMBRO ALIEN 4 KIHD2504:MUSTARD:11-12:EMBRO:SS T-SHIRT</t>
  </si>
  <si>
    <t>SS T-SHIRT KI EMBRO ALIEN 4 KIHD2504:MUSTARD:13-14:EMBRO:SS T-SHIRT</t>
  </si>
  <si>
    <t>KIPHC2510S</t>
  </si>
  <si>
    <t>SS T-SHIRT SPACE SHUTTLE KIPHC2510S:OFF WHITE:5-6:GRAPHIC:SS T-SHIRT</t>
  </si>
  <si>
    <t>SS T-SHIRT SPACE SHUTTLE KIPHC2510S:OFF WHITE:7-8:GRAPHIC:SS T-SHIRT</t>
  </si>
  <si>
    <t>SS T-SHIRT SPACE SHUTTLE KIPHC2510S:OFF WHITE:9-10:GRAPHIC:SS T-SHIRT</t>
  </si>
  <si>
    <t>SS T-SHIRT SPACE SHUTTLE KIPHC2510S:OFF WHITE:11-12:GRAPHIC:SS T-SHIRT</t>
  </si>
  <si>
    <t>KIJVPOC1</t>
  </si>
  <si>
    <t>SS T-SHIRT KI SOLID WITH POCKET KIJVPOC1:VANILLA:9-10:SOLID:SS T-SHIRT</t>
  </si>
  <si>
    <t>SS T-SHIRT KI SOLID WITH POCKET KIJVPOC1:VANILLA:11-12:SOLID:SS T-SHIRT</t>
  </si>
  <si>
    <t>SS T-SHIRT KI SOLID WITH POCKET KIJVPOC1:VANILLA:13-14:SOLID:SS T-SHIRT</t>
  </si>
  <si>
    <t>SS T-SHIRT KI SOLID WITH POCKET KIJVPOC1:VANILLA:15-16:SOLID:SS T-SHIRT</t>
  </si>
  <si>
    <t>KIJVPOC2</t>
  </si>
  <si>
    <t>SS T-SHIRT KI SOLID WITH POCKET KIJVPOC2:PASTEL YELLOW:9-10:SOLID:SS T-SHIRT</t>
  </si>
  <si>
    <t>SS T-SHIRT KI SOLID WITH POCKET KIJVPOC2:PASTEL YELLOW:11-12:SOLID:SS T-SHIRT</t>
  </si>
  <si>
    <t>SS T-SHIRT KI SOLID WITH POCKET KIJVPOC2:PASTEL YELLOW:13-14:SOLID:SS T-SHIRT</t>
  </si>
  <si>
    <t>SS T-SHIRT KI SOLID WITH POCKET KIJVPOC2:PASTEL YELLOW:15-16:SOLID:SS T-SHIRT</t>
  </si>
  <si>
    <t>KIJVPOC3</t>
  </si>
  <si>
    <t>SS T-SHIRT KI SOLID WITH POCKET KIJVPOC3:PASTEL BLUE:9-10:SOLID:SS T-SHIRT</t>
  </si>
  <si>
    <t>SS T-SHIRT KI SOLID WITH POCKET KIJVPOC3:PASTEL BLUE:11-12:SOLID:SS T-SHIRT</t>
  </si>
  <si>
    <t>SS T-SHIRT KI SOLID WITH POCKET KIJVPOC3:PASTEL BLUE:13-14:SOLID:SS T-SHIRT</t>
  </si>
  <si>
    <t>SS T-SHIRT KI SOLID WITH POCKET KIJVPOC3:PASTEL BLUE:15-16:SOLID:SS T-SHIRT</t>
  </si>
  <si>
    <t>KIJVPOC4</t>
  </si>
  <si>
    <t>SS T-SHIRT KI SOLID WITH POCKET KIJVPOC4:CLASSIC BLUE:9-10:SOLID:SS T-SHIRT</t>
  </si>
  <si>
    <t>SS T-SHIRT KI SOLID WITH POCKET KIJVPOC4:CLASSIC BLUE:11-12:SOLID:SS T-SHIRT</t>
  </si>
  <si>
    <t>SS T-SHIRT KI SOLID WITH POCKET KIJVPOC4:CLASSIC BLUE:13-14:SOLID:SS T-SHIRT</t>
  </si>
  <si>
    <t>SS T-SHIRT KI SOLID WITH POCKET KIJVPOC4:CLASSIC BLUE:15-16:SOLID:SS T-SHIRT</t>
  </si>
  <si>
    <t>KIJVPOC5</t>
  </si>
  <si>
    <t>SS T-SHIRT KI SOLID WITH POCKET KIJVPOC5:BROWN SUGAR:9-10:SOLID:SS T-SHIRT</t>
  </si>
  <si>
    <t>SS T-SHIRT KI SOLID WITH POCKET KIJVPOC5:BROWN SUGAR:11-12:SOLID:SS T-SHIRT</t>
  </si>
  <si>
    <t>SS T-SHIRT KI SOLID WITH POCKET KIJVPOC5:BROWN SUGAR:13-14:SOLID:SS T-SHIRT</t>
  </si>
  <si>
    <t>SS T-SHIRT KI SOLID WITH POCKET KIJVPOC5:BROWN SUGAR:15-16:SOLID:SS T-SHIRT</t>
  </si>
  <si>
    <t>KIJVSOL1A</t>
  </si>
  <si>
    <t>SS T-SHIRT KI SOLID 1 KIJVSOL1A:OFF WHITE:9-10:SOLID:SS T-SHIRT</t>
  </si>
  <si>
    <t>SS T-SHIRT KI SOLID 1 KIJVSOL1A:OFF WHITE:11-12:SOLID:SS T-SHIRT</t>
  </si>
  <si>
    <t>SS T-SHIRT KI SOLID 1 KIJVSOL1A:OFF WHITE:13-14:SOLID:SS T-SHIRT</t>
  </si>
  <si>
    <t>SS T-SHIRT KI SOLID 1 KIJVSOL1A:OFF WHITE:15-16:SOLID:SS T-SHIRT</t>
  </si>
  <si>
    <t>KIJVSOL2A</t>
  </si>
  <si>
    <t>SS T-SHIRT KI SOLID 2 KIJVSOL2A:FROST GREY:9-10:SOLID:SS T-SHIRT</t>
  </si>
  <si>
    <t>SS T-SHIRT KI SOLID 2 KIJVSOL2A:FROST GREY:11-12:SOLID:SS T-SHIRT</t>
  </si>
  <si>
    <t>SS T-SHIRT KI SOLID 2 KIJVSOL2A:FROST GREY:13-14:SOLID:SS T-SHIRT</t>
  </si>
  <si>
    <t>SS T-SHIRT KI SOLID 2 KIJVSOL2A:FROST GREY:15-16:SOLID:SS T-SHIRT</t>
  </si>
  <si>
    <t>KIJVSOL3A</t>
  </si>
  <si>
    <t>SS T-SHIRT KI SOLID 3 KIJVSOL3A:PEPPERMINT:9-10:SOLID:SS T-SHIRT</t>
  </si>
  <si>
    <t>SS T-SHIRT KI SOLID 3 KIJVSOL3A:PEPPERMINT:11-12:SOLID:SS T-SHIRT</t>
  </si>
  <si>
    <t>SS T-SHIRT KI SOLID 3 KIJVSOL3A:PEPPERMINT:13-14:SOLID:SS T-SHIRT</t>
  </si>
  <si>
    <t>SS T-SHIRT KI SOLID 3 KIJVSOL3A:PEPPERMINT:15-16:SOLID:SS T-SHIRT</t>
  </si>
  <si>
    <t>KIJVSOL4A</t>
  </si>
  <si>
    <t>SS T-SHIRT KI SOLID 4 KIJVSOL4A:BROWN SUGAR:9-10:SOLID:SS T-SHIRT</t>
  </si>
  <si>
    <t>SS T-SHIRT KI SOLID 4 KIJVSOL4A:BROWN SUGAR:11-12:SOLID:SS T-SHIRT</t>
  </si>
  <si>
    <t>SS T-SHIRT KI SOLID 4 KIJVSOL4A:BROWN SUGAR:13-14:SOLID:SS T-SHIRT</t>
  </si>
  <si>
    <t>SS T-SHIRT KI SOLID 4 KIJVSOL4A:BROWN SUGAR:15-16:SOLID:SS T-SHIRT</t>
  </si>
  <si>
    <t>KIJVSOL5A</t>
  </si>
  <si>
    <t>SS T-SHIRT KI SOLID 5 KIJVSOL5A:PASTEL YELLOW:9-10:SOLID:SS T-SHIRT</t>
  </si>
  <si>
    <t>SS T-SHIRT KI SOLID 5 KIJVSOL5A:PASTEL YELLOW:11-12:SOLID:SS T-SHIRT</t>
  </si>
  <si>
    <t>SS T-SHIRT KI SOLID 5 KIJVSOL5A:PASTEL YELLOW:13-14:SOLID:SS T-SHIRT</t>
  </si>
  <si>
    <t>SS T-SHIRT KI SOLID 5 KIJVSOL5A:PASTEL YELLOW:15-16:SOLID:SS T-SHIRT</t>
  </si>
  <si>
    <t>PSSW1A</t>
  </si>
  <si>
    <t>SHORT PANTS WOVEN BABY CANVAS KARET POCKET CARGO PSSW1A:VANILLA:9-10:SOLID:SHORT PANTS</t>
  </si>
  <si>
    <t>SHORT PANTS WOVEN BABY CANVAS KARET POCKET CARGO PSSW1A:VANILLA:11-12:SOLID:SHORT PANTS</t>
  </si>
  <si>
    <t>SHORT PANTS WOVEN BABY CANVAS KARET POCKET CARGO PSSW1A:VANILLA:13-14:SOLID:SHORT PANTS</t>
  </si>
  <si>
    <t>SHORT PANTS WOVEN BABY CANVAS KARET POCKET CARGO PSSW1A:VANILLA:15-16:SOLID:SHORT PANTS</t>
  </si>
  <si>
    <t>PSSW1B</t>
  </si>
  <si>
    <t>SHORT PANTS WOVEN BABY CANVAS KARET POCKET CARGO PSSW1B:CLASSIC BLUE:9-10:SOLID:SHORT PANTS</t>
  </si>
  <si>
    <t>SHORT PANTS WOVEN BABY CANVAS KARET POCKET CARGO PSSW1B:CLASSIC BLUE:11-12:SOLID:SHORT PANTS</t>
  </si>
  <si>
    <t>SHORT PANTS WOVEN BABY CANVAS KARET POCKET CARGO PSSW1B:CLASSIC BLUE:13-14:SOLID:SHORT PANTS</t>
  </si>
  <si>
    <t>SHORT PANTS WOVEN BABY CANVAS KARET POCKET CARGO PSSW1B:CLASSIC BLUE:15-16:SOLID:SHORT PANTS</t>
  </si>
  <si>
    <t>WINSD001</t>
  </si>
  <si>
    <t>DENIM SHORT PANTS PGG KARET 01 WINSD001:DARK DENIM:9-10:SOLID:DENIM SHORT PANTS</t>
  </si>
  <si>
    <t>DENIM SHORT PANTS PGG KARET 01 WINSD001:DARK DENIM:11-12:SOLID:DENIM SHORT PANTS</t>
  </si>
  <si>
    <t>DENIM SHORT PANTS PGG KARET 01 WINSD001:DARK DENIM:13-14:SOLID:DENIM SHORT PANTS</t>
  </si>
  <si>
    <t>DENIM SHORT PANTS PGG KARET 01 WINSD001:DARK DENIM:15-16:SOLID:DENIM SHORT PANTS</t>
  </si>
  <si>
    <t>WINSD002</t>
  </si>
  <si>
    <t>DENIM SHORT PANTS PGG KARET 02 WINSD002:MEDIUM DENIM:9-10:SOLID:DENIM SHORT PANTS</t>
  </si>
  <si>
    <t>DENIM SHORT PANTS PGG KARET 02 WINSD002:MEDIUM DENIM:11-12:SOLID:DENIM SHORT PANTS</t>
  </si>
  <si>
    <t>DENIM SHORT PANTS PGG KARET 02 WINSD002:MEDIUM DENIM:13-14:SOLID:DENIM SHORT PANTS</t>
  </si>
  <si>
    <t>DENIM SHORT PANTS PGG KARET 02 WINSD002:MEDIUM DENIM:15-16:SOLID:DENIM SHORT PANTS</t>
  </si>
  <si>
    <t>PSNEXT14</t>
  </si>
  <si>
    <t>SHORT PANTS 3D CARGO FELLCRO MODEL 1 PSNEXT14:KHAKI:5-6:SOLID:SHORT PANTS</t>
  </si>
  <si>
    <t>SHORT PANTS 3D CARGO FELLCRO MODEL 1 PSNEXT14:KHAKI:7-8:SOLID:SHORT PANTS</t>
  </si>
  <si>
    <t>SHORT PANTS 3D CARGO FELLCRO MODEL 1 PSNEXT14:KHAKI:9-10:SOLID:SHORT PANTS</t>
  </si>
  <si>
    <t>SHORT PANTS 3D CARGO FELLCRO MODEL 1 PSNEXT14:KHAKI:11-12:SOLID:SHORT PANTS</t>
  </si>
  <si>
    <t>PSNEXT15</t>
  </si>
  <si>
    <t>SHORT PANTS 3D CARGO FELLCRO MODEL 2 PSNEXT15:CHARCOAL:5-6:SOLID:SHORT PANTS</t>
  </si>
  <si>
    <t>SHORT PANTS 3D CARGO FELLCRO MODEL 2 PSNEXT15:CHARCOAL:7-8:SOLID:SHORT PANTS</t>
  </si>
  <si>
    <t>SHORT PANTS 3D CARGO FELLCRO MODEL 2 PSNEXT15:CHARCOAL:9-10:SOLID:SHORT PANTS</t>
  </si>
  <si>
    <t>SHORT PANTS 3D CARGO FELLCRO MODEL 2 PSNEXT15:CHARCOAL:11-12:SOLID:SHORT PANTS</t>
  </si>
  <si>
    <t>2025 Q2 KI BOTTOM B1G1</t>
  </si>
  <si>
    <t>KIHDSH01B</t>
  </si>
  <si>
    <t>SHORT PANTS KI KNIT JERSEY SABLON KECIL 01B KIHDSH01B:BLACK:9-10:GRAPHIC:SHORT PANTS</t>
  </si>
  <si>
    <t>SHORT PANTS KI KNIT JERSEY SABLON KECIL 01B KIHDSH01B:BLACK:11-12:GRAPHIC:SHORT PANTS</t>
  </si>
  <si>
    <t>SHORT PANTS KI KNIT JERSEY SABLON KECIL 01B KIHDSH01B:BLACK:13-14:GRAPHIC:SHORT PANTS</t>
  </si>
  <si>
    <t>SHORT PANTS KI KNIT JERSEY SABLON KECIL 01B KIHDSH01B:BLACK:15-16:GRAPHIC:SHORT PANTS</t>
  </si>
  <si>
    <t>KIHDSH02B</t>
  </si>
  <si>
    <t>SHORT PANTS KI KNIT JERSEY SABLON KECIL 02B KIHDSH02B:MISTY MEDIUM GREY:9-10:GRAPHIC:SHORT PANTS</t>
  </si>
  <si>
    <t>SHORT PANTS KI KNIT JERSEY SABLON KECIL 02B KIHDSH02B:MISTY MEDIUM GREY:11-12:GRAPHIC:SHORT PANTS</t>
  </si>
  <si>
    <t>SHORT PANTS KI KNIT JERSEY SABLON KECIL 02B KIHDSH02B:MISTY MEDIUM GREY:13-14:GRAPHIC:SHORT PANTS</t>
  </si>
  <si>
    <t>SHORT PANTS KI KNIT JERSEY SABLON KECIL 02B KIHDSH02B:MISTY MEDIUM GREY:15-16:GRAPHIC:SHORT PANTS</t>
  </si>
  <si>
    <t>KIHDSH03B</t>
  </si>
  <si>
    <t>SHORT PANTS KI KNIT JERSEY SABLON KECIL 03B KIHDSH03B:CHARCOAL:9-10:GRAPHIC:SHORT PANTS</t>
  </si>
  <si>
    <t>SHORT PANTS KI KNIT JERSEY SABLON KECIL 03B KIHDSH03B:CHARCOAL:11-12:GRAPHIC:SHORT PANTS</t>
  </si>
  <si>
    <t>SHORT PANTS KI KNIT JERSEY SABLON KECIL 03B KIHDSH03B:CHARCOAL:13-14:GRAPHIC:SHORT PANTS</t>
  </si>
  <si>
    <t>SHORT PANTS KI KNIT JERSEY SABLON KECIL 03B KIHDSH03B:CHARCOAL:15-16:GRAPHIC:SHORT PANTS</t>
  </si>
  <si>
    <t>KIHDSH04B</t>
  </si>
  <si>
    <t>SHORT PANTS KI KNIT JERSEY SABLON KECIL 04B KIHDSH04B:KHAKI:9-10:GRAPHIC:SHORT PANTS</t>
  </si>
  <si>
    <t>SHORT PANTS KI KNIT JERSEY SABLON KECIL 04B KIHDSH04B:KHAKI:11-12:GRAPHIC:SHORT PANTS</t>
  </si>
  <si>
    <t>SHORT PANTS KI KNIT JERSEY SABLON KECIL 04B KIHDSH04B:KHAKI:13-14:GRAPHIC:SHORT PANTS</t>
  </si>
  <si>
    <t>SHORT PANTS KI KNIT JERSEY SABLON KECIL 04B KIHDSH04B:KHAKI:15-16:GRAPHIC:SHORT PANTS</t>
  </si>
  <si>
    <t>KIPHC2504B</t>
  </si>
  <si>
    <t>SHORT PANTS ASTRONOUT KIPHC2504B:INDIGO BLUE:5-6:GRAPHIC:SHORT PANTS</t>
  </si>
  <si>
    <t>SHORT PANTS ASTRONOUT KIPHC2504B:INDIGO BLUE:7-8:GRAPHIC:SHORT PANTS</t>
  </si>
  <si>
    <t>SHORT PANTS ASTRONOUT KIPHC2504B:INDIGO BLUE:9-10:GRAPHIC:SHORT PANTS</t>
  </si>
  <si>
    <t>SHORT PANTS ASTRONOUT KIPHC2504B:INDIGO BLUE:11-12:GRAPHIC:SHORT PANTS</t>
  </si>
  <si>
    <t>KIPHC2505B</t>
  </si>
  <si>
    <t>SHORT PANTS DINO STAY WILD KIPHC2505B:CHARCOAL:5-6:GRAPHIC:SHORT PANTS</t>
  </si>
  <si>
    <t>SHORT PANTS DINO STAY WILD KIPHC2505B:CHARCOAL:7-8:GRAPHIC:SHORT PANTS</t>
  </si>
  <si>
    <t>SHORT PANTS DINO STAY WILD KIPHC2505B:CHARCOAL:9-10:GRAPHIC:SHORT PANTS</t>
  </si>
  <si>
    <t>SHORT PANTS DINO STAY WILD KIPHC2505B:CHARCOAL:11-12:GRAPHIC:SHORT PANTS</t>
  </si>
  <si>
    <t>KIJVQ3SD1A</t>
  </si>
  <si>
    <t>SS T-SHIRT KI SLD 3SD1A KIJVQ3SD1A:VANILLA:5-6:GRAPHIC:SS T-SHIRT</t>
  </si>
  <si>
    <t>SS T-SHIRT KI SLD 3SD1A KIJVQ3SD1A:VANILLA:7-8:GRAPHIC:SS T-SHIRT</t>
  </si>
  <si>
    <t>SS T-SHIRT KI SLD 3SD1A KIJVQ3SD1A:VANILLA:9-10:GRAPHIC:SS T-SHIRT</t>
  </si>
  <si>
    <t>SS T-SHIRT KI SLD 3SD1A KIJVQ3SD1A:VANILLA:11-12:GRAPHIC:SS T-SHIRT</t>
  </si>
  <si>
    <t>SS T-SHIRT KI SLD 3SD1A KIJVQ3SD1A:VANILLA:13-14:GRAPHIC:SS T-SHIRT</t>
  </si>
  <si>
    <t>KIJVQ3SD2A</t>
  </si>
  <si>
    <t>SS T-SHIRT KI SLD 3SD2A KIJVQ3SD2A:PASTEL BLUE:5-6:GRAPHIC:SS T-SHIRT</t>
  </si>
  <si>
    <t>SS T-SHIRT KI SLD 3SD2A KIJVQ3SD2A:PASTEL BLUE:7-8:GRAPHIC:SS T-SHIRT</t>
  </si>
  <si>
    <t>SS T-SHIRT KI SLD 3SD2A KIJVQ3SD2A:PASTEL BLUE:9-10:GRAPHIC:SS T-SHIRT</t>
  </si>
  <si>
    <t>SS T-SHIRT KI SLD 3SD2A KIJVQ3SD2A:PASTEL BLUE:11-12:GRAPHIC:SS T-SHIRT</t>
  </si>
  <si>
    <t>SS T-SHIRT KI SLD 3SD2A KIJVQ3SD2A:PASTEL BLUE:13-14:GRAPHIC:SS T-SHIRT</t>
  </si>
  <si>
    <t>KIJVQ3SD3A</t>
  </si>
  <si>
    <t>SS T-SHIRT KI SLD 3SD3A KIJVQ3SD3A:JADE:5-6:GRAPHIC:SS T-SHIRT</t>
  </si>
  <si>
    <t>SS T-SHIRT KI SLD 3SD3A KIJVQ3SD3A:JADE:7-8:GRAPHIC:SS T-SHIRT</t>
  </si>
  <si>
    <t>SS T-SHIRT KI SLD 3SD3A KIJVQ3SD3A:JADE:9-10:GRAPHIC:SS T-SHIRT</t>
  </si>
  <si>
    <t>SS T-SHIRT KI SLD 3SD3A KIJVQ3SD3A:JADE:11-12:GRAPHIC:SS T-SHIRT</t>
  </si>
  <si>
    <t>SS T-SHIRT KI SLD 3SD3A KIJVQ3SD3A:JADE:13-14:GRAPHIC:SS T-SHIRT</t>
  </si>
  <si>
    <t>KIJVQ3SD4A</t>
  </si>
  <si>
    <t>SS T-SHIRT KI SLD 3SD4A KIJVQ3SD4A:FROST GREY:5-6:GRAPHIC:SS T-SHIRT</t>
  </si>
  <si>
    <t>SS T-SHIRT KI SLD 3SD4A KIJVQ3SD4A:FROST GREY:7-8:GRAPHIC:SS T-SHIRT</t>
  </si>
  <si>
    <t>SS T-SHIRT KI SLD 3SD4A KIJVQ3SD4A:FROST GREY:9-10:GRAPHIC:SS T-SHIRT</t>
  </si>
  <si>
    <t>SS T-SHIRT KI SLD 3SD4A KIJVQ3SD4A:FROST GREY:11-12:GRAPHIC:SS T-SHIRT</t>
  </si>
  <si>
    <t>SS T-SHIRT KI SLD 3SD4A KIJVQ3SD4A:FROST GREY:13-14:GRAPHIC:SS T-SHIRT</t>
  </si>
  <si>
    <t>KIJVQ3SD5A</t>
  </si>
  <si>
    <t>SS T-SHIRT KI SLD 3SD5A KIJVQ3SD5A:PASTEL PINK:5-6:GRAPHIC:SS T-SHIRT</t>
  </si>
  <si>
    <t>SS T-SHIRT KI SLD 3SD5A KIJVQ3SD5A:PASTEL PINK:7-8:GRAPHIC:SS T-SHIRT</t>
  </si>
  <si>
    <t>SS T-SHIRT KI SLD 3SD5A KIJVQ3SD5A:PASTEL PINK:9-10:GRAPHIC:SS T-SHIRT</t>
  </si>
  <si>
    <t>SS T-SHIRT KI SLD 3SD5A KIJVQ3SD5A:PASTEL PINK:11-12:GRAPHIC:SS T-SHIRT</t>
  </si>
  <si>
    <t>SS T-SHIRT KI SLD 3SD5A KIJVQ3SD5A:PASTEL PINK:13-14:GRAPHIC:SS T-SHIRT</t>
  </si>
  <si>
    <t>KIJV2537</t>
  </si>
  <si>
    <t>SS T-SHIRT KI NUMBER DADA KECIL 1 KIJV2537:CHARCOAL:9-10:GRAPHIC:SS T-SHIRT</t>
  </si>
  <si>
    <t>SS T-SHIRT KI NUMBER DADA KECIL 1 KIJV2537:CHARCOAL:11-12:GRAPHIC:SS T-SHIRT</t>
  </si>
  <si>
    <t>SS T-SHIRT KI NUMBER DADA KECIL 1 KIJV2537:CHARCOAL:13-14:GRAPHIC:SS T-SHIRT</t>
  </si>
  <si>
    <t>SS T-SHIRT KI NUMBER DADA KECIL 1 KIJV2537:CHARCOAL:15-16:GRAPHIC:SS T-SHIRT</t>
  </si>
  <si>
    <t>KIJV2538</t>
  </si>
  <si>
    <t>SS T-SHIRT KI NUMBER DADA KECIL 1 KIJV2538:NAVY BLUE:9-10:GRAPHIC:SS T-SHIRT</t>
  </si>
  <si>
    <t>SS T-SHIRT KI NUMBER DADA KECIL 1 KIJV2538:NAVY BLUE:11-12:GRAPHIC:SS T-SHIRT</t>
  </si>
  <si>
    <t>SS T-SHIRT KI NUMBER DADA KECIL 1 KIJV2538:NAVY BLUE:13-14:GRAPHIC:SS T-SHIRT</t>
  </si>
  <si>
    <t>SS T-SHIRT KI NUMBER DADA KECIL 1 KIJV2538:NAVY BLUE:15-16:GRAPHIC:SS T-SHIRT</t>
  </si>
  <si>
    <t>KIJV2539</t>
  </si>
  <si>
    <t>SS T-SHIRT KI NUMBER DADA KECIL 1 KIJV2539:PASTEL GREEN:9-10:GRAPHIC:SS T-SHIRT</t>
  </si>
  <si>
    <t>SS T-SHIRT KI NUMBER DADA KECIL 1 KIJV2539:PASTEL GREEN:11-12:GRAPHIC:SS T-SHIRT</t>
  </si>
  <si>
    <t>SS T-SHIRT KI NUMBER DADA KECIL 1 KIJV2539:PASTEL GREEN:13-14:GRAPHIC:SS T-SHIRT</t>
  </si>
  <si>
    <t>SS T-SHIRT KI NUMBER DADA KECIL 1 KIJV2539:PASTEL GREEN:15-16:GRAPHIC:SS T-SHIRT</t>
  </si>
  <si>
    <t>KIJV2540</t>
  </si>
  <si>
    <t>SS T-SHIRT KI NUMBER DADA KECIL 1 KIJV2540:KHAKI:9-10:GRAPHIC:SS T-SHIRT</t>
  </si>
  <si>
    <t>SS T-SHIRT KI NUMBER DADA KECIL 1 KIJV2540:KHAKI:11-12:GRAPHIC:SS T-SHIRT</t>
  </si>
  <si>
    <t>SS T-SHIRT KI NUMBER DADA KECIL 1 KIJV2540:KHAKI:13-14:GRAPHIC:SS T-SHIRT</t>
  </si>
  <si>
    <t>SS T-SHIRT KI NUMBER DADA KECIL 1 KIJV2540:KHAKI:15-16:GRAPHIC:SS T-SHIRT</t>
  </si>
  <si>
    <t>KIJV2541</t>
  </si>
  <si>
    <t>SS T-SHIRT KI LOGO BASKET 1 KIJV2541:FROST GREY:5-6:GRAPHIC:SLEEVELESS T-SHIRT</t>
  </si>
  <si>
    <t>SS T-SHIRT KI LOGO BASKET 1 KIJV2541:FROST GREY:7-8:GRAPHIC:SLEEVELESS T-SHIRT</t>
  </si>
  <si>
    <t>SS T-SHIRT KI LOGO BASKET 1 KIJV2541:FROST GREY:9-10:GRAPHIC:SLEEVELESS T-SHIRT</t>
  </si>
  <si>
    <t>SS T-SHIRT KI LOGO BASKET 1 KIJV2541:FROST GREY:11-12:GRAPHIC:SLEEVELESS T-SHIRT</t>
  </si>
  <si>
    <t>SS T-SHIRT KI LOGO BASKET 1 KIJV2541:FROST GREY:13-14:GRAPHIC:SLEEVELESS T-SHIRT</t>
  </si>
  <si>
    <t>KIJV2542</t>
  </si>
  <si>
    <t>SS T-SHIRT KI LOGO BASKET 2 KIJV2542:LIME:5-6:GRAPHIC:SLEEVELESS T-SHIRT</t>
  </si>
  <si>
    <t>SS T-SHIRT KI LOGO BASKET 2 KIJV2542:LIME:7-8:GRAPHIC:SLEEVELESS T-SHIRT</t>
  </si>
  <si>
    <t>SS T-SHIRT KI LOGO BASKET 2 KIJV2542:LIME:9-10:GRAPHIC:SLEEVELESS T-SHIRT</t>
  </si>
  <si>
    <t>SS T-SHIRT KI LOGO BASKET 2 KIJV2542:LIME:11-12:GRAPHIC:SLEEVELESS T-SHIRT</t>
  </si>
  <si>
    <t>SS T-SHIRT KI LOGO BASKET 2 KIJV2542:LIME:13-14:GRAPHIC:SLEEVELESS T-SHIRT</t>
  </si>
  <si>
    <t>PHWORD01</t>
  </si>
  <si>
    <t>SHORT PANTS TERRY ROARSOME PHWORD01:MISTY MEDIUM GREY:5-6:SOLID:SHORT PANTS</t>
  </si>
  <si>
    <t>SHORT PANTS TERRY ROARSOME PHWORD01:MISTY MEDIUM GREY:7-8:SOLID:SHORT PANTS</t>
  </si>
  <si>
    <t>SHORT PANTS TERRY ROARSOME PHWORD01:MISTY MEDIUM GREY:9-10:SOLID:SHORT PANTS</t>
  </si>
  <si>
    <t>SHORT PANTS TERRY ROARSOME PHWORD01:MISTY MEDIUM GREY:11-12:SOLID:SHORT PANTS</t>
  </si>
  <si>
    <t>PHWORD02</t>
  </si>
  <si>
    <t>SHORT PANTS TERRY LEVEL UP PHWORD02:PASTEL BLUE:5-6:SOLID:SHORT PANTS</t>
  </si>
  <si>
    <t>SHORT PANTS TERRY LEVEL UP PHWORD02:PASTEL BLUE:7-8:SOLID:SHORT PANTS</t>
  </si>
  <si>
    <t>SHORT PANTS TERRY LEVEL UP PHWORD02:PASTEL BLUE:9-10:SOLID:SHORT PANTS</t>
  </si>
  <si>
    <t>SHORT PANTS TERRY LEVEL UP PHWORD02:PASTEL BLUE:11-12:SOLID:SHORT PANTS</t>
  </si>
  <si>
    <t>KIPLSHW01</t>
  </si>
  <si>
    <t>SHORT PANTS KI WOVEN PGG RIB FOLDED BWH 1 KIPLSHW01:BLACK:5-6:SOLID:SHORT PANTS</t>
  </si>
  <si>
    <t>SHORT PANTS KI WOVEN PGG RIB FOLDED BWH 1 KIPLSHW01:BLACK:7-8:SOLID:SHORT PANTS</t>
  </si>
  <si>
    <t>SHORT PANTS KI WOVEN PGG RIB FOLDED BWH 1 KIPLSHW01:BLACK:9-10:SOLID:SHORT PANTS</t>
  </si>
  <si>
    <t>SHORT PANTS KI WOVEN PGG RIB FOLDED BWH 1 KIPLSHW01:BLACK:11-12:SOLID:SHORT PANTS</t>
  </si>
  <si>
    <t>SHORT PANTS KI WOVEN PGG RIB FOLDED BWH 1 KIPLSHW01:BLACK:13-14:SOLID:SHORT PANTS</t>
  </si>
  <si>
    <t>KIPLSHW02</t>
  </si>
  <si>
    <t>SHORT PANTS KI WOVEN PGG RIB FOLDED BWH 2 KIPLSHW02:BROWN SUGAR:5-6:SOLID:SHORT PANTS</t>
  </si>
  <si>
    <t>SHORT PANTS KI WOVEN PGG RIB FOLDED BWH 2 KIPLSHW02:BROWN SUGAR:7-8:SOLID:SHORT PANTS</t>
  </si>
  <si>
    <t>SHORT PANTS KI WOVEN PGG RIB FOLDED BWH 2 KIPLSHW02:BROWN SUGAR:9-10:SOLID:SHORT PANTS</t>
  </si>
  <si>
    <t>SHORT PANTS KI WOVEN PGG RIB FOLDED BWH 2 KIPLSHW02:BROWN SUGAR:11-12:SOLID:SHORT PANTS</t>
  </si>
  <si>
    <t>SHORT PANTS KI WOVEN PGG RIB FOLDED BWH 2 KIPLSHW02:BROWN SUGAR:13-14:SOLID:SHORT PANTS</t>
  </si>
  <si>
    <t>KIPLSHW03</t>
  </si>
  <si>
    <t>SHORT PANTS KI WOVEN PGG RIB FOLDED BWH 3 KIPLSHW03:OFF WHITE:5-6:SOLID:SHORT PANTS</t>
  </si>
  <si>
    <t>SHORT PANTS KI WOVEN PGG RIB FOLDED BWH 3 KIPLSHW03:OFF WHITE:7-8:SOLID:SHORT PANTS</t>
  </si>
  <si>
    <t>SHORT PANTS KI WOVEN PGG RIB FOLDED BWH 3 KIPLSHW03:OFF WHITE:9-10:SOLID:SHORT PANTS</t>
  </si>
  <si>
    <t>SHORT PANTS KI WOVEN PGG RIB FOLDED BWH 3 KIPLSHW03:OFF WHITE:11-12:SOLID:SHORT PANTS</t>
  </si>
  <si>
    <t>SHORT PANTS KI WOVEN PGG RIB FOLDED BWH 3 KIPLSHW03:OFF WHITE:13-14:SOLID:SHORT PANTS</t>
  </si>
  <si>
    <t>TPMSK06A</t>
  </si>
  <si>
    <t>SHORT PANTS KNIT TERRY FP TRIBAL 1 TPMSK06A:KHAKI:5-6:PRINT:SHORT PANTS</t>
  </si>
  <si>
    <t>SHORT PANTS KNIT TERRY FP TRIBAL 1 TPMSK06A:KHAKI:7-8:PRINT:SHORT PANTS</t>
  </si>
  <si>
    <t>SHORT PANTS KNIT TERRY FP TRIBAL 1 TPMSK06A:KHAKI:9-10:PRINT:SHORT PANTS</t>
  </si>
  <si>
    <t>SHORT PANTS KNIT TERRY FP TRIBAL 1 TPMSK06A:KHAKI:11-12:PRINT:SHORT PANTS</t>
  </si>
  <si>
    <t>SHORT PANTS KNIT TERRY FP TRIBAL 1 TPMSK06A:KHAKI:13-14:PRINT:SHORT PANTS</t>
  </si>
  <si>
    <t>TPMSK07A</t>
  </si>
  <si>
    <t>SHORT PANTS KNIT TERRY FP TRIBAL 2 TPMSK07A:FROST GREY:5-6:PRINT:SHORT PANTS</t>
  </si>
  <si>
    <t>SHORT PANTS KNIT TERRY FP TRIBAL 2 TPMSK07A:FROST GREY:7-8:PRINT:SHORT PANTS</t>
  </si>
  <si>
    <t>SHORT PANTS KNIT TERRY FP TRIBAL 2 TPMSK07A:FROST GREY:9-10:PRINT:SHORT PANTS</t>
  </si>
  <si>
    <t>SHORT PANTS KNIT TERRY FP TRIBAL 2 TPMSK07A:FROST GREY:11-12:PRINT:SHORT PANTS</t>
  </si>
  <si>
    <t>SHORT PANTS KNIT TERRY FP TRIBAL 2 TPMSK07A:FROST GREY:13-14:PRINT:SHORT PANTS</t>
  </si>
  <si>
    <t>TPMSK08A</t>
  </si>
  <si>
    <t>SHORT PANTS KNIT TERRY FP TRIBAL 3 TPMSK08A:CLASSIC BLUE:5-6:PRINT:SHORT PANTS</t>
  </si>
  <si>
    <t>SHORT PANTS KNIT TERRY FP TRIBAL 3 TPMSK08A:CLASSIC BLUE:7-8:PRINT:SHORT PANTS</t>
  </si>
  <si>
    <t>SHORT PANTS KNIT TERRY FP TRIBAL 3 TPMSK08A:CLASSIC BLUE:9-10:PRINT:SHORT PANTS</t>
  </si>
  <si>
    <t>SHORT PANTS KNIT TERRY FP TRIBAL 3 TPMSK08A:CLASSIC BLUE:11-12:PRINT:SHORT PANTS</t>
  </si>
  <si>
    <t>SHORT PANTS KNIT TERRY FP TRIBAL 3 TPMSK08A:CLASSIC BLUE:13-14:PRINT:SHORT PANTS</t>
  </si>
  <si>
    <t>KIPLSHW04</t>
  </si>
  <si>
    <t>SHORT PANTS KI WOVEN PGG RIB KTG TEMPEL 1 KIPLSHW04:KHAKI:5-6:SOLID:SHORT PANTS</t>
  </si>
  <si>
    <t>SHORT PANTS KI WOVEN PGG RIB KTG TEMPEL 1 KIPLSHW04:KHAKI:7-8:SOLID:SHORT PANTS</t>
  </si>
  <si>
    <t>SHORT PANTS KI WOVEN PGG RIB KTG TEMPEL 1 KIPLSHW04:KHAKI:9-10:SOLID:SHORT PANTS</t>
  </si>
  <si>
    <t>SHORT PANTS KI WOVEN PGG RIB KTG TEMPEL 1 KIPLSHW04:KHAKI:11-12:SOLID:SHORT PANTS</t>
  </si>
  <si>
    <t>SHORT PANTS KI WOVEN PGG RIB KTG TEMPEL 1 KIPLSHW04:KHAKI:13-14:SOLID:SHORT PANTS</t>
  </si>
  <si>
    <t>KIPLSHW05</t>
  </si>
  <si>
    <t>SHORT PANTS KI WOVEN PGG RIB KTG TEMPEL 2 KIPLSHW05:CHARCOAL:5-6:SOLID:SHORT PANTS</t>
  </si>
  <si>
    <t>SHORT PANTS KI WOVEN PGG RIB KTG TEMPEL 2 KIPLSHW05:CHARCOAL:7-8:SOLID:SHORT PANTS</t>
  </si>
  <si>
    <t>SHORT PANTS KI WOVEN PGG RIB KTG TEMPEL 2 KIPLSHW05:CHARCOAL:9-10:SOLID:SHORT PANTS</t>
  </si>
  <si>
    <t>SHORT PANTS KI WOVEN PGG RIB KTG TEMPEL 2 KIPLSHW05:CHARCOAL:11-12:SOLID:SHORT PANTS</t>
  </si>
  <si>
    <t>SHORT PANTS KI WOVEN PGG RIB KTG TEMPEL 2 KIPLSHW05:CHARCOAL:13-14:SOLID:SHORT PANTS</t>
  </si>
  <si>
    <t>KIPLSHW06</t>
  </si>
  <si>
    <t>SHORT PANTS KI WOVEN PGG RIB KTG TEMPEL 3 KIPLSHW06:OLIVE:5-6:SOLID:SHORT PANTS</t>
  </si>
  <si>
    <t>SHORT PANTS KI WOVEN PGG RIB KTG TEMPEL 3 KIPLSHW06:OLIVE:7-8:SOLID:SHORT PANTS</t>
  </si>
  <si>
    <t>SHORT PANTS KI WOVEN PGG RIB KTG TEMPEL 3 KIPLSHW06:OLIVE:9-10:SOLID:SHORT PANTS</t>
  </si>
  <si>
    <t>SHORT PANTS KI WOVEN PGG RIB KTG TEMPEL 3 KIPLSHW06:OLIVE:11-12:SOLID:SHORT PANTS</t>
  </si>
  <si>
    <t>SHORT PANTS KI WOVEN PGG RIB KTG TEMPEL 3 KIPLSHW06:OLIVE:13-14:SOLID:SHORT PANTS</t>
  </si>
  <si>
    <t>TPMSW01A</t>
  </si>
  <si>
    <t>SHORT PANTS WOVEN KARGO PGG RIB 01V TPMSW01A:BLACK:5-6:SOLID:SHORT PANTS</t>
  </si>
  <si>
    <t>SHORT PANTS WOVEN KARGO PGG RIB 01V TPMSW01A:BLACK:7-8:SOLID:SHORT PANTS</t>
  </si>
  <si>
    <t>SHORT PANTS WOVEN KARGO PGG RIB 01V TPMSW01A:BLACK:9-10:SOLID:SHORT PANTS</t>
  </si>
  <si>
    <t>SHORT PANTS WOVEN KARGO PGG RIB 01V TPMSW01A:BLACK:11-12:SOLID:SHORT PANTS</t>
  </si>
  <si>
    <t>SHORT PANTS WOVEN KARGO PGG RIB 01V TPMSW01A:BLACK:13-14:SOLID:SHORT PANTS</t>
  </si>
  <si>
    <t>SHORT PANTS WOVEN KARGO PGG RIB 01V TPMSW01A:KHAKI:5-6:SOLID:SHORT PANTS</t>
  </si>
  <si>
    <t>SHORT PANTS WOVEN KARGO PGG RIB 01V TPMSW01A:KHAKI:7-8:SOLID:SHORT PANTS</t>
  </si>
  <si>
    <t>SHORT PANTS WOVEN KARGO PGG RIB 01V TPMSW01A:KHAKI:9-10:SOLID:SHORT PANTS</t>
  </si>
  <si>
    <t>SHORT PANTS WOVEN KARGO PGG RIB 01V TPMSW01A:KHAKI:11-12:SOLID:SHORT PANTS</t>
  </si>
  <si>
    <t>SHORT PANTS WOVEN KARGO PGG RIB 01V TPMSW01A:KHAKI:13-14:SOLID:SHORT PANTS</t>
  </si>
  <si>
    <t>TPMSW03A</t>
  </si>
  <si>
    <t>SHORT PANTS WOVEN KARGO PGG KARET 03V TPMSW03A:CHARCOAL:5-6:SOLID:SHORT PANTS</t>
  </si>
  <si>
    <t>SHORT PANTS WOVEN KARGO PGG KARET 03V TPMSW03A:CHARCOAL:7-8:SOLID:SHORT PANTS</t>
  </si>
  <si>
    <t>SHORT PANTS WOVEN KARGO PGG KARET 03V TPMSW03A:CHARCOAL:9-10:SOLID:SHORT PANTS</t>
  </si>
  <si>
    <t>SHORT PANTS WOVEN KARGO PGG KARET 03V TPMSW03A:CHARCOAL:11-12:SOLID:SHORT PANTS</t>
  </si>
  <si>
    <t>SHORT PANTS WOVEN KARGO PGG KARET 03V TPMSW03A:CHARCOAL:13-14:SOLID:SHORT PANTS</t>
  </si>
  <si>
    <t>SHORT PANTS WOVEN KARGO PGG KARET 03V TPMSW03A:PEPPERMINT:5-6:SOLID:SHORT PANTS</t>
  </si>
  <si>
    <t>SHORT PANTS WOVEN KARGO PGG KARET 03V TPMSW03A:PEPPERMINT:7-8:SOLID:SHORT PANTS</t>
  </si>
  <si>
    <t>SHORT PANTS WOVEN KARGO PGG KARET 03V TPMSW03A:PEPPERMINT:9-10:SOLID:SHORT PANTS</t>
  </si>
  <si>
    <t>SHORT PANTS WOVEN KARGO PGG KARET 03V TPMSW03A:PEPPERMINT:11-12:SOLID:SHORT PANTS</t>
  </si>
  <si>
    <t>SHORT PANTS WOVEN KARGO PGG KARET 03V TPMSW03A:PEPPERMINT:13-14:SOLID:SHORT PANTS</t>
  </si>
  <si>
    <t>TPMSW04V</t>
  </si>
  <si>
    <t>SHORT PANTS WOVEN KARGO PGG RIB 04CR TPMSW04V:SAND:9-10:SOLID:SHORT PANTS</t>
  </si>
  <si>
    <t>SHORT PANTS WOVEN KARGO PGG RIB 04CR TPMSW04V:SAND:11-12:SOLID:SHORT PANTS</t>
  </si>
  <si>
    <t>SHORT PANTS WOVEN KARGO PGG RIB 04CR TPMSW04V:SAND:13-14:SOLID:SHORT PANTS</t>
  </si>
  <si>
    <t>SHORT PANTS WOVEN KARGO PGG RIB 04CR TPMSW04V:SAND:15-16:SOLID:SHORT PANTS</t>
  </si>
  <si>
    <t>SHORT PANTS WOVEN KARGO PGG RIB 04CR TPMSW04V:CHARCOAL:9-10:SOLID:SHORT PANTS</t>
  </si>
  <si>
    <t>SHORT PANTS WOVEN KARGO PGG RIB 04CR TPMSW04V:CHARCOAL:11-12:SOLID:SHORT PANTS</t>
  </si>
  <si>
    <t>SHORT PANTS WOVEN KARGO PGG RIB 04CR TPMSW04V:CHARCOAL:13-14:SOLID:SHORT PANTS</t>
  </si>
  <si>
    <t>SHORT PANTS WOVEN KARGO PGG RIB 04CR TPMSW04V:CHARCOAL:15-16:SOLID:SHORT PANTS</t>
  </si>
  <si>
    <t>SHKHD2504</t>
  </si>
  <si>
    <t>SHORT PANTS KNIT TERRY FP SKATE 1 SHKHD2504:BLACK:5-6:PRINT:SHORT PANTS</t>
  </si>
  <si>
    <t>SHORT PANTS KNIT TERRY FP SKATE 1 SHKHD2504:BLACK:7-8:PRINT:SHORT PANTS</t>
  </si>
  <si>
    <t>SHORT PANTS KNIT TERRY FP SKATE 1 SHKHD2504:BLACK:9-10:PRINT:SHORT PANTS</t>
  </si>
  <si>
    <t>SHORT PANTS KNIT TERRY FP SKATE 1 SHKHD2504:BLACK:11-12:PRINT:SHORT PANTS</t>
  </si>
  <si>
    <t>SHORT PANTS KNIT TERRY FP SKATE 1 SHKHD2504:BLACK:13-14:PRINT:SHORT PANTS</t>
  </si>
  <si>
    <t>SHORT PANTS KNIT TERRY FP SKATE 1 SHKHD2504:BLACK:15+:PRINT:SHORT PANTS</t>
  </si>
  <si>
    <t>SHKHD2505</t>
  </si>
  <si>
    <t>SHORT PANTS KNIT TERRY FP SKATE 2 SHKHD2505:CLASSIC BLUE:5-6:PRINT:SHORT PANTS</t>
  </si>
  <si>
    <t>SHORT PANTS KNIT TERRY FP SKATE 2 SHKHD2505:CLASSIC BLUE:7-8:PRINT:SHORT PANTS</t>
  </si>
  <si>
    <t>SHORT PANTS KNIT TERRY FP SKATE 2 SHKHD2505:CLASSIC BLUE:9-10:PRINT:SHORT PANTS</t>
  </si>
  <si>
    <t>SHORT PANTS KNIT TERRY FP SKATE 2 SHKHD2505:CLASSIC BLUE:11-12:PRINT:SHORT PANTS</t>
  </si>
  <si>
    <t>SHORT PANTS KNIT TERRY FP SKATE 2 SHKHD2505:CLASSIC BLUE:13-14:PRINT:SHORT PANTS</t>
  </si>
  <si>
    <t>SHORT PANTS KNIT TERRY FP SKATE 2 SHKHD2505:CLASSIC BLUE:15+:PRINT:SHORT PANTS</t>
  </si>
  <si>
    <t>SHKHD2506</t>
  </si>
  <si>
    <t>SHORT PANTS KNIT TERRY FP WORDING 1 SHKHD2506:KHAKI:5-6:PRINT:SHORT PANTS</t>
  </si>
  <si>
    <t>SHORT PANTS KNIT TERRY FP WORDING 1 SHKHD2506:KHAKI:7-8:PRINT:SHORT PANTS</t>
  </si>
  <si>
    <t>SHORT PANTS KNIT TERRY FP WORDING 1 SHKHD2506:KHAKI:9-10:PRINT:SHORT PANTS</t>
  </si>
  <si>
    <t>SHORT PANTS KNIT TERRY FP WORDING 1 SHKHD2506:KHAKI:11-12:PRINT:SHORT PANTS</t>
  </si>
  <si>
    <t>SHORT PANTS KNIT TERRY FP WORDING 1 SHKHD2506:KHAKI:13-14:PRINT:SHORT PANTS</t>
  </si>
  <si>
    <t>SHORT PANTS KNIT TERRY FP WORDING 1 SHKHD2506:KHAKI:15+:PRINT:SHORT PANTS</t>
  </si>
  <si>
    <t>SHKHD2507</t>
  </si>
  <si>
    <t>SHORT PANTS KNIT FP TERRY WORDING 2 SHKHD2507:MISTY LIGHT GREY:5-6:PRINT:SHORT PANTS</t>
  </si>
  <si>
    <t>SHORT PANTS KNIT FP TERRY WORDING 2 SHKHD2507:MISTY LIGHT GREY:7-8:PRINT:SHORT PANTS</t>
  </si>
  <si>
    <t>SHORT PANTS KNIT FP TERRY WORDING 2 SHKHD2507:MISTY LIGHT GREY:9-10:PRINT:SHORT PANTS</t>
  </si>
  <si>
    <t>SHORT PANTS KNIT FP TERRY WORDING 2 SHKHD2507:MISTY LIGHT GREY:11-12:PRINT:SHORT PANTS</t>
  </si>
  <si>
    <t>SHORT PANTS KNIT FP TERRY WORDING 2 SHKHD2507:MISTY LIGHT GREY:13-14:PRINT:SHORT PANTS</t>
  </si>
  <si>
    <t>SHORT PANTS KNIT FP TERRY WORDING 2 SHKHD2507:MISTY LIGHT GREY:15+:PRINT:SHORT PANTS</t>
  </si>
  <si>
    <t>PKGSHO01</t>
  </si>
  <si>
    <t>SHORT PANTS KNIT BASIC SABLON VARSITY PKGSHO01:VANILLA:9-10:GRAPHIC:SHORT PANTS</t>
  </si>
  <si>
    <t>SHORT PANTS KNIT BASIC SABLON VARSITY PKGSHO01:VANILLA:11-12:GRAPHIC:SHORT PANTS</t>
  </si>
  <si>
    <t>SHORT PANTS KNIT BASIC SABLON VARSITY PKGSHO01:VANILLA:13-14:GRAPHIC:SHORT PANTS</t>
  </si>
  <si>
    <t>SHORT PANTS KNIT BASIC SABLON VARSITY PKGSHO01:VANILLA:15-16:GRAPHIC:SHORT PANTS</t>
  </si>
  <si>
    <t>PKGSHO02</t>
  </si>
  <si>
    <t>SHORT PANTS KNIT CUT SEWN SAMPING SABLON VARSITY PKGSHO02:NAVY BLUE:9-10:GRAPHIC:SHORT PANTS</t>
  </si>
  <si>
    <t>SHORT PANTS KNIT CUT SEWN SAMPING SABLON VARSITY PKGSHO02:NAVY BLUE:11-12:GRAPHIC:SHORT PANTS</t>
  </si>
  <si>
    <t>SHORT PANTS KNIT CUT SEWN SAMPING SABLON VARSITY PKGSHO02:NAVY BLUE:13-14:GRAPHIC:SHORT PANTS</t>
  </si>
  <si>
    <t>SHORT PANTS KNIT CUT SEWN SAMPING SABLON VARSITY PKGSHO02:NAVY BLUE:15-16:GRAPHIC:SHORT PANTS</t>
  </si>
  <si>
    <t>PKGSHO03</t>
  </si>
  <si>
    <t>SHORT PANTS KNIT CUT SEWN FASH SABLON VARSITY PKGSHO03:NEON YELLOW:9-10:GRAPHIC:SHORT PANTS</t>
  </si>
  <si>
    <t>SHORT PANTS KNIT CUT SEWN FASH SABLON VARSITY PKGSHO03:NEON YELLOW:11-12:GRAPHIC:SHORT PANTS</t>
  </si>
  <si>
    <t>SHORT PANTS KNIT CUT SEWN FASH SABLON VARSITY PKGSHO03:NEON YELLOW:13-14:GRAPHIC:SHORT PANTS</t>
  </si>
  <si>
    <t>SHORT PANTS KNIT CUT SEWN FASH SABLON VARSITY PKGSHO03:NEON YELLOW:15-16:GRAPHIC:SHORT PANTS</t>
  </si>
  <si>
    <t>PKGSHO04</t>
  </si>
  <si>
    <t>SHORT PANTS KNIT CUT SEWN FASH SABLON VARSITY PKGSHO04:MISTY MEDIUM GREY:9-10:GRAPHIC:SHORT PANTS</t>
  </si>
  <si>
    <t>SHORT PANTS KNIT CUT SEWN FASH SABLON VARSITY PKGSHO04:MISTY MEDIUM GREY:11-12:GRAPHIC:SHORT PANTS</t>
  </si>
  <si>
    <t>SHORT PANTS KNIT CUT SEWN FASH SABLON VARSITY PKGSHO04:MISTY MEDIUM GREY:13-14:GRAPHIC:SHORT PANTS</t>
  </si>
  <si>
    <t>SHORT PANTS KNIT CUT SEWN FASH SABLON VARSITY PKGSHO04:MISTY MEDIUM GREY:15-16:GRAPHIC:SHORT PANTS</t>
  </si>
  <si>
    <t>KIPLSHW07</t>
  </si>
  <si>
    <t>SHORT PANTS KI WOVEN RAMSERA MS 1 KIPLSHW07:BLACK:5-6:SOLID:SHORT PANTS</t>
  </si>
  <si>
    <t>SHORT PANTS KI WOVEN RAMSERA MS 1 KIPLSHW07:BLACK:7-8:SOLID:SHORT PANTS</t>
  </si>
  <si>
    <t>SHORT PANTS KI WOVEN RAMSERA MS 1 KIPLSHW07:BLACK:9-10:SOLID:SHORT PANTS</t>
  </si>
  <si>
    <t>SHORT PANTS KI WOVEN RAMSERA MS 1 KIPLSHW07:BLACK:11-12:SOLID:SHORT PANTS</t>
  </si>
  <si>
    <t>SHORT PANTS KI WOVEN RAMSERA MS 1 KIPLSHW07:BLACK:13-14:SOLID:SHORT PANTS</t>
  </si>
  <si>
    <t>SHORT PANTS KI WOVEN RAMSERA MS 1 KIPLSHW07:BLACK:15+:SOLID:SHORT PANTS</t>
  </si>
  <si>
    <t>KIPLSHW08</t>
  </si>
  <si>
    <t>SHORT PANTS KI WOVEN RAMSERA MS 2 KIPLSHW08:SAND:5-6:SOLID:SHORT PANTS</t>
  </si>
  <si>
    <t>SHORT PANTS KI WOVEN RAMSERA MS 2 KIPLSHW08:SAND:7-8:SOLID:SHORT PANTS</t>
  </si>
  <si>
    <t>SHORT PANTS KI WOVEN RAMSERA MS 2 KIPLSHW08:SAND:9-10:SOLID:SHORT PANTS</t>
  </si>
  <si>
    <t>SHORT PANTS KI WOVEN RAMSERA MS 2 KIPLSHW08:SAND:11-12:SOLID:SHORT PANTS</t>
  </si>
  <si>
    <t>SHORT PANTS KI WOVEN RAMSERA MS 2 KIPLSHW08:SAND:13-14:SOLID:SHORT PANTS</t>
  </si>
  <si>
    <t>SHORT PANTS KI WOVEN RAMSERA MS 2 KIPLSHW08:SAND:15+:SOLID:SHORT PANTS</t>
  </si>
  <si>
    <t>KIPLSHW09</t>
  </si>
  <si>
    <t>SHORT PANTS KI WOVEN RAMSERA MS 3 KIPLSHW09:KHAKI:5-6:SOLID:SHORT PANTS</t>
  </si>
  <si>
    <t>SHORT PANTS KI WOVEN RAMSERA MS 3 KIPLSHW09:KHAKI:7-8:SOLID:SHORT PANTS</t>
  </si>
  <si>
    <t>SHORT PANTS KI WOVEN RAMSERA MS 3 KIPLSHW09:KHAKI:9-10:SOLID:SHORT PANTS</t>
  </si>
  <si>
    <t>SHORT PANTS KI WOVEN RAMSERA MS 3 KIPLSHW09:KHAKI:11-12:SOLID:SHORT PANTS</t>
  </si>
  <si>
    <t>SHORT PANTS KI WOVEN RAMSERA MS 3 KIPLSHW09:KHAKI:13-14:SOLID:SHORT PANTS</t>
  </si>
  <si>
    <t>SHORT PANTS KI WOVEN RAMSERA MS 3 KIPLSHW09:KHAKI:15+:SOLID:SHORT PANTS</t>
  </si>
  <si>
    <t>KIPLSHW10</t>
  </si>
  <si>
    <t>SHORT PANTS KI WOVEN LINEN LOOK SLUB 1 KIPLSHW10:NAVY BLUE:5-6:SOLID:SHORT PANTS</t>
  </si>
  <si>
    <t>SHORT PANTS KI WOVEN LINEN LOOK SLUB 1 KIPLSHW10:NAVY BLUE:7-8:SOLID:SHORT PANTS</t>
  </si>
  <si>
    <t>SHORT PANTS KI WOVEN LINEN LOOK SLUB 1 KIPLSHW10:NAVY BLUE:9-10:SOLID:SHORT PANTS</t>
  </si>
  <si>
    <t>SHORT PANTS KI WOVEN LINEN LOOK SLUB 1 KIPLSHW10:NAVY BLUE:11-12:SOLID:SHORT PANTS</t>
  </si>
  <si>
    <t>SHORT PANTS KI WOVEN LINEN LOOK SLUB 1 KIPLSHW10:NAVY BLUE:13-14:SOLID:SHORT PANTS</t>
  </si>
  <si>
    <t>SHORT PANTS KI WOVEN LINEN LOOK SLUB 1 KIPLSHW10:NAVY BLUE:15+:SOLID:SHORT PANTS</t>
  </si>
  <si>
    <t>KIPLSHW11</t>
  </si>
  <si>
    <t>SHORT PANTS KI WOVEN LINEN LOOK SLUB 2 KIPLSHW11:FROST GREY:5-6:SOLID:SHORT PANTS</t>
  </si>
  <si>
    <t>SHORT PANTS KI WOVEN LINEN LOOK SLUB 2 KIPLSHW11:FROST GREY:7-8:SOLID:SHORT PANTS</t>
  </si>
  <si>
    <t>SHORT PANTS KI WOVEN LINEN LOOK SLUB 2 KIPLSHW11:FROST GREY:9-10:SOLID:SHORT PANTS</t>
  </si>
  <si>
    <t>SHORT PANTS KI WOVEN LINEN LOOK SLUB 2 KIPLSHW11:FROST GREY:11-12:SOLID:SHORT PANTS</t>
  </si>
  <si>
    <t>SHORT PANTS KI WOVEN LINEN LOOK SLUB 2 KIPLSHW11:FROST GREY:13-14:SOLID:SHORT PANTS</t>
  </si>
  <si>
    <t>SHORT PANTS KI WOVEN LINEN LOOK SLUB 2 KIPLSHW11:FROST GREY:15+:SOLID:SHORT PANTS</t>
  </si>
  <si>
    <t>KIPLSHW12</t>
  </si>
  <si>
    <t>SHORT PANTS KI WOVEN LINEN LOOK SLUB 3 KIPLSHW12:MAROON:5-6:SOLID:SHORT PANTS</t>
  </si>
  <si>
    <t>SHORT PANTS KI WOVEN LINEN LOOK SLUB 3 KIPLSHW12:MAROON:7-8:SOLID:SHORT PANTS</t>
  </si>
  <si>
    <t>SHORT PANTS KI WOVEN LINEN LOOK SLUB 3 KIPLSHW12:MAROON:9-10:SOLID:SHORT PANTS</t>
  </si>
  <si>
    <t>SHORT PANTS KI WOVEN LINEN LOOK SLUB 3 KIPLSHW12:MAROON:11-12:SOLID:SHORT PANTS</t>
  </si>
  <si>
    <t>SHORT PANTS KI WOVEN LINEN LOOK SLUB 3 KIPLSHW12:MAROON:13-14:SOLID:SHORT PANTS</t>
  </si>
  <si>
    <t>SHORT PANTS KI WOVEN LINEN LOOK SLUB 3 KIPLSHW12:MAROON:15+:SOLID:SHORT PANTS</t>
  </si>
  <si>
    <t>KIPLSHW13</t>
  </si>
  <si>
    <t>SHORT PANTS KI WOVEN TWILL CANVAS 1 KIPLSHW13:PASTEL BLUE:5-6:SOLID:SHORT PANTS</t>
  </si>
  <si>
    <t>SHORT PANTS KI WOVEN TWILL CANVAS 1 KIPLSHW13:PASTEL BLUE:7-8:SOLID:SHORT PANTS</t>
  </si>
  <si>
    <t>SHORT PANTS KI WOVEN TWILL CANVAS 1 KIPLSHW13:PASTEL BLUE:9-10:SOLID:SHORT PANTS</t>
  </si>
  <si>
    <t>SHORT PANTS KI WOVEN TWILL CANVAS 1 KIPLSHW13:PASTEL BLUE:11-12:SOLID:SHORT PANTS</t>
  </si>
  <si>
    <t>SHORT PANTS KI WOVEN TWILL CANVAS 1 KIPLSHW13:PASTEL BLUE:13-14:SOLID:SHORT PANTS</t>
  </si>
  <si>
    <t>SHORT PANTS KI WOVEN TWILL CANVAS 1 KIPLSHW13:PASTEL BLUE:15+:SOLID:SHORT PANTS</t>
  </si>
  <si>
    <t>KIPLSHW14</t>
  </si>
  <si>
    <t>SHORT PANTS KI WOVEN TWILL CANVAS 2 KIPLSHW14:CHARCOAL:5-6:SOLID:SHORT PANTS</t>
  </si>
  <si>
    <t>SHORT PANTS KI WOVEN TWILL CANVAS 2 KIPLSHW14:CHARCOAL:7-8:SOLID:SHORT PANTS</t>
  </si>
  <si>
    <t>SHORT PANTS KI WOVEN TWILL CANVAS 2 KIPLSHW14:CHARCOAL:9-10:SOLID:SHORT PANTS</t>
  </si>
  <si>
    <t>SHORT PANTS KI WOVEN TWILL CANVAS 2 KIPLSHW14:CHARCOAL:11-12:SOLID:SHORT PANTS</t>
  </si>
  <si>
    <t>SHORT PANTS KI WOVEN TWILL CANVAS 2 KIPLSHW14:CHARCOAL:13-14:SOLID:SHORT PANTS</t>
  </si>
  <si>
    <t>SHORT PANTS KI WOVEN TWILL CANVAS 2 KIPLSHW14:CHARCOAL:15+:SOLID:SHORT PANTS</t>
  </si>
  <si>
    <t>KIPLSHW15</t>
  </si>
  <si>
    <t>SHORT PANTS KI WOVEN TWILL CANVAS 3 KIPLSHW15:OLIVE:5-6:SOLID:SHORT PANTS</t>
  </si>
  <si>
    <t>SHORT PANTS KI WOVEN TWILL CANVAS 3 KIPLSHW15:OLIVE:7-8:SOLID:SHORT PANTS</t>
  </si>
  <si>
    <t>SHORT PANTS KI WOVEN TWILL CANVAS 3 KIPLSHW15:OLIVE:9-10:SOLID:SHORT PANTS</t>
  </si>
  <si>
    <t>SHORT PANTS KI WOVEN TWILL CANVAS 3 KIPLSHW15:OLIVE:11-12:SOLID:SHORT PANTS</t>
  </si>
  <si>
    <t>SHORT PANTS KI WOVEN TWILL CANVAS 3 KIPLSHW15:OLIVE:13-14:SOLID:SHORT PANTS</t>
  </si>
  <si>
    <t>SHORT PANTS KI WOVEN TWILL CANVAS 3 KIPLSHW15:OLIVE:15+:SOLID:SHORT PANTS</t>
  </si>
  <si>
    <t>KIJV2563</t>
  </si>
  <si>
    <t>SS T-SHIRT KI TANGAN LEHER INTIP KIJV2563:WHITE:5-6:SOLID:SS T-SHIRT</t>
  </si>
  <si>
    <t>SS T-SHIRT KI TANGAN LEHER INTIP KIJV2563:WHITE:7-8:SOLID:SS T-SHIRT</t>
  </si>
  <si>
    <t>SS T-SHIRT KI TANGAN LEHER INTIP KIJV2563:WHITE:9-10:SOLID:SS T-SHIRT</t>
  </si>
  <si>
    <t>SS T-SHIRT KI TANGAN LEHER INTIP KIJV2563:WHITE:11-12:SOLID:SS T-SHIRT</t>
  </si>
  <si>
    <t>SS T-SHIRT KI TANGAN LEHER INTIP KIJV2563:WHITE:13-14:SOLID:SS T-SHIRT</t>
  </si>
  <si>
    <t>SS T-SHIRT KI TANGAN LEHER INTIP KIJV2563:WHITE:15+:SOLID:SS T-SHIRT</t>
  </si>
  <si>
    <t>SS T-SHIRT KI TANGAN LEHER INTIP KIJV2563:KHAKI:5-6:SOLID:SS T-SHIRT</t>
  </si>
  <si>
    <t>SS T-SHIRT KI TANGAN LEHER INTIP KIJV2563:KHAKI:7-8:SOLID:SS T-SHIRT</t>
  </si>
  <si>
    <t>SS T-SHIRT KI TANGAN LEHER INTIP KIJV2563:KHAKI:9-10:SOLID:SS T-SHIRT</t>
  </si>
  <si>
    <t>SS T-SHIRT KI TANGAN LEHER INTIP KIJV2563:KHAKI:11-12:SOLID:SS T-SHIRT</t>
  </si>
  <si>
    <t>SS T-SHIRT KI TANGAN LEHER INTIP KIJV2563:KHAKI:13-14:SOLID:SS T-SHIRT</t>
  </si>
  <si>
    <t>SS T-SHIRT KI TANGAN LEHER INTIP KIJV2563:KHAKI:15+:SOLID:SS T-SHIRT</t>
  </si>
  <si>
    <t>SS T-SHIRT KI TANGAN LEHER INTIP KIJV2563:PASTEL GREEN:5-6:SOLID:SS T-SHIRT</t>
  </si>
  <si>
    <t>SS T-SHIRT KI TANGAN LEHER INTIP KIJV2563:PASTEL GREEN:7-8:SOLID:SS T-SHIRT</t>
  </si>
  <si>
    <t>SS T-SHIRT KI TANGAN LEHER INTIP KIJV2563:PASTEL GREEN:9-10:SOLID:SS T-SHIRT</t>
  </si>
  <si>
    <t>SS T-SHIRT KI TANGAN LEHER INTIP KIJV2563:PASTEL GREEN:11-12:SOLID:SS T-SHIRT</t>
  </si>
  <si>
    <t>SS T-SHIRT KI TANGAN LEHER INTIP KIJV2563:PASTEL GREEN:13-14:SOLID:SS T-SHIRT</t>
  </si>
  <si>
    <t>SS T-SHIRT KI TANGAN LEHER INTIP KIJV2563:PASTEL GREEN:15+:SOLID:SS T-SHIRT</t>
  </si>
  <si>
    <t>SS T-SHIRT KI TANGAN LEHER INTIP KIJV2563:PASTEL BLUE:5-6:SOLID:SS T-SHIRT</t>
  </si>
  <si>
    <t>SS T-SHIRT KI TANGAN LEHER INTIP KIJV2563:PASTEL BLUE:7-8:SOLID:SS T-SHIRT</t>
  </si>
  <si>
    <t>SS T-SHIRT KI TANGAN LEHER INTIP KIJV2563:PASTEL BLUE:9-10:SOLID:SS T-SHIRT</t>
  </si>
  <si>
    <t>SS T-SHIRT KI TANGAN LEHER INTIP KIJV2563:PASTEL BLUE:11-12:SOLID:SS T-SHIRT</t>
  </si>
  <si>
    <t>SS T-SHIRT KI TANGAN LEHER INTIP KIJV2563:PASTEL BLUE:13-14:SOLID:SS T-SHIRT</t>
  </si>
  <si>
    <t>SS T-SHIRT KI TANGAN LEHER INTIP KIJV2563:PASTEL BLUE:15+:SOLID:SS T-SHIRT</t>
  </si>
  <si>
    <t>SS T-SHIRT KI TANGAN LEHER INTIP KIJV2563:DUSTY PINK:5-6:SOLID:SS T-SHIRT</t>
  </si>
  <si>
    <t>SS T-SHIRT KI TANGAN LEHER INTIP KIJV2563:DUSTY PINK:7-8:SOLID:SS T-SHIRT</t>
  </si>
  <si>
    <t>SS T-SHIRT KI TANGAN LEHER INTIP KIJV2563:DUSTY PINK:9-10:SOLID:SS T-SHIRT</t>
  </si>
  <si>
    <t>SS T-SHIRT KI TANGAN LEHER INTIP KIJV2563:DUSTY PINK:11-12:SOLID:SS T-SHIRT</t>
  </si>
  <si>
    <t>SS T-SHIRT KI TANGAN LEHER INTIP KIJV2563:DUSTY PINK:13-14:SOLID:SS T-SHIRT</t>
  </si>
  <si>
    <t>SS T-SHIRT KI TANGAN LEHER INTIP KIJV2563:DUSTY PINK:15+:SOLID:SS T-SHIRT</t>
  </si>
  <si>
    <t>KIJV2543</t>
  </si>
  <si>
    <t>SS T-SHIRT KI SOLID EMHA 1 KIJV2543:OFF WHITE:5-6:SOLID:SS T-SHIRT</t>
  </si>
  <si>
    <t>SS T-SHIRT KI SOLID EMHA 1 KIJV2543:OFF WHITE:7-8:SOLID:SS T-SHIRT</t>
  </si>
  <si>
    <t>SS T-SHIRT KI SOLID EMHA 1 KIJV2543:OFF WHITE:9-10:SOLID:SS T-SHIRT</t>
  </si>
  <si>
    <t>SS T-SHIRT KI SOLID EMHA 1 KIJV2543:OFF WHITE:11-12:SOLID:SS T-SHIRT</t>
  </si>
  <si>
    <t>SS T-SHIRT KI SOLID EMHA 1 KIJV2543:OFF WHITE:13-14:SOLID:SS T-SHIRT</t>
  </si>
  <si>
    <t>SS T-SHIRT KI SOLID EMHA 1 KIJV2543:OFF WHITE:15+:SOLID:SS T-SHIRT</t>
  </si>
  <si>
    <t>KIJV2544</t>
  </si>
  <si>
    <t>SS T-SHIRT KI SOLID EMHA 2 KIJV2544:BLACK:5-6:SOLID:SS T-SHIRT</t>
  </si>
  <si>
    <t>SS T-SHIRT KI SOLID EMHA 2 KIJV2544:BLACK:7-8:SOLID:SS T-SHIRT</t>
  </si>
  <si>
    <t>SS T-SHIRT KI SOLID EMHA 2 KIJV2544:BLACK:9-10:SOLID:SS T-SHIRT</t>
  </si>
  <si>
    <t>SS T-SHIRT KI SOLID EMHA 2 KIJV2544:BLACK:11-12:SOLID:SS T-SHIRT</t>
  </si>
  <si>
    <t>SS T-SHIRT KI SOLID EMHA 2 KIJV2544:BLACK:13-14:SOLID:SS T-SHIRT</t>
  </si>
  <si>
    <t>SS T-SHIRT KI SOLID EMHA 2 KIJV2544:BLACK:15+:SOLID:SS T-SHIRT</t>
  </si>
  <si>
    <t>KIJV2545</t>
  </si>
  <si>
    <t>SS T-SHIRT KI SOLID EMHA 3 KIJV2545:BROWN SUGAR:5-6:SOLID:SS T-SHIRT</t>
  </si>
  <si>
    <t>SS T-SHIRT KI SOLID EMHA 3 KIJV2545:BROWN SUGAR:7-8:SOLID:SS T-SHIRT</t>
  </si>
  <si>
    <t>SS T-SHIRT KI SOLID EMHA 3 KIJV2545:BROWN SUGAR:9-10:SOLID:SS T-SHIRT</t>
  </si>
  <si>
    <t>SS T-SHIRT KI SOLID EMHA 3 KIJV2545:BROWN SUGAR:11-12:SOLID:SS T-SHIRT</t>
  </si>
  <si>
    <t>SS T-SHIRT KI SOLID EMHA 3 KIJV2545:BROWN SUGAR:13-14:SOLID:SS T-SHIRT</t>
  </si>
  <si>
    <t>SS T-SHIRT KI SOLID EMHA 3 KIJV2545:BROWN SUGAR:15+:SOLID:SS T-SHIRT</t>
  </si>
  <si>
    <t>KIJV2546</t>
  </si>
  <si>
    <t>SS T-SHIRT KI SOLID EMHA 4 KIJV2546:FOREST GREEN:5-6:SOLID:SS T-SHIRT</t>
  </si>
  <si>
    <t>SS T-SHIRT KI SOLID EMHA 4 KIJV2546:FOREST GREEN:7-8:SOLID:SS T-SHIRT</t>
  </si>
  <si>
    <t>SS T-SHIRT KI SOLID EMHA 4 KIJV2546:FOREST GREEN:9-10:SOLID:SS T-SHIRT</t>
  </si>
  <si>
    <t>SS T-SHIRT KI SOLID EMHA 4 KIJV2546:FOREST GREEN:11-12:SOLID:SS T-SHIRT</t>
  </si>
  <si>
    <t>SS T-SHIRT KI SOLID EMHA 4 KIJV2546:FOREST GREEN:13-14:SOLID:SS T-SHIRT</t>
  </si>
  <si>
    <t>SS T-SHIRT KI SOLID EMHA 4 KIJV2546:FOREST GREEN:15+:SOLID:SS T-SHIRT</t>
  </si>
  <si>
    <t>KIJV2547</t>
  </si>
  <si>
    <t>SS T-SHIRT KI SOLID EMHA 5 KIJV2547:CLASSIC RED:5-6:SOLID:SS T-SHIRT</t>
  </si>
  <si>
    <t>SS T-SHIRT KI SOLID EMHA 5 KIJV2547:CLASSIC RED:7-8:SOLID:SS T-SHIRT</t>
  </si>
  <si>
    <t>SS T-SHIRT KI SOLID EMHA 5 KIJV2547:CLASSIC RED:9-10:SOLID:SS T-SHIRT</t>
  </si>
  <si>
    <t>SS T-SHIRT KI SOLID EMHA 5 KIJV2547:CLASSIC RED:11-12:SOLID:SS T-SHIRT</t>
  </si>
  <si>
    <t>SS T-SHIRT KI SOLID EMHA 5 KIJV2547:CLASSIC RED:13-14:SOLID:SS T-SHIRT</t>
  </si>
  <si>
    <t>SS T-SHIRT KI SOLID EMHA 5 KIJV2547:CLASSIC RED:15+:SOLID:SS T-SHIRT</t>
  </si>
  <si>
    <t>SHWTPM11</t>
  </si>
  <si>
    <t>SHORT PANTS WOVEN KENZO TWILL CARGO POCKET 1 SHWTPM11:VANILLA:5-6:SOLID:SHORT PANTS</t>
  </si>
  <si>
    <t>SHORT PANTS WOVEN KENZO TWILL CARGO POCKET 1 SHWTPM11:VANILLA:7-8:SOLID:SHORT PANTS</t>
  </si>
  <si>
    <t>SHORT PANTS WOVEN KENZO TWILL CARGO POCKET 1 SHWTPM11:VANILLA:9-10:SOLID:SHORT PANTS</t>
  </si>
  <si>
    <t>SHORT PANTS WOVEN KENZO TWILL CARGO POCKET 1 SHWTPM11:VANILLA:11-12:SOLID:SHORT PANTS</t>
  </si>
  <si>
    <t>SHORT PANTS WOVEN KENZO TWILL CARGO POCKET 1 SHWTPM11:VANILLA:13-14:SOLID:SHORT PANTS</t>
  </si>
  <si>
    <t>SHORT PANTS WOVEN KENZO TWILL CARGO POCKET 1 SHWTPM11:VANILLA:15+:SOLID:SHORT PANTS</t>
  </si>
  <si>
    <t>SHORT PANTS WOVEN KENZO TWILL CARGO POCKET 1 SHWTPM11:CHARCOAL:5-6:SOLID:SHORT PANTS</t>
  </si>
  <si>
    <t>SHORT PANTS WOVEN KENZO TWILL CARGO POCKET 1 SHWTPM11:CHARCOAL:7-8:SOLID:SHORT PANTS</t>
  </si>
  <si>
    <t>SHORT PANTS WOVEN KENZO TWILL CARGO POCKET 1 SHWTPM11:CHARCOAL:9-10:SOLID:SHORT PANTS</t>
  </si>
  <si>
    <t>SHORT PANTS WOVEN KENZO TWILL CARGO POCKET 1 SHWTPM11:CHARCOAL:11-12:SOLID:SHORT PANTS</t>
  </si>
  <si>
    <t>SHORT PANTS WOVEN KENZO TWILL CARGO POCKET 1 SHWTPM11:CHARCOAL:13-14:SOLID:SHORT PANTS</t>
  </si>
  <si>
    <t>SHORT PANTS WOVEN KENZO TWILL CARGO POCKET 1 SHWTPM11:CHARCOAL:15+:SOLID:SHORT PANTS</t>
  </si>
  <si>
    <t>SHWTPM09</t>
  </si>
  <si>
    <t>SHORT PANTS WOVEN BABY CANVAS POCKET CARGO 1 SHWTPM09:OLIVE:5-6:SOLID:SHORT PANTS</t>
  </si>
  <si>
    <t>SHORT PANTS WOVEN BABY CANVAS POCKET CARGO 1 SHWTPM09:OLIVE:7-8:SOLID:SHORT PANTS</t>
  </si>
  <si>
    <t>SHORT PANTS WOVEN BABY CANVAS POCKET CARGO 1 SHWTPM09:OLIVE:9-10:SOLID:SHORT PANTS</t>
  </si>
  <si>
    <t>SHORT PANTS WOVEN BABY CANVAS POCKET CARGO 1 SHWTPM09:OLIVE:11-12:SOLID:SHORT PANTS</t>
  </si>
  <si>
    <t>SHORT PANTS WOVEN BABY CANVAS POCKET CARGO 1 SHWTPM09:OLIVE:13-14:SOLID:SHORT PANTS</t>
  </si>
  <si>
    <t>SHORT PANTS WOVEN BABY CANVAS POCKET CARGO 1 SHWTPM09:OLIVE:15+:SOLID:SHORT PANTS</t>
  </si>
  <si>
    <t>SHORT PANTS WOVEN BABY CANVAS POCKET CARGO 1 SHWTPM09:RUSTIC BROWN:5-6:SOLID:SHORT PANTS</t>
  </si>
  <si>
    <t>SHORT PANTS WOVEN BABY CANVAS POCKET CARGO 1 SHWTPM09:RUSTIC BROWN:7-8:SOLID:SHORT PANTS</t>
  </si>
  <si>
    <t>SHORT PANTS WOVEN BABY CANVAS POCKET CARGO 1 SHWTPM09:RUSTIC BROWN:9-10:SOLID:SHORT PANTS</t>
  </si>
  <si>
    <t>SHORT PANTS WOVEN BABY CANVAS POCKET CARGO 1 SHWTPM09:RUSTIC BROWN:11-12:SOLID:SHORT PANTS</t>
  </si>
  <si>
    <t>SHORT PANTS WOVEN BABY CANVAS POCKET CARGO 1 SHWTPM09:RUSTIC BROWN:13-14:SOLID:SHORT PANTS</t>
  </si>
  <si>
    <t>SHORT PANTS WOVEN BABY CANVAS POCKET CARGO 1 SHWTPM09:RUSTIC BROWN:15+:SOLID:SHORT PANTS</t>
  </si>
  <si>
    <t>KIJV2554</t>
  </si>
  <si>
    <t>SS T-SHIRT KI CONTRAST MOCK LAYER KIJV2554:BLACK:5-6:SOLID:SS T-SHIRT</t>
  </si>
  <si>
    <t>SS T-SHIRT KI CONTRAST MOCK LAYER KIJV2554:BLACK:7-8:SOLID:SS T-SHIRT</t>
  </si>
  <si>
    <t>SS T-SHIRT KI CONTRAST MOCK LAYER KIJV2554:BLACK:9-10:SOLID:SS T-SHIRT</t>
  </si>
  <si>
    <t>SS T-SHIRT KI CONTRAST MOCK LAYER KIJV2554:BLACK:11-12:SOLID:SS T-SHIRT</t>
  </si>
  <si>
    <t>SS T-SHIRT KI CONTRAST MOCK LAYER KIJV2554:BLACK:13-14:SOLID:SS T-SHIRT</t>
  </si>
  <si>
    <t>SS T-SHIRT KI CONTRAST MOCK LAYER KIJV2554:BLACK:15+:SOLID:SS T-SHIRT</t>
  </si>
  <si>
    <t>SS T-SHIRT KI CONTRAST MOCK LAYER KIJV2554:OFF WHITE:5-6:SOLID:SS T-SHIRT</t>
  </si>
  <si>
    <t>SS T-SHIRT KI CONTRAST MOCK LAYER KIJV2554:OFF WHITE:7-8:SOLID:SS T-SHIRT</t>
  </si>
  <si>
    <t>SS T-SHIRT KI CONTRAST MOCK LAYER KIJV2554:OFF WHITE:9-10:SOLID:SS T-SHIRT</t>
  </si>
  <si>
    <t>SS T-SHIRT KI CONTRAST MOCK LAYER KIJV2554:OFF WHITE:11-12:SOLID:SS T-SHIRT</t>
  </si>
  <si>
    <t>SS T-SHIRT KI CONTRAST MOCK LAYER KIJV2554:OFF WHITE:13-14:SOLID:SS T-SHIRT</t>
  </si>
  <si>
    <t>SS T-SHIRT KI CONTRAST MOCK LAYER KIJV2554:OFF WHITE:15+:SOLID:SS T-SHIRT</t>
  </si>
  <si>
    <t>SS T-SHIRT KI CONTRAST MOCK LAYER KIJV2554:CLASSIC BLUE:5-6:SOLID:SS T-SHIRT</t>
  </si>
  <si>
    <t>SS T-SHIRT KI CONTRAST MOCK LAYER KIJV2554:CLASSIC BLUE:7-8:SOLID:SS T-SHIRT</t>
  </si>
  <si>
    <t>SS T-SHIRT KI CONTRAST MOCK LAYER KIJV2554:CLASSIC BLUE:9-10:SOLID:SS T-SHIRT</t>
  </si>
  <si>
    <t>SS T-SHIRT KI CONTRAST MOCK LAYER KIJV2554:CLASSIC BLUE:11-12:SOLID:SS T-SHIRT</t>
  </si>
  <si>
    <t>SS T-SHIRT KI CONTRAST MOCK LAYER KIJV2554:CLASSIC BLUE:13-14:SOLID:SS T-SHIRT</t>
  </si>
  <si>
    <t>SS T-SHIRT KI CONTRAST MOCK LAYER KIJV2554:CLASSIC BLUE:15+:SOLID:SS T-SHIRT</t>
  </si>
  <si>
    <t>SS T-SHIRT KI CONTRAST MOCK LAYER KIJV2554:GRASS GREEN:5-6:SOLID:SS T-SHIRT</t>
  </si>
  <si>
    <t>SS T-SHIRT KI CONTRAST MOCK LAYER KIJV2554:GRASS GREEN:7-8:SOLID:SS T-SHIRT</t>
  </si>
  <si>
    <t>SS T-SHIRT KI CONTRAST MOCK LAYER KIJV2554:GRASS GREEN:9-10:SOLID:SS T-SHIRT</t>
  </si>
  <si>
    <t>SS T-SHIRT KI CONTRAST MOCK LAYER KIJV2554:GRASS GREEN:11-12:SOLID:SS T-SHIRT</t>
  </si>
  <si>
    <t>SS T-SHIRT KI CONTRAST MOCK LAYER KIJV2554:GRASS GREEN:13-14:SOLID:SS T-SHIRT</t>
  </si>
  <si>
    <t>SS T-SHIRT KI CONTRAST MOCK LAYER KIJV2554:GRASS GREEN:15+:SOLID:SS T-SHIRT</t>
  </si>
  <si>
    <t>SS T-SHIRT KI CONTRAST MOCK LAYER KIJV2554:CLASSIC RED:5-6:SOLID:SS T-SHIRT</t>
  </si>
  <si>
    <t>SS T-SHIRT KI CONTRAST MOCK LAYER KIJV2554:CLASSIC RED:7-8:SOLID:SS T-SHIRT</t>
  </si>
  <si>
    <t>SS T-SHIRT KI CONTRAST MOCK LAYER KIJV2554:CLASSIC RED:9-10:SOLID:SS T-SHIRT</t>
  </si>
  <si>
    <t>SS T-SHIRT KI CONTRAST MOCK LAYER KIJV2554:CLASSIC RED:11-12:SOLID:SS T-SHIRT</t>
  </si>
  <si>
    <t>SS T-SHIRT KI CONTRAST MOCK LAYER KIJV2554:CLASSIC RED:13-14:SOLID:SS T-SHIRT</t>
  </si>
  <si>
    <t>SS T-SHIRT KI CONTRAST MOCK LAYER KIJV2554:CLASSIC RED:15+:SOLID:SS T-SHIRT</t>
  </si>
  <si>
    <t>KIJV2559</t>
  </si>
  <si>
    <t>SS T-SHIRT KI SOLID COLOR KIJV2559:NAVY BLUE:5-6:SOLID:SS T-SHIRT</t>
  </si>
  <si>
    <t>SS T-SHIRT KI SOLID COLOR KIJV2559:NAVY BLUE:7-8:SOLID:SS T-SHIRT</t>
  </si>
  <si>
    <t>SS T-SHIRT KI SOLID COLOR KIJV2559:NAVY BLUE:9-10:SOLID:SS T-SHIRT</t>
  </si>
  <si>
    <t>SS T-SHIRT KI SOLID COLOR KIJV2559:NAVY BLUE:11-12:SOLID:SS T-SHIRT</t>
  </si>
  <si>
    <t>SS T-SHIRT KI SOLID COLOR KIJV2559:NAVY BLUE:13-14:SOLID:SS T-SHIRT</t>
  </si>
  <si>
    <t>SS T-SHIRT KI SOLID COLOR KIJV2559:NAVY BLUE:15+:SOLID:SS T-SHIRT</t>
  </si>
  <si>
    <t>SS T-SHIRT KI SOLID COLOR KIJV2559:PASTEL GREEN:5-6:SOLID:SS T-SHIRT</t>
  </si>
  <si>
    <t>SS T-SHIRT KI SOLID COLOR KIJV2559:PASTEL GREEN:7-8:SOLID:SS T-SHIRT</t>
  </si>
  <si>
    <t>SS T-SHIRT KI SOLID COLOR KIJV2559:PASTEL GREEN:9-10:SOLID:SS T-SHIRT</t>
  </si>
  <si>
    <t>SS T-SHIRT KI SOLID COLOR KIJV2559:PASTEL GREEN:11-12:SOLID:SS T-SHIRT</t>
  </si>
  <si>
    <t>SS T-SHIRT KI SOLID COLOR KIJV2559:PASTEL GREEN:13-14:SOLID:SS T-SHIRT</t>
  </si>
  <si>
    <t>SS T-SHIRT KI SOLID COLOR KIJV2559:PASTEL GREEN:15+:SOLID:SS T-SHIRT</t>
  </si>
  <si>
    <t>SS T-SHIRT KI SOLID COLOR KIJV2559:CLASSIC YELLOW:5-6:SOLID:SS T-SHIRT</t>
  </si>
  <si>
    <t>SS T-SHIRT KI SOLID COLOR KIJV2559:CLASSIC YELLOW:7-8:SOLID:SS T-SHIRT</t>
  </si>
  <si>
    <t>SS T-SHIRT KI SOLID COLOR KIJV2559:CLASSIC YELLOW:9-10:SOLID:SS T-SHIRT</t>
  </si>
  <si>
    <t>SS T-SHIRT KI SOLID COLOR KIJV2559:CLASSIC YELLOW:11-12:SOLID:SS T-SHIRT</t>
  </si>
  <si>
    <t>SS T-SHIRT KI SOLID COLOR KIJV2559:CLASSIC YELLOW:13-14:SOLID:SS T-SHIRT</t>
  </si>
  <si>
    <t>SS T-SHIRT KI SOLID COLOR KIJV2559:CLASSIC YELLOW:15+:SOLID:SS T-SHIRT</t>
  </si>
  <si>
    <t>SS T-SHIRT KI SOLID COLOR KIJV2559:CLASSIC BLUE:5-6:SOLID:SS T-SHIRT</t>
  </si>
  <si>
    <t>SS T-SHIRT KI SOLID COLOR KIJV2559:CLASSIC BLUE:7-8:SOLID:SS T-SHIRT</t>
  </si>
  <si>
    <t>SS T-SHIRT KI SOLID COLOR KIJV2559:CLASSIC BLUE:9-10:SOLID:SS T-SHIRT</t>
  </si>
  <si>
    <t>SS T-SHIRT KI SOLID COLOR KIJV2559:CLASSIC BLUE:11-12:SOLID:SS T-SHIRT</t>
  </si>
  <si>
    <t>SS T-SHIRT KI SOLID COLOR KIJV2559:CLASSIC BLUE:13-14:SOLID:SS T-SHIRT</t>
  </si>
  <si>
    <t>SS T-SHIRT KI SOLID COLOR KIJV2559:CLASSIC BLUE:15+:SOLID:SS T-SHIRT</t>
  </si>
  <si>
    <t>SS T-SHIRT KI SOLID COLOR KIJV2559:OFF WHITE:5-6:SOLID:SS T-SHIRT</t>
  </si>
  <si>
    <t>SS T-SHIRT KI SOLID COLOR KIJV2559:OFF WHITE:7-8:SOLID:SS T-SHIRT</t>
  </si>
  <si>
    <t>SS T-SHIRT KI SOLID COLOR KIJV2559:OFF WHITE:9-10:SOLID:SS T-SHIRT</t>
  </si>
  <si>
    <t>SS T-SHIRT KI SOLID COLOR KIJV2559:OFF WHITE:11-12:SOLID:SS T-SHIRT</t>
  </si>
  <si>
    <t>SS T-SHIRT KI SOLID COLOR KIJV2559:OFF WHITE:13-14:SOLID:SS T-SHIRT</t>
  </si>
  <si>
    <t>SS T-SHIRT KI SOLID COLOR KIJV2559:OFF WHITE:15+:SOLID:SS T-SHIRT</t>
  </si>
  <si>
    <t>SHKHD2501</t>
  </si>
  <si>
    <t>SHORT PANTS KNIT TERRY KARGO CLOWN 1 SHKHD2501:BLACK:5-6:GRAPHIC:SHORT PANTS</t>
  </si>
  <si>
    <t>SHORT PANTS KNIT TERRY KARGO CLOWN 1 SHKHD2501:BLACK:7-8:GRAPHIC:SHORT PANTS</t>
  </si>
  <si>
    <t>SHORT PANTS KNIT TERRY KARGO CLOWN 1 SHKHD2501:BLACK:9-10:GRAPHIC:SHORT PANTS</t>
  </si>
  <si>
    <t>SHORT PANTS KNIT TERRY KARGO CLOWN 1 SHKHD2501:BLACK:11-12:GRAPHIC:SHORT PANTS</t>
  </si>
  <si>
    <t>SHORT PANTS KNIT TERRY KARGO CLOWN 1 SHKHD2501:BLACK:13-14:GRAPHIC:SHORT PANTS</t>
  </si>
  <si>
    <t>SHORT PANTS KNIT TERRY KARGO CLOWN 1 SHKHD2501:BLACK:15+:GRAPHIC:SHORT PANTS</t>
  </si>
  <si>
    <t>SHKHD2502</t>
  </si>
  <si>
    <t>SHORT PANTS KNIT TERRY KARGO CLOWN 2 SHKHD2502:NAVY BLUE:5-6:GRAPHIC:SHORT PANTS</t>
  </si>
  <si>
    <t>SHORT PANTS KNIT TERRY KARGO CLOWN 2 SHKHD2502:NAVY BLUE:7-8:GRAPHIC:SHORT PANTS</t>
  </si>
  <si>
    <t>SHORT PANTS KNIT TERRY KARGO CLOWN 2 SHKHD2502:NAVY BLUE:9-10:GRAPHIC:SHORT PANTS</t>
  </si>
  <si>
    <t>SHORT PANTS KNIT TERRY KARGO CLOWN 2 SHKHD2502:NAVY BLUE:11-12:GRAPHIC:SHORT PANTS</t>
  </si>
  <si>
    <t>SHORT PANTS KNIT TERRY KARGO CLOWN 2 SHKHD2502:NAVY BLUE:13-14:GRAPHIC:SHORT PANTS</t>
  </si>
  <si>
    <t>SHORT PANTS KNIT TERRY KARGO CLOWN 2 SHKHD2502:NAVY BLUE:15+:GRAPHIC:SHORT PANTS</t>
  </si>
  <si>
    <t>SHKHD2503</t>
  </si>
  <si>
    <t>SHORT PANTS KNIT TERRY KARGO CLOWN 3 SHKHD2503:OFF WHITE:5-6:GRAPHIC:SHORT PANTS</t>
  </si>
  <si>
    <t>SHORT PANTS KNIT TERRY KARGO CLOWN 3 SHKHD2503:OFF WHITE:7-8:GRAPHIC:SHORT PANTS</t>
  </si>
  <si>
    <t>SHORT PANTS KNIT TERRY KARGO CLOWN 3 SHKHD2503:OFF WHITE:9-10:GRAPHIC:SHORT PANTS</t>
  </si>
  <si>
    <t>SHORT PANTS KNIT TERRY KARGO CLOWN 3 SHKHD2503:OFF WHITE:11-12:GRAPHIC:SHORT PANTS</t>
  </si>
  <si>
    <t>SHORT PANTS KNIT TERRY KARGO CLOWN 3 SHKHD2503:OFF WHITE:13-14:GRAPHIC:SHORT PANTS</t>
  </si>
  <si>
    <t>SHORT PANTS KNIT TERRY KARGO CLOWN 3 SHKHD2503:OFF WHITE:15+:GRAPHIC:SHORT PANTS</t>
  </si>
  <si>
    <t>SHKHD2508</t>
  </si>
  <si>
    <t>SHORT PANTS DOUBLE KNIT ZIPPER 1 SHKHD2508:PASTEL BLUE:5-6:SOLID:SHORT PANTS</t>
  </si>
  <si>
    <t>SHORT PANTS DOUBLE KNIT ZIPPER 1 SHKHD2508:PASTEL BLUE:7-8:SOLID:SHORT PANTS</t>
  </si>
  <si>
    <t>SHORT PANTS DOUBLE KNIT ZIPPER 1 SHKHD2508:PASTEL BLUE:9-10:SOLID:SHORT PANTS</t>
  </si>
  <si>
    <t>SHORT PANTS DOUBLE KNIT ZIPPER 1 SHKHD2508:PASTEL BLUE:11-12:SOLID:SHORT PANTS</t>
  </si>
  <si>
    <t>SHORT PANTS DOUBLE KNIT ZIPPER 1 SHKHD2508:PASTEL BLUE:13-14:SOLID:SHORT PANTS</t>
  </si>
  <si>
    <t>SHORT PANTS DOUBLE KNIT ZIPPER 1 SHKHD2508:PASTEL BLUE:15+:SOLID:SHORT PANTS</t>
  </si>
  <si>
    <t>SHKHD2510</t>
  </si>
  <si>
    <t>SHORT PANTS FRENCH TERRY ZIPPER SHKHD2510:BLACK:5-6:SOLID:SHORT PANTS</t>
  </si>
  <si>
    <t>SHORT PANTS FRENCH TERRY ZIPPER SHKHD2510:BLACK:7-8:SOLID:SHORT PANTS</t>
  </si>
  <si>
    <t>SHORT PANTS FRENCH TERRY ZIPPER SHKHD2510:BLACK:9-10:SOLID:SHORT PANTS</t>
  </si>
  <si>
    <t>SHORT PANTS FRENCH TERRY ZIPPER SHKHD2510:BLACK:11-12:SOLID:SHORT PANTS</t>
  </si>
  <si>
    <t>SHORT PANTS FRENCH TERRY ZIPPER SHKHD2510:BLACK:13-14:SOLID:SHORT PANTS</t>
  </si>
  <si>
    <t>SHORT PANTS FRENCH TERRY ZIPPER SHKHD2510:BLACK:15+:SOLID:SHORT PANTS</t>
  </si>
  <si>
    <t>SHORT PANTS FRENCH TERRY ZIPPER SHKHD2510:OFF WHITE:5-6:SOLID:SHORT PANTS</t>
  </si>
  <si>
    <t>SHORT PANTS FRENCH TERRY ZIPPER SHKHD2510:OFF WHITE:7-8:SOLID:SHORT PANTS</t>
  </si>
  <si>
    <t>SHORT PANTS FRENCH TERRY ZIPPER SHKHD2510:OFF WHITE:9-10:SOLID:SHORT PANTS</t>
  </si>
  <si>
    <t>SHORT PANTS FRENCH TERRY ZIPPER SHKHD2510:OFF WHITE:11-12:SOLID:SHORT PANTS</t>
  </si>
  <si>
    <t>SHORT PANTS FRENCH TERRY ZIPPER SHKHD2510:OFF WHITE:13-14:SOLID:SHORT PANTS</t>
  </si>
  <si>
    <t>SHORT PANTS FRENCH TERRY ZIPPER SHKHD2510:OFF WHITE:15+:SOLID:SHORT PANTS</t>
  </si>
  <si>
    <t>GRSHK01</t>
  </si>
  <si>
    <t>SHORT PANTS KNIT TEKSTUR KARGO GRSHK01:OLIVE:5-6:SOLID:SHORT PANTS</t>
  </si>
  <si>
    <t>SHORT PANTS KNIT TEKSTUR KARGO GRSHK01:OLIVE:7-8:SOLID:SHORT PANTS</t>
  </si>
  <si>
    <t>SHORT PANTS KNIT TEKSTUR KARGO GRSHK01:OLIVE:9-10:SOLID:SHORT PANTS</t>
  </si>
  <si>
    <t>SHORT PANTS KNIT TEKSTUR KARGO GRSHK01:OLIVE:11-12:SOLID:SHORT PANTS</t>
  </si>
  <si>
    <t>SHORT PANTS KNIT TEKSTUR KARGO GRSHK01:OLIVE:13-14:SOLID:SHORT PANTS</t>
  </si>
  <si>
    <t>SHORT PANTS KNIT TEKSTUR KARGO GRSHK01:OLIVE:15+:SOLID:SHORT PANTS</t>
  </si>
  <si>
    <t>SHORT PANTS KNIT TEKSTUR KARGO GRSHK01:FOREST GREEN:5-6:SOLID:SHORT PANTS</t>
  </si>
  <si>
    <t>SHORT PANTS KNIT TEKSTUR KARGO GRSHK01:FOREST GREEN:7-8:SOLID:SHORT PANTS</t>
  </si>
  <si>
    <t>SHORT PANTS KNIT TEKSTUR KARGO GRSHK01:FOREST GREEN:9-10:SOLID:SHORT PANTS</t>
  </si>
  <si>
    <t>SHORT PANTS KNIT TEKSTUR KARGO GRSHK01:FOREST GREEN:11-12:SOLID:SHORT PANTS</t>
  </si>
  <si>
    <t>SHORT PANTS KNIT TEKSTUR KARGO GRSHK01:FOREST GREEN:13-14:SOLID:SHORT PANTS</t>
  </si>
  <si>
    <t>SHORT PANTS KNIT TEKSTUR KARGO GRSHK01:FOREST GREEN:15+:SOLID:SHORT PANTS</t>
  </si>
  <si>
    <t>PLSHW16</t>
  </si>
  <si>
    <t>SHORT PANTS WOVEN KTG KARGO BIOWASH 1 PLSHW16:WOOD BROWN:5-6:SOLID:SHORT PANTS</t>
  </si>
  <si>
    <t>SHORT PANTS WOVEN KTG KARGO BIOWASH 1 PLSHW16:WOOD BROWN:7-8:SOLID:SHORT PANTS</t>
  </si>
  <si>
    <t>SHORT PANTS WOVEN KTG KARGO BIOWASH 1 PLSHW16:WOOD BROWN:9-10:SOLID:SHORT PANTS</t>
  </si>
  <si>
    <t>SHORT PANTS WOVEN KTG KARGO BIOWASH 1 PLSHW16:WOOD BROWN:11-12:SOLID:SHORT PANTS</t>
  </si>
  <si>
    <t>SHORT PANTS WOVEN KTG KARGO BIOWASH 1 PLSHW16:WOOD BROWN:13-14:SOLID:SHORT PANTS</t>
  </si>
  <si>
    <t>SHORT PANTS WOVEN KTG KARGO BIOWASH 1 PLSHW16:WOOD BROWN:15+:SOLID:SHORT PANTS</t>
  </si>
  <si>
    <t>SHORT PANTS WOVEN KTG KARGO BIOWASH 1 PLSHW16:GOLDEN BROWN:5-6:SOLID:SHORT PANTS</t>
  </si>
  <si>
    <t>SHORT PANTS WOVEN KTG KARGO BIOWASH 1 PLSHW16:GOLDEN BROWN:7-8:SOLID:SHORT PANTS</t>
  </si>
  <si>
    <t>SHORT PANTS WOVEN KTG KARGO BIOWASH 1 PLSHW16:GOLDEN BROWN:9-10:SOLID:SHORT PANTS</t>
  </si>
  <si>
    <t>SHORT PANTS WOVEN KTG KARGO BIOWASH 1 PLSHW16:GOLDEN BROWN:11-12:SOLID:SHORT PANTS</t>
  </si>
  <si>
    <t>SHORT PANTS WOVEN KTG KARGO BIOWASH 1 PLSHW16:GOLDEN BROWN:13-14:SOLID:SHORT PANTS</t>
  </si>
  <si>
    <t>SHORT PANTS WOVEN KTG KARGO BIOWASH 1 PLSHW16:GOLDEN BROWN:15+:SOLID:SHORT PANTS</t>
  </si>
  <si>
    <t>PLSHW18</t>
  </si>
  <si>
    <t>DENIM SHORT PANTS JORTS CUCIAN LEPAS ACID 1 PLSHW18:LIGHT DENIM:5-6:SOLID:DENIM SHORT PANTS</t>
  </si>
  <si>
    <t>DENIM SHORT PANTS JORTS CUCIAN LEPAS ACID 1 PLSHW18:LIGHT DENIM:7-8:SOLID:DENIM SHORT PANTS</t>
  </si>
  <si>
    <t>DENIM SHORT PANTS JORTS CUCIAN LEPAS ACID 1 PLSHW18:LIGHT DENIM:9-10:SOLID:DENIM SHORT PANTS</t>
  </si>
  <si>
    <t>DENIM SHORT PANTS JORTS CUCIAN LEPAS ACID 1 PLSHW18:LIGHT DENIM:11-12:SOLID:DENIM SHORT PANTS</t>
  </si>
  <si>
    <t>DENIM SHORT PANTS JORTS CUCIAN LEPAS ACID 1 PLSHW18:LIGHT DENIM:13-14:SOLID:DENIM SHORT PANTS</t>
  </si>
  <si>
    <t>DENIM SHORT PANTS JORTS CUCIAN LEPAS ACID 1 PLSHW18:LIGHT DENIM:15+:SOLID:DENIM SHORT PANTS</t>
  </si>
  <si>
    <t>PLSHW19</t>
  </si>
  <si>
    <t>DENIM SHORT PANTS JORTS CUCIAN LEPAS ACID 2 PLSHW19:DARK DENIM:5-6:SOLID:DENIM SHORT PANTS</t>
  </si>
  <si>
    <t>DENIM SHORT PANTS JORTS CUCIAN LEPAS ACID 2 PLSHW19:DARK DENIM:7-8:SOLID:DENIM SHORT PANTS</t>
  </si>
  <si>
    <t>DENIM SHORT PANTS JORTS CUCIAN LEPAS ACID 2 PLSHW19:DARK DENIM:9-10:SOLID:DENIM SHORT PANTS</t>
  </si>
  <si>
    <t>DENIM SHORT PANTS JORTS CUCIAN LEPAS ACID 2 PLSHW19:DARK DENIM:11-12:SOLID:DENIM SHORT PANTS</t>
  </si>
  <si>
    <t>DENIM SHORT PANTS JORTS CUCIAN LEPAS ACID 2 PLSHW19:DARK DENIM:13-14:SOLID:DENIM SHORT PANTS</t>
  </si>
  <si>
    <t>DENIM SHORT PANTS JORTS CUCIAN LEPAS ACID 2 PLSHW19:DARK DENIM:15+:SOLID:DENIM SHORT PANTS</t>
  </si>
  <si>
    <t>SHWTPM13</t>
  </si>
  <si>
    <t>SHORT PANTS WOVEN BABY CANVAS DBL POCKET KARGO SHWTPM13:OFF WHITE:5-6:SOLID:SHORT PANTS</t>
  </si>
  <si>
    <t>SHORT PANTS WOVEN BABY CANVAS DBL POCKET KARGO SHWTPM13:OFF WHITE:7-8:SOLID:SHORT PANTS</t>
  </si>
  <si>
    <t>SHORT PANTS WOVEN BABY CANVAS DBL POCKET KARGO SHWTPM13:OFF WHITE:9-10:SOLID:SHORT PANTS</t>
  </si>
  <si>
    <t>SHORT PANTS WOVEN BABY CANVAS DBL POCKET KARGO SHWTPM13:OFF WHITE:11-12:SOLID:SHORT PANTS</t>
  </si>
  <si>
    <t>SHORT PANTS WOVEN BABY CANVAS DBL POCKET KARGO SHWTPM13:OFF WHITE:13-14:SOLID:SHORT PANTS</t>
  </si>
  <si>
    <t>SHORT PANTS WOVEN BABY CANVAS DBL POCKET KARGO SHWTPM13:OFF WHITE:15+:SOLID:SHORT PANTS</t>
  </si>
  <si>
    <t>SHORT PANTS WOVEN BABY CANVAS DBL POCKET KARGO SHWTPM13:CLASSIC BLUE:5-6:SOLID:SHORT PANTS</t>
  </si>
  <si>
    <t>SHORT PANTS WOVEN BABY CANVAS DBL POCKET KARGO SHWTPM13:CLASSIC BLUE:7-8:SOLID:SHORT PANTS</t>
  </si>
  <si>
    <t>SHORT PANTS WOVEN BABY CANVAS DBL POCKET KARGO SHWTPM13:CLASSIC BLUE:9-10:SOLID:SHORT PANTS</t>
  </si>
  <si>
    <t>SHORT PANTS WOVEN BABY CANVAS DBL POCKET KARGO SHWTPM13:CLASSIC BLUE:11-12:SOLID:SHORT PANTS</t>
  </si>
  <si>
    <t>SHORT PANTS WOVEN BABY CANVAS DBL POCKET KARGO SHWTPM13:CLASSIC BLUE:13-14:SOLID:SHORT PANTS</t>
  </si>
  <si>
    <t>SHORT PANTS WOVEN BABY CANVAS DBL POCKET KARGO SHWTPM13:CLASSIC BLUE:15+:SOLID:SHORT PANTS</t>
  </si>
  <si>
    <t>SHORT PANTS DOUBLE KNIT ZIPPER 1 SHKHD2508:OLIVE:5-6:SOLID:SHORT PANTS</t>
  </si>
  <si>
    <t>SHORT PANTS DOUBLE KNIT ZIPPER 1 SHKHD2508:OLIVE:7-8:SOLID:SHORT PANTS</t>
  </si>
  <si>
    <t>SHORT PANTS DOUBLE KNIT ZIPPER 1 SHKHD2508:OLIVE:9-10:SOLID:SHORT PANTS</t>
  </si>
  <si>
    <t>SHORT PANTS DOUBLE KNIT ZIPPER 1 SHKHD2508:OLIVE:11-12:SOLID:SHORT PANTS</t>
  </si>
  <si>
    <t>SHORT PANTS DOUBLE KNIT ZIPPER 1 SHKHD2508:OLIVE:13-14:SOLID:SHORT PANTS</t>
  </si>
  <si>
    <t>SHORT PANTS DOUBLE KNIT ZIPPER 1 SHKHD2508:OLIVE:15+:SOLID:SHORT PANTS</t>
  </si>
  <si>
    <t>PLSHW20</t>
  </si>
  <si>
    <t>SHORT PANTS WOVEN TWILL KTG MIRING PLSHW20:KHAKI:5-6:SOLID:SHORT PANTS</t>
  </si>
  <si>
    <t>SHORT PANTS WOVEN TWILL KTG MIRING PLSHW20:KHAKI:7-8:SOLID:SHORT PANTS</t>
  </si>
  <si>
    <t>SHORT PANTS WOVEN TWILL KTG MIRING PLSHW20:KHAKI:9-10:SOLID:SHORT PANTS</t>
  </si>
  <si>
    <t>SHORT PANTS WOVEN TWILL KTG MIRING PLSHW20:KHAKI:11-12:SOLID:SHORT PANTS</t>
  </si>
  <si>
    <t>SHORT PANTS WOVEN TWILL KTG MIRING PLSHW20:KHAKI:13-14:SOLID:SHORT PANTS</t>
  </si>
  <si>
    <t>SHORT PANTS WOVEN TWILL KTG MIRING PLSHW20:KHAKI:15+:SOLID:SHORT PANTS</t>
  </si>
  <si>
    <t>SHORT PANTS WOVEN TWILL KTG MIRING PLSHW20:BLACK:5-6:SOLID:SHORT PANTS</t>
  </si>
  <si>
    <t>SHORT PANTS WOVEN TWILL KTG MIRING PLSHW20:BLACK:7-8:SOLID:SHORT PANTS</t>
  </si>
  <si>
    <t>SHORT PANTS WOVEN TWILL KTG MIRING PLSHW20:BLACK:9-10:SOLID:SHORT PANTS</t>
  </si>
  <si>
    <t>SHORT PANTS WOVEN TWILL KTG MIRING PLSHW20:BLACK:11-12:SOLID:SHORT PANTS</t>
  </si>
  <si>
    <t>SHORT PANTS WOVEN TWILL KTG MIRING PLSHW20:BLACK:13-14:SOLID:SHORT PANTS</t>
  </si>
  <si>
    <t>SHORT PANTS WOVEN TWILL KTG MIRING PLSHW20:BLACK:15+:SOLID:SHORT PANTS</t>
  </si>
  <si>
    <t>PLSHW21</t>
  </si>
  <si>
    <t>DENIM SHORT PANTS KTG KARGO 1 PLSHW21:LIGHT DENIM:5-6:SOLID:DENIM SHORT PANTS</t>
  </si>
  <si>
    <t>DENIM SHORT PANTS KTG KARGO 1 PLSHW21:LIGHT DENIM:7-8:SOLID:DENIM SHORT PANTS</t>
  </si>
  <si>
    <t>DENIM SHORT PANTS KTG KARGO 1 PLSHW21:LIGHT DENIM:9-10:SOLID:DENIM SHORT PANTS</t>
  </si>
  <si>
    <t>DENIM SHORT PANTS KTG KARGO 1 PLSHW21:LIGHT DENIM:11-12:SOLID:DENIM SHORT PANTS</t>
  </si>
  <si>
    <t>DENIM SHORT PANTS KTG KARGO 1 PLSHW21:LIGHT DENIM:13-14:SOLID:DENIM SHORT PANTS</t>
  </si>
  <si>
    <t>DENIM SHORT PANTS KTG KARGO 1 PLSHW21:LIGHT DENIM:15+:SOLID:DENIM SHORT PANTS</t>
  </si>
  <si>
    <t>DENIM SHORT PANTS KTG KARGO 1 PLSHW21:OFF WHITE:5-6:SOLID:DENIM SHORT PANTS</t>
  </si>
  <si>
    <t>DENIM SHORT PANTS KTG KARGO 1 PLSHW21:OFF WHITE:7-8:SOLID:DENIM SHORT PANTS</t>
  </si>
  <si>
    <t>DENIM SHORT PANTS KTG KARGO 1 PLSHW21:OFF WHITE:9-10:SOLID:DENIM SHORT PANTS</t>
  </si>
  <si>
    <t>DENIM SHORT PANTS KTG KARGO 1 PLSHW21:OFF WHITE:11-12:SOLID:DENIM SHORT PANTS</t>
  </si>
  <si>
    <t>DENIM SHORT PANTS KTG KARGO 1 PLSHW21:OFF WHITE:13-14:SOLID:DENIM SHORT PANTS</t>
  </si>
  <si>
    <t>DENIM SHORT PANTS KTG KARGO 1 PLSHW21:OFF WHITE:15+:SOLID:DENIM SHORT PANTS</t>
  </si>
  <si>
    <t>PLSHW22</t>
  </si>
  <si>
    <t>DENIM SHORT PANTS KTG KARGO 1 PLSHW22:BLACK:5-6:SOLID:DENIM SHORT PANTS</t>
  </si>
  <si>
    <t>DENIM SHORT PANTS KTG KARGO 1 PLSHW22:BLACK:7-8:SOLID:DENIM SHORT PANTS</t>
  </si>
  <si>
    <t>DENIM SHORT PANTS KTG KARGO 1 PLSHW22:BLACK:9-10:SOLID:DENIM SHORT PANTS</t>
  </si>
  <si>
    <t>DENIM SHORT PANTS KTG KARGO 1 PLSHW22:BLACK:11-12:SOLID:DENIM SHORT PANTS</t>
  </si>
  <si>
    <t>DENIM SHORT PANTS KTG KARGO 1 PLSHW22:BLACK:13-14:SOLID:DENIM SHORT PANTS</t>
  </si>
  <si>
    <t>DENIM SHORT PANTS KTG KARGO 1 PLSHW22:BLACK:15+:SOLID:DENIM SHORT PANTS</t>
  </si>
  <si>
    <t>DENIM SHORT PANTS KTG KARGO 1 PLSHW22:LIGHT DENIM:5-6:SOLID:DENIM SHORT PANTS</t>
  </si>
  <si>
    <t>DENIM SHORT PANTS KTG KARGO 1 PLSHW22:LIGHT DENIM:7-8:SOLID:DENIM SHORT PANTS</t>
  </si>
  <si>
    <t>DENIM SHORT PANTS KTG KARGO 1 PLSHW22:LIGHT DENIM:9-10:SOLID:DENIM SHORT PANTS</t>
  </si>
  <si>
    <t>DENIM SHORT PANTS KTG KARGO 1 PLSHW22:LIGHT DENIM:11-12:SOLID:DENIM SHORT PANTS</t>
  </si>
  <si>
    <t>DENIM SHORT PANTS KTG KARGO 1 PLSHW22:LIGHT DENIM:13-14:SOLID:DENIM SHORT PANTS</t>
  </si>
  <si>
    <t>DENIM SHORT PANTS KTG KARGO 1 PLSHW22:LIGHT DENIM:15+:SOLID:DENIM SHORT PANTS</t>
  </si>
  <si>
    <t>2025 Q3 SHORTS, KI BOTTOM B1G1</t>
  </si>
  <si>
    <t>KITPSH19</t>
  </si>
  <si>
    <t>SHORT PANTS KI WOVEN STRETCH KITPSH19:BLACK:5-6:SOLID:SHORT PANTS</t>
  </si>
  <si>
    <t>SHORT PANTS KI WOVEN STRETCH KITPSH19:BLACK:7-8:SOLID:SHORT PANTS</t>
  </si>
  <si>
    <t>SHORT PANTS KI WOVEN STRETCH KITPSH19:BLACK:9-10:SOLID:SHORT PANTS</t>
  </si>
  <si>
    <t>SHORT PANTS KI WOVEN STRETCH KITPSH19:BLACK:11-12:SOLID:SHORT PANTS</t>
  </si>
  <si>
    <t>SHORT PANTS KI WOVEN STRETCH KITPSH19:BLACK:13-14:SOLID:SHORT PANTS</t>
  </si>
  <si>
    <t>SHORT PANTS KI WOVEN STRETCH KITPSH19:BLACK:15+:SOLID:SHORT PANTS</t>
  </si>
  <si>
    <t>SHORT PANTS KI WOVEN STRETCH KITPSH19:VANILLA:5-6:SOLID:SHORT PANTS</t>
  </si>
  <si>
    <t>SHORT PANTS KI WOVEN STRETCH KITPSH19:VANILLA:7-8:SOLID:SHORT PANTS</t>
  </si>
  <si>
    <t>SHORT PANTS KI WOVEN STRETCH KITPSH19:VANILLA:9-10:SOLID:SHORT PANTS</t>
  </si>
  <si>
    <t>SHORT PANTS KI WOVEN STRETCH KITPSH19:VANILLA:11-12:SOLID:SHORT PANTS</t>
  </si>
  <si>
    <t>SHORT PANTS KI WOVEN STRETCH KITPSH19:VANILLA:13-14:SOLID:SHORT PANTS</t>
  </si>
  <si>
    <t>SHORT PANTS KI WOVEN STRETCH KITPSH19:VANILLA:15+:SOLID:SHORT PANTS</t>
  </si>
  <si>
    <t>SHORT PANTS KI WOVEN STRETCH KITPSH19:WOOD BROWN:5-6:SOLID:SHORT PANTS</t>
  </si>
  <si>
    <t>SHORT PANTS KI WOVEN STRETCH KITPSH19:WOOD BROWN:7-8:SOLID:SHORT PANTS</t>
  </si>
  <si>
    <t>SHORT PANTS KI WOVEN STRETCH KITPSH19:WOOD BROWN:9-10:SOLID:SHORT PANTS</t>
  </si>
  <si>
    <t>SHORT PANTS KI WOVEN STRETCH KITPSH19:WOOD BROWN:11-12:SOLID:SHORT PANTS</t>
  </si>
  <si>
    <t>SHORT PANTS KI WOVEN STRETCH KITPSH19:WOOD BROWN:13-14:SOLID:SHORT PANTS</t>
  </si>
  <si>
    <t>SHORT PANTS KI WOVEN STRETCH KITPSH19:WOOD BROWN:15+:SOLID:SHORT PANTS</t>
  </si>
  <si>
    <t>KITPSHO1</t>
  </si>
  <si>
    <t>SHORT PANTS KI WOVEN BABY CANVAS KITPSHO1:VANILLA:9-10:SOLID:SHORT PANTS</t>
  </si>
  <si>
    <t>2024 Q4 SHORTS AND KI BOTTOM DISC 60%</t>
  </si>
  <si>
    <t>PERCENTAGE</t>
  </si>
  <si>
    <t>2024 Q3 KI TOP DISC 75%</t>
  </si>
  <si>
    <t>2024 3271 Q4 KI TOPS DISC 75%</t>
  </si>
  <si>
    <t>2024 3270 Q4 KI TOP DISC 75%</t>
  </si>
  <si>
    <t>2024 70 Q3 KI TOP DISC 75%</t>
  </si>
  <si>
    <t>2024 71 H1 KI TOP DISC 75%</t>
  </si>
  <si>
    <t>2024 70 H1 KI TOP DISC 75%</t>
  </si>
  <si>
    <t>2025 Q2 SHORTS DISC 60%</t>
  </si>
  <si>
    <t>2025 Q1 KI LP DISC 60%</t>
  </si>
  <si>
    <t>2025 Q1 KI BTM N SHORTS DISC 60%</t>
  </si>
  <si>
    <t>2025 Q1 KI TOP DISC 70%</t>
  </si>
  <si>
    <t>2025 71 Q2 KI TOP DISC 70%</t>
  </si>
  <si>
    <t>2025 71 JUL-AUG KI TOP B1G1</t>
  </si>
  <si>
    <t>2025 71 OCT SHORTS DISC 30%</t>
  </si>
  <si>
    <t>2025 71 OCT KI BOTTOM DISC 30%</t>
  </si>
  <si>
    <t>2025 71 OKTNOV KITOP DISC 30%</t>
  </si>
  <si>
    <t>2025 71 NOV SHORTS DISC 30%</t>
  </si>
  <si>
    <t>B2 DISC 20%</t>
  </si>
  <si>
    <t>2026 Q1 KI TOP AND SHORTS B2 DISC 20%</t>
  </si>
  <si>
    <t>2026 Q1 KI BOTTOM B2 DISC 20%</t>
  </si>
  <si>
    <t>SS T-SHIRT KI PRINT JOURNEY BEGIN KIH16C1:MISTY DARK BROWN:9-10:GRAPHIC:SS T-SHIRT</t>
  </si>
  <si>
    <t>SS T-SHIRT KI PRINT JOURNEY BEGIN KIH16C1:MISTY DARK BROWN:11-12:GRAPHIC:SS T-SHIRT</t>
  </si>
  <si>
    <t>SS T-SHIRT KI PRINT JOURNEY BEGIN KIH16C1:MISTY DARK BROWN:13-14:GRAPHIC:SS T-SHIRT</t>
  </si>
  <si>
    <t>SS T-SHIRT KI PRINT JOURNEY BEGIN KIH16C1:MISTY DARK BROWN:15-16:GRAPHIC:SS T-SHIRT</t>
  </si>
  <si>
    <t>KIH16C1</t>
  </si>
  <si>
    <t>SS T-SHIRT KI  PE FUNNY FACE KIG2B:CLASSIC YELLOW:9-10:GRAPHIC:SS T-SHIRT</t>
  </si>
  <si>
    <t>SS T-SHIRT KI  PE FUNNY FACE KIG2B:CLASSIC YELLOW:11-12:GRAPHIC:SS T-SHIRT</t>
  </si>
  <si>
    <t>SS T-SHIRT KI  PE FUNNY FACE KIG2B:CLASSIC YELLOW:13-14:GRAPHIC:SS T-SHIRT</t>
  </si>
  <si>
    <t>SS T-SHIRT KI  PE FUNNY FACE KIG2B:CLASSIC YELLOW:15-16:GRAPHIC:SS T-SHIRT</t>
  </si>
  <si>
    <t>KIG2B</t>
  </si>
  <si>
    <t>2024 71 H1 SHORTS DAN KI BOTTOM DISC 75%</t>
  </si>
  <si>
    <t>2024 70 H1 KI N S DISC 75%</t>
  </si>
  <si>
    <t>2024 70 Q3 SHORTS DISC 75%</t>
  </si>
  <si>
    <t>2024 71 Q3 SHORTS AND KI BOTTOM DISC 75%</t>
  </si>
  <si>
    <t>2024 JAN-JUN BOTTOM DISC 75%</t>
  </si>
  <si>
    <t>MTOOUTJOG</t>
  </si>
  <si>
    <t>JOGGER WOVEN URBAN ADV. MTOOUTJOG:MISTY MEDIUM GREY:5-6:GRAPHIC:JOGGER</t>
  </si>
  <si>
    <t>JOGGER WOVEN URBAN ADV. MTOOUTJOG:MISTY MEDIUM GREY:7-8:GRAPHIC:JOGGER</t>
  </si>
  <si>
    <t>JOGGER WOVEN URBAN ADV. MTOOUTJOG:MISTY MEDIUM GREY:9-10:GRAPHIC:JOGGER</t>
  </si>
  <si>
    <t>JOGGER WOVEN URBAN ADV. MTOOUTJOG:MISTY MEDIUM GREY:11-12:GRAPHIC:JOGGER</t>
  </si>
  <si>
    <t>PLCRGPANT3</t>
  </si>
  <si>
    <t>LONG PANTS CARGO RESLETING PLCRGPANT3:CHARCOAL:5-6:SOLID:LONG PANTS</t>
  </si>
  <si>
    <t>LONG PANTS CARGO RESLETING PLCRGPANT3:CHARCOAL:7-8:SOLID:LONG PANTS</t>
  </si>
  <si>
    <t>LONG PANTS CARGO RESLETING PLCRGPANT3:CHARCOAL:9-10:SOLID:LONG PANTS</t>
  </si>
  <si>
    <t>LONG PANTS CARGO RESLETING PLCRGPANT3:CHARCOAL:11-12:SOLID:LONG PANTS</t>
  </si>
  <si>
    <t>PLCRGJOG2</t>
  </si>
  <si>
    <t>LONG PANTS WOVEN KANTONG 2 DEPAN PLCRGJOG2:PASTEL GREY:5-6:SOLID:LONG PANTS</t>
  </si>
  <si>
    <t>LONG PANTS WOVEN KANTONG 2 DEPAN PLCRGJOG2:PASTEL GREY:7-8:SOLID:LONG PANTS</t>
  </si>
  <si>
    <t>LONG PANTS WOVEN KANTONG 2 DEPAN PLCRGJOG2:PASTEL GREY:9-10:SOLID:LONG PANTS</t>
  </si>
  <si>
    <t>LONG PANTS WOVEN KANTONG 2 DEPAN PLCRGJOG2:PASTEL GREY:11-12:SOLID:LONG PANTS</t>
  </si>
  <si>
    <t>PLCRGJOG1</t>
  </si>
  <si>
    <t>LONG PANTS WOVEN CUT &amp; SEWN PLCRGJOG1:KHAKI:5-6:SOLID:LONG PANTS</t>
  </si>
  <si>
    <t>LONG PANTS WOVEN CUT &amp; SEWN PLCRGJOG1:KHAKI:7-8:SOLID:LONG PANTS</t>
  </si>
  <si>
    <t>LONG PANTS WOVEN CUT &amp; SEWN PLCRGJOG1:KHAKI:9-10:SOLID:LONG PANTS</t>
  </si>
  <si>
    <t>LONG PANTS WOVEN CUT &amp; SEWN PLCRGJOG1:KHAKI:11-12:SOLID:LONG PANTS</t>
  </si>
  <si>
    <t>PLCRGPANT2</t>
  </si>
  <si>
    <t>LONG PANTS CARGO KANTONG 2 PLCRGPANT2:KHAKI:5-6:SOLID:LONG PANTS</t>
  </si>
  <si>
    <t>LONG PANTS CARGO KANTONG 2 PLCRGPANT2:KHAKI:7-8:SOLID:LONG PANTS</t>
  </si>
  <si>
    <t>LONG PANTS CARGO KANTONG 2 PLCRGPANT2:KHAKI:9-10:SOLID:LONG PANTS</t>
  </si>
  <si>
    <t>LONG PANTS CARGO KANTONG 2 PLCRGPANT2:KHAKI:11-12:SOLID:LONG PANTS</t>
  </si>
  <si>
    <t>PLCRGPANT1</t>
  </si>
  <si>
    <t>LONG PANTS KANTONG KOMB.WARNA PLCRGPANT1:VANILLA:5-6:SOLID:LONG PANTS</t>
  </si>
  <si>
    <t>LONG PANTS KANTONG KOMB.WARNA PLCRGPANT1:VANILLA:7-8:SOLID:LONG PANTS</t>
  </si>
  <si>
    <t>LONG PANTS KANTONG KOMB.WARNA PLCRGPANT1:VANILLA:9-10:SOLID:LONG PANTS</t>
  </si>
  <si>
    <t>LONG PANTS KANTONG KOMB.WARNA PLCRGPANT1:VANILLA:11-12:SOLID:LONG PANTS</t>
  </si>
  <si>
    <t>PLCRGJOG3</t>
  </si>
  <si>
    <t>LONG PANTS WOVEN KANTONG 2 SAMPING PLCRGJOG3:OLIVE:5-6:SOLID:LONG PANTS</t>
  </si>
  <si>
    <t>LONG PANTS WOVEN KANTONG 2 SAMPING PLCRGJOG3:OLIVE:7-8:SOLID:LONG PANTS</t>
  </si>
  <si>
    <t>LONG PANTS WOVEN KANTONG 2 SAMPING PLCRGJOG3:OLIVE:9-10:SOLID:LONG PANTS</t>
  </si>
  <si>
    <t>LONG PANTS WOVEN KANTONG 2 SAMPING PLCRGJOG3:OLIVE:11-12:SOLID:LONG PANTS</t>
  </si>
  <si>
    <t>FLPANT12B</t>
  </si>
  <si>
    <t>DENIM PANTS MARBLE MANSET BLUE FLPANT12B:LIGHT DENIM:5-6:SOLID:DENIM LONG PANTS</t>
  </si>
  <si>
    <t>DENIM PANTS MARBLE MANSET BLUE FLPANT12B:LIGHT DENIM:7-8:SOLID:DENIM LONG PANTS</t>
  </si>
  <si>
    <t>DENIM PANTS MARBLE MANSET BLUE FLPANT12B:LIGHT DENIM:9-10:SOLID:DENIM LONG PANTS</t>
  </si>
  <si>
    <t>DENIM PANTS MARBLE MANSET BLUE FLPANT12B:LIGHT DENIM:11-12:SOLID:DENIM LONG PANTS</t>
  </si>
  <si>
    <t>FLPANT16</t>
  </si>
  <si>
    <t>DENIM PANTS KANTONG CARGO FLPANT16:LIGHT DENIM:5-6:SOLID:DENIM LONG PANTS</t>
  </si>
  <si>
    <t>DENIM PANTS KANTONG CARGO FLPANT16:LIGHT DENIM:7-8:SOLID:DENIM LONG PANTS</t>
  </si>
  <si>
    <t>DENIM PANTS KANTONG CARGO FLPANT16:LIGHT DENIM:9-10:SOLID:DENIM LONG PANTS</t>
  </si>
  <si>
    <t>DENIM PANTS KANTONG CARGO FLPANT16:LIGHT DENIM:11-12:SOLID:DENIM LONG PANTS</t>
  </si>
  <si>
    <t>FLPANT13</t>
  </si>
  <si>
    <t>DENIM PANTS DESTROY SCRAB FLPANT13:MEDIUM DENIM:5-6:SOLID:DENIM LONG PANTS</t>
  </si>
  <si>
    <t>DENIM PANTS DESTROY SCRAB FLPANT13:MEDIUM DENIM:7-8:SOLID:DENIM LONG PANTS</t>
  </si>
  <si>
    <t>DENIM PANTS DESTROY SCRAB FLPANT13:MEDIUM DENIM:9-10:SOLID:DENIM LONG PANTS</t>
  </si>
  <si>
    <t>FLPANT18</t>
  </si>
  <si>
    <t>DENIM PANTS KANTONG FLPANT18:MEDIUM DENIM:5-6:SOLID:DENIM LONG PANTS</t>
  </si>
  <si>
    <t>DENIM PANTS KANTONG FLPANT18:MEDIUM DENIM:7-8:SOLID:DENIM LONG PANTS</t>
  </si>
  <si>
    <t>DENIM PANTS KANTONG FLPANT18:MEDIUM DENIM:9-10:SOLID:DENIM LONG PANTS</t>
  </si>
  <si>
    <t>DENIM PANTS KANTONG FLPANT18:MEDIUM DENIM:11-12:SOLID:DENIM LONG PANTS</t>
  </si>
  <si>
    <t>FLPANT14</t>
  </si>
  <si>
    <t>DENIM PANTS MARBLE RIB GREY FLPANT14:DARK DENIM:5-6:SOLID:DENIM LONG PANTS</t>
  </si>
  <si>
    <t>DENIM PANTS MARBLE RIB GREY FLPANT14:DARK DENIM:7-8:SOLID:DENIM LONG PANTS</t>
  </si>
  <si>
    <t>DENIM PANTS MARBLE RIB GREY FLPANT14:DARK DENIM:9-10:SOLID:DENIM LONG PANTS</t>
  </si>
  <si>
    <t>DENIM PANTS MARBLE RIB GREY FLPANT14:DARK DENIM:11-12:SOLID:DENIM LONG PANTS</t>
  </si>
  <si>
    <t>FLPANT17</t>
  </si>
  <si>
    <t>DENIM PANTS CUT SEWN FLPANT17:DARK DENIM:5-6:SOLID:DENIM LONG PANTS</t>
  </si>
  <si>
    <t>DENIM PANTS CUT SEWN FLPANT17:DARK DENIM:7-8:SOLID:DENIM LONG PANTS</t>
  </si>
  <si>
    <t>DENIM PANTS CUT SEWN FLPANT17:DARK DENIM:9-10:SOLID:DENIM LONG PANTS</t>
  </si>
  <si>
    <t>DENIM PANTS DESTROY SCRAB FLPANT13:MEDIUM DENIM:11-12:SOLID:DENIM LONG PANTS</t>
  </si>
  <si>
    <t>DENIM PANTS CUT SEWN FLPANT17:DARK DENIM:11-12:SOLID:DENIM LONG PANTS</t>
  </si>
  <si>
    <t>PSMANSTJOG</t>
  </si>
  <si>
    <t>JOGGER WOVEN MANSET KANTONG PSMANSTJOG:MISTY DARK GREY:5-6:GRAPHIC:JOGGER</t>
  </si>
  <si>
    <t>JOGGER WOVEN MANSET KANTONG PSMANSTJOG:MISTY DARK GREY:7-8:GRAPHIC:JOGGER</t>
  </si>
  <si>
    <t>JOGGER WOVEN MANSET KANTONG PSMANSTJOG:MISTY DARK GREY:9-10:GRAPHIC:JOGGER</t>
  </si>
  <si>
    <t>JOGGER WOVEN MANSET KANTONG PSMANSTJOG:MISTY DARK GREY:11-12:GRAPHIC:JOGGER</t>
  </si>
  <si>
    <t>PSDROARJOG</t>
  </si>
  <si>
    <t>JOGGER WOVEN DINO ROAR PSDROARJOG:MISTY MEDIUM GREY:5-6:GRAPHIC:JOGGER</t>
  </si>
  <si>
    <t>JOGGER WOVEN DINO ROAR PSDROARJOG:MISTY MEDIUM GREY:7-8:GRAPHIC:JOGGER</t>
  </si>
  <si>
    <t>JOGGER WOVEN DINO ROAR PSDROARJOG:MISTY MEDIUM GREY:9-10:GRAPHIC:JOGGER</t>
  </si>
  <si>
    <t>JOGGER WOVEN DINO ROAR PSDROARJOG:MISTY MEDIUM GREY:11-12:GRAPHIC:JOGGER</t>
  </si>
  <si>
    <t>PSPANT03NK</t>
  </si>
  <si>
    <t>LONG PANTS WOVEN NIKI PSPANT03NK:KHAKI:5-6:SOLID:LONG PANTS</t>
  </si>
  <si>
    <t>LONG PANTS WOVEN NIKI PSPANT03NK:KHAKI:7-8:SOLID:LONG PANTS</t>
  </si>
  <si>
    <t>LONG PANTS WOVEN NIKI PSPANT03NK:KHAKI:9-10:SOLID:LONG PANTS</t>
  </si>
  <si>
    <t>LONG PANTS WOVEN NIKI PSPANT03NK:KHAKI:11-12:SOLID:LONG PANTS</t>
  </si>
  <si>
    <t>PSPANTCRG</t>
  </si>
  <si>
    <t>LONG PANTS KANTONG FELLCRO PSPANTCRG:OLIVE:5-6:SOLID:LONG PANTS</t>
  </si>
  <si>
    <t>LONG PANTS KANTONG FELLCRO PSPANTCRG:OLIVE:7-8:SOLID:LONG PANTS</t>
  </si>
  <si>
    <t>LONG PANTS KANTONG FELLCRO PSPANTCRG:OLIVE:9-10:SOLID:LONG PANTS</t>
  </si>
  <si>
    <t>LONG PANTS KANTONG FELLCRO PSPANTCRG:OLIVE:11-12:SOLID:LONG PANTS</t>
  </si>
  <si>
    <t>MTOANIMJOG</t>
  </si>
  <si>
    <t>JOGGER ANIME LEADER MTOANIMJOG:BLACK:5-6:GRAPHIC:JOGGER</t>
  </si>
  <si>
    <t>JOGGER ANIME LEADER MTOANIMJOG:BLACK:7-8:GRAPHIC:JOGGER</t>
  </si>
  <si>
    <t>JOGGER ANIME LEADER MTOANIMJOG:BLACK:9-10:GRAPHIC:JOGGER</t>
  </si>
  <si>
    <t>JOGGER ANIME LEADER MTOANIMJOG:BLACK:11-12:GRAPHIC:JOGGER</t>
  </si>
  <si>
    <t>PLCRGPANT4</t>
  </si>
  <si>
    <t>LONG PANTS KTG EMPAT PLCRGPANT4:OLIVE:5-6:SOLID:LONG PANTS</t>
  </si>
  <si>
    <t>LONG PANTS KTG EMPAT PLCRGPANT4:OLIVE:7-8:SOLID:LONG PANTS</t>
  </si>
  <si>
    <t>LONG PANTS KTG EMPAT PLCRGPANT4:OLIVE:9-10:SOLID:LONG PANTS</t>
  </si>
  <si>
    <t>LONG PANTS KTG EMPAT PLCRGPANT4:OLIVE:11-12:SOLID:LONG PANTS</t>
  </si>
  <si>
    <t>PLCBSCANT5</t>
  </si>
  <si>
    <t>LONG PANTS KTG TUTUP KANAN KIRI PLCBSCANT5:KHAKI:5-6:SOLID:LONG PANTS</t>
  </si>
  <si>
    <t>LONG PANTS KTG TUTUP KANAN KIRI PLCBSCANT5:KHAKI:7-8:SOLID:LONG PANTS</t>
  </si>
  <si>
    <t>LONG PANTS KTG TUTUP KANAN KIRI PLCBSCANT5:KHAKI:9-10:SOLID:LONG PANTS</t>
  </si>
  <si>
    <t>LONG PANTS KTG TUTUP KANAN KIRI PLCBSCANT5:KHAKI:11-12:SOLID:LONG PANTS</t>
  </si>
  <si>
    <t>FLPANT19</t>
  </si>
  <si>
    <t>DENIM LONG PANTS MARBLE FLPANT19:MEDIUM DENIM:5-6:SOLID:DENIM LONG PANTS</t>
  </si>
  <si>
    <t>DENIM LONG PANTS MARBLE FLPANT19:MEDIUM DENIM:7-8:SOLID:DENIM LONG PANTS</t>
  </si>
  <si>
    <t>DENIM LONG PANTS MARBLE FLPANT19:MEDIUM DENIM:9-10:SOLID:DENIM LONG PANTS</t>
  </si>
  <si>
    <t>DENIM LONG PANTS MARBLE FLPANT19:MEDIUM DENIM:11-12:SOLID:DENIM LONG PANTS</t>
  </si>
  <si>
    <t>FLPANT20</t>
  </si>
  <si>
    <t>DENIM LONG PANTS KANTONG FLPANT20:DARK DENIM:5-6:SOLID:DENIM LONG PANTS</t>
  </si>
  <si>
    <t>DENIM LONG PANTS KANTONG FLPANT20:DARK DENIM:7-8:SOLID:DENIM LONG PANTS</t>
  </si>
  <si>
    <t>DENIM LONG PANTS KANTONG FLPANT20:DARK DENIM:9-10:SOLID:DENIM LONG PANTS</t>
  </si>
  <si>
    <t>DENIM LONG PANTS KANTONG FLPANT20:DARK DENIM:11-12:SOLID:DENIM LONG PANTS</t>
  </si>
  <si>
    <t>PSZPRJOG</t>
  </si>
  <si>
    <t>JOGGER WOVEN ZIPER HIGH SCORE PSZPRJOG:NAVY BLUE:5-6:GRAPHIC:JOGGER</t>
  </si>
  <si>
    <t>JOGGER WOVEN ZIPER HIGH SCORE PSZPRJOG:NAVY BLUE:7-8:GRAPHIC:JOGGER</t>
  </si>
  <si>
    <t>JOGGER WOVEN ZIPER HIGH SCORE PSZPRJOG:NAVY BLUE:9-10:GRAPHIC:JOGGER</t>
  </si>
  <si>
    <t>JOGGER WOVEN ZIPER HIGH SCORE PSZPRJOG:NAVY BLUE:11-12:GRAPHIC:JOGGER</t>
  </si>
  <si>
    <t>PSPANTKZ01</t>
  </si>
  <si>
    <t>LONG PANTS KENZO TALI KANCING PSPANTKZ01:KHAKI:5-6:SOLID:LONG PANTS</t>
  </si>
  <si>
    <t>LONG PANTS KENZO TALI KANCING PSPANTKZ01:KHAKI:7-8:SOLID:LONG PANTS</t>
  </si>
  <si>
    <t>LONG PANTS KENZO TALI KANCING PSPANTKZ01:KHAKI:9-10:SOLID:LONG PANTS</t>
  </si>
  <si>
    <t>LONG PANTS KENZO TALI KANCING PSPANTKZ01:KHAKI:11-12:SOLID:LONG PANTS</t>
  </si>
  <si>
    <t>PSPANTKZ02</t>
  </si>
  <si>
    <t>LONG PANTS KENZO KTG KCG BAWAH PSPANTKZ02:TAUPE GREY:5-6:SOLID:LONG PANTS</t>
  </si>
  <si>
    <t>LONG PANTS KENZO KTG KCG BAWAH PSPANTKZ02:TAUPE GREY:7-8:SOLID:LONG PANTS</t>
  </si>
  <si>
    <t>LONG PANTS KENZO KTG KCG BAWAH PSPANTKZ02:TAUPE GREY:9-10:SOLID:LONG PANTS</t>
  </si>
  <si>
    <t>LONG PANTS KENZO KTG KCG BAWAH PSPANTKZ02:TAUPE GREY:11-12:SOLID:LONG PANTS</t>
  </si>
  <si>
    <t>PSPANTCRGA</t>
  </si>
  <si>
    <t>LONG PANTS KANTONG  PSPANTCRGA:OLIVE:5-6:SOLID:LONG PANTS</t>
  </si>
  <si>
    <t>LONG PANTS KANTONG  PSPANTCRGA:OLIVE:7-8:SOLID:LONG PANTS</t>
  </si>
  <si>
    <t>LONG PANTS KANTONG  PSPANTCRGA:OLIVE:9-10:SOLID:LONG PANTS</t>
  </si>
  <si>
    <t>LONG PANTS KANTONG  PSPANTCRGA:OLIVE:11-12:SOLID:LONG PANTS</t>
  </si>
  <si>
    <t>PSCHNGJOG</t>
  </si>
  <si>
    <t>JOGGER WOVEN CUT SEWN CHANGES PSCHNGJOG:PEPPERMINT:5-6:GRAPHIC:JOGGER</t>
  </si>
  <si>
    <t>JOGGER WOVEN CUT SEWN CHANGES PSCHNGJOG:PEPPERMINT:7-8:GRAPHIC:JOGGER</t>
  </si>
  <si>
    <t>JOGGER WOVEN CUT SEWN CHANGES PSCHNGJOG:PEPPERMINT:9-10:GRAPHIC:JOGGER</t>
  </si>
  <si>
    <t>JOGGER WOVEN CUT SEWN CHANGES PSCHNGJOG:PEPPERMINT:11-12:GRAPHIC:JOGGER</t>
  </si>
  <si>
    <t>PSAWEJOG</t>
  </si>
  <si>
    <t>JOGGER KOMB.AWESOME PSAWEJOG:BLACK:5-6:GRAPHIC:JOGGER</t>
  </si>
  <si>
    <t>JOGGER KOMB.AWESOME PSAWEJOG:BLACK:9-10:GRAPHIC:JOGGER</t>
  </si>
  <si>
    <t>JOGGER KOMB.AWESOME PSAWEJOG:BLACK:11-12:GRAPHIC:JOGGER</t>
  </si>
  <si>
    <t>JOGGER KOMB.AWESOME PSAWEJOG:BLACK:7-8:GRAPHIC:JOGGER</t>
  </si>
  <si>
    <t>PSKTGCRJOG</t>
  </si>
  <si>
    <t>JOGGER WOVEN KANTONG CARGO PSKTGCRJOG:BLACK:5-6:GRAPHIC:JOGGER</t>
  </si>
  <si>
    <t>JOGGER WOVEN KANTONG CARGO PSKTGCRJOG:BLACK:7-8:GRAPHIC:JOGGER</t>
  </si>
  <si>
    <t>JOGGER WOVEN KANTONG CARGO PSKTGCRJOG:BLACK:9-10:GRAPHIC:JOGGER</t>
  </si>
  <si>
    <t>JOGGER WOVEN KANTONG CARGO PSKTGCRJOG:BLACK:11-12:GRAPHIC:JOGGER</t>
  </si>
  <si>
    <t>RDJOG03</t>
  </si>
  <si>
    <t>JOGGER WOVEN T REX ATTACK RDJOG03:NAVY BLUE:5-6:GRAPHIC:JOGGER</t>
  </si>
  <si>
    <t>JOGGER WOVEN T REX ATTACK RDJOG03:NAVY BLUE:7-8:GRAPHIC:JOGGER</t>
  </si>
  <si>
    <t>JOGGER WOVEN T REX ATTACK RDJOG03:NAVY BLUE:9-10:GRAPHIC:JOGGER</t>
  </si>
  <si>
    <t>JOGGER WOVEN T REX ATTACK RDJOG03:NAVY BLUE:11-12:GRAPHIC:JOGGER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</si>
</sst>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165" fontId="0" fillId="3" borderId="1" xfId="1" applyNumberFormat="1" applyFont="1" applyFill="1" applyBorder="1" applyAlignment="1">
      <alignment horizontal="center" vertical="center"/>
    </xf>
    <xf numFmtId="9" fontId="0" fillId="0" borderId="2" xfId="2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5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5" fontId="0" fillId="0" borderId="1" xfId="1" applyNumberFormat="1" applyFont="1" applyFill="1" applyBorder="1"/>
    <xf numFmtId="0" fontId="0" fillId="3" borderId="1" xfId="0" applyFill="1" applyBorder="1" applyAlignment="1">
      <alignment horizontal="center"/>
    </xf>
    <xf numFmtId="165" fontId="0" fillId="0" borderId="1" xfId="1" applyNumberFormat="1" applyFont="1" applyFill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1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5" fontId="5" fillId="3" borderId="1" xfId="1" applyNumberFormat="1" applyFont="1" applyFill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165" fontId="5" fillId="0" borderId="1" xfId="1" applyNumberFormat="1" applyFont="1" applyFill="1" applyBorder="1"/>
    <xf numFmtId="0" fontId="0" fillId="5" borderId="1" xfId="0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 vertical="center"/>
    </xf>
    <xf numFmtId="165" fontId="0" fillId="5" borderId="1" xfId="1" applyNumberFormat="1" applyFont="1" applyFill="1" applyBorder="1"/>
    <xf numFmtId="0" fontId="0" fillId="6" borderId="1" xfId="0" applyFill="1" applyBorder="1" applyAlignment="1">
      <alignment horizontal="center" vertical="center"/>
    </xf>
    <xf numFmtId="165" fontId="0" fillId="6" borderId="1" xfId="1" applyNumberFormat="1" applyFont="1" applyFill="1" applyBorder="1"/>
    <xf numFmtId="165" fontId="0" fillId="3" borderId="1" xfId="1" applyNumberFormat="1" applyFont="1" applyFill="1" applyBorder="1"/>
    <xf numFmtId="164" fontId="0" fillId="3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7" borderId="1" xfId="1" applyNumberFormat="1" applyFont="1" applyFill="1" applyBorder="1" applyAlignment="1">
      <alignment horizontal="center" vertical="center"/>
    </xf>
    <xf numFmtId="165" fontId="0" fillId="7" borderId="1" xfId="1" applyNumberFormat="1" applyFont="1" applyFill="1" applyBorder="1"/>
    <xf numFmtId="0" fontId="0" fillId="8" borderId="1" xfId="0" applyFill="1" applyBorder="1" applyAlignment="1">
      <alignment horizontal="center" vertical="center"/>
    </xf>
    <xf numFmtId="165" fontId="0" fillId="8" borderId="1" xfId="1" applyNumberFormat="1" applyFont="1" applyFill="1" applyBorder="1"/>
    <xf numFmtId="0" fontId="0" fillId="0" borderId="0" xfId="0" applyAlignment="1">
      <alignment horizontal="center"/>
    </xf>
    <xf numFmtId="165" fontId="0" fillId="0" borderId="1" xfId="1" applyNumberFormat="1" applyFont="1" applyBorder="1"/>
    <xf numFmtId="165" fontId="0" fillId="0" borderId="0" xfId="1" applyNumberFormat="1" applyFont="1"/>
    <xf numFmtId="164" fontId="0" fillId="2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9" fontId="0" fillId="0" borderId="1" xfId="2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9" fontId="0" fillId="0" borderId="1" xfId="2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B05E-B13B-41C8-84F5-EF48407C1218}">
  <sheetPr>
    <tabColor rgb="FF00B050"/>
  </sheetPr>
  <dimension ref="A1:P189"/>
  <sheetViews>
    <sheetView topLeftCell="A167" zoomScale="80" zoomScaleNormal="80" workbookViewId="0">
      <selection activeCell="K193" sqref="K193"/>
    </sheetView>
  </sheetViews>
  <sheetFormatPr defaultRowHeight="15" x14ac:dyDescent="0.25"/>
  <cols>
    <col min="1" max="1" width="25.140625" customWidth="1"/>
    <col min="2" max="2" width="12.140625" bestFit="1" customWidth="1"/>
    <col min="3" max="3" width="11.28515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9.85546875" bestFit="1" customWidth="1"/>
    <col min="11" max="11" width="12.85546875" bestFit="1" customWidth="1"/>
    <col min="12" max="12" width="89.28515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3530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8">
        <v>4</v>
      </c>
      <c r="H2" s="8">
        <v>81305</v>
      </c>
      <c r="I2" s="8" t="s">
        <v>16</v>
      </c>
      <c r="J2" s="8">
        <v>15610878</v>
      </c>
      <c r="K2" s="8" t="s">
        <v>17</v>
      </c>
      <c r="L2" s="9" t="s">
        <v>18</v>
      </c>
      <c r="M2" s="10">
        <v>139900</v>
      </c>
      <c r="N2" s="62">
        <v>0.75</v>
      </c>
      <c r="O2" s="60">
        <f t="shared" ref="O2" si="0">M2-((75*M2)/100)</f>
        <v>34975</v>
      </c>
      <c r="P2" s="55" t="s">
        <v>3499</v>
      </c>
    </row>
    <row r="3" spans="1:16" x14ac:dyDescent="0.25">
      <c r="A3" s="6" t="s">
        <v>3530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8">
        <v>4</v>
      </c>
      <c r="H3" s="8">
        <v>81305</v>
      </c>
      <c r="I3" s="8" t="s">
        <v>16</v>
      </c>
      <c r="J3" s="8">
        <v>15610887</v>
      </c>
      <c r="K3" s="8" t="s">
        <v>17</v>
      </c>
      <c r="L3" s="9" t="s">
        <v>20</v>
      </c>
      <c r="M3" s="10">
        <v>139900</v>
      </c>
      <c r="N3" s="62">
        <v>0.75</v>
      </c>
      <c r="O3" s="60">
        <f t="shared" ref="O3:O66" si="1">M3-((75*M3)/100)</f>
        <v>34975</v>
      </c>
      <c r="P3" s="55" t="s">
        <v>3499</v>
      </c>
    </row>
    <row r="4" spans="1:16" x14ac:dyDescent="0.25">
      <c r="A4" s="6" t="s">
        <v>3530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8">
        <v>4</v>
      </c>
      <c r="H4" s="8">
        <v>81305</v>
      </c>
      <c r="I4" s="8" t="s">
        <v>16</v>
      </c>
      <c r="J4" s="8">
        <v>15610896</v>
      </c>
      <c r="K4" s="8" t="s">
        <v>17</v>
      </c>
      <c r="L4" s="9" t="s">
        <v>21</v>
      </c>
      <c r="M4" s="10">
        <v>139900</v>
      </c>
      <c r="N4" s="62">
        <v>0.75</v>
      </c>
      <c r="O4" s="60">
        <f t="shared" si="1"/>
        <v>34975</v>
      </c>
      <c r="P4" s="55" t="s">
        <v>3499</v>
      </c>
    </row>
    <row r="5" spans="1:16" x14ac:dyDescent="0.25">
      <c r="A5" s="6" t="s">
        <v>3530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8">
        <v>4</v>
      </c>
      <c r="H5" s="8">
        <v>81305</v>
      </c>
      <c r="I5" s="8" t="s">
        <v>16</v>
      </c>
      <c r="J5" s="8">
        <v>15610903</v>
      </c>
      <c r="K5" s="8" t="s">
        <v>17</v>
      </c>
      <c r="L5" s="9" t="s">
        <v>22</v>
      </c>
      <c r="M5" s="10">
        <v>139900</v>
      </c>
      <c r="N5" s="62">
        <v>0.75</v>
      </c>
      <c r="O5" s="60">
        <f t="shared" si="1"/>
        <v>34975</v>
      </c>
      <c r="P5" s="55" t="s">
        <v>3499</v>
      </c>
    </row>
    <row r="6" spans="1:16" x14ac:dyDescent="0.25">
      <c r="A6" s="6" t="s">
        <v>3530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8">
        <v>4</v>
      </c>
      <c r="H6" s="8">
        <v>81305</v>
      </c>
      <c r="I6" s="8" t="s">
        <v>16</v>
      </c>
      <c r="J6" s="8">
        <v>15612803</v>
      </c>
      <c r="K6" s="8" t="s">
        <v>23</v>
      </c>
      <c r="L6" s="9" t="s">
        <v>24</v>
      </c>
      <c r="M6" s="10">
        <v>139900</v>
      </c>
      <c r="N6" s="62">
        <v>0.75</v>
      </c>
      <c r="O6" s="60">
        <f t="shared" si="1"/>
        <v>34975</v>
      </c>
      <c r="P6" s="55" t="s">
        <v>3499</v>
      </c>
    </row>
    <row r="7" spans="1:16" x14ac:dyDescent="0.25">
      <c r="A7" s="6" t="s">
        <v>3530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8">
        <v>4</v>
      </c>
      <c r="H7" s="8">
        <v>81305</v>
      </c>
      <c r="I7" s="8" t="s">
        <v>16</v>
      </c>
      <c r="J7" s="8">
        <v>15612812</v>
      </c>
      <c r="K7" s="8" t="s">
        <v>23</v>
      </c>
      <c r="L7" s="9" t="s">
        <v>25</v>
      </c>
      <c r="M7" s="10">
        <v>139900</v>
      </c>
      <c r="N7" s="62">
        <v>0.75</v>
      </c>
      <c r="O7" s="60">
        <f t="shared" si="1"/>
        <v>34975</v>
      </c>
      <c r="P7" s="55" t="s">
        <v>3499</v>
      </c>
    </row>
    <row r="8" spans="1:16" x14ac:dyDescent="0.25">
      <c r="A8" s="6" t="s">
        <v>3530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8">
        <v>4</v>
      </c>
      <c r="H8" s="8">
        <v>81305</v>
      </c>
      <c r="I8" s="8" t="s">
        <v>16</v>
      </c>
      <c r="J8" s="8">
        <v>15612821</v>
      </c>
      <c r="K8" s="8" t="s">
        <v>23</v>
      </c>
      <c r="L8" s="9" t="s">
        <v>26</v>
      </c>
      <c r="M8" s="10">
        <v>139900</v>
      </c>
      <c r="N8" s="62">
        <v>0.75</v>
      </c>
      <c r="O8" s="60">
        <f t="shared" si="1"/>
        <v>34975</v>
      </c>
      <c r="P8" s="55" t="s">
        <v>3499</v>
      </c>
    </row>
    <row r="9" spans="1:16" x14ac:dyDescent="0.25">
      <c r="A9" s="6" t="s">
        <v>3530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8">
        <v>4</v>
      </c>
      <c r="H9" s="8">
        <v>81305</v>
      </c>
      <c r="I9" s="8" t="s">
        <v>16</v>
      </c>
      <c r="J9" s="8">
        <v>15612830</v>
      </c>
      <c r="K9" s="8" t="s">
        <v>23</v>
      </c>
      <c r="L9" s="9" t="s">
        <v>27</v>
      </c>
      <c r="M9" s="10">
        <v>139900</v>
      </c>
      <c r="N9" s="62">
        <v>0.75</v>
      </c>
      <c r="O9" s="60">
        <f t="shared" si="1"/>
        <v>34975</v>
      </c>
      <c r="P9" s="55" t="s">
        <v>3499</v>
      </c>
    </row>
    <row r="10" spans="1:16" x14ac:dyDescent="0.25">
      <c r="A10" s="6" t="s">
        <v>3530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8">
        <v>4</v>
      </c>
      <c r="H10" s="8">
        <v>81305</v>
      </c>
      <c r="I10" s="8" t="s">
        <v>16</v>
      </c>
      <c r="J10" s="8">
        <v>16339063</v>
      </c>
      <c r="K10" s="8" t="s">
        <v>28</v>
      </c>
      <c r="L10" s="9" t="s">
        <v>29</v>
      </c>
      <c r="M10" s="10">
        <v>139900</v>
      </c>
      <c r="N10" s="62">
        <v>0.75</v>
      </c>
      <c r="O10" s="60">
        <f t="shared" si="1"/>
        <v>34975</v>
      </c>
      <c r="P10" s="55" t="s">
        <v>3499</v>
      </c>
    </row>
    <row r="11" spans="1:16" x14ac:dyDescent="0.25">
      <c r="A11" s="6" t="s">
        <v>3530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8">
        <v>4</v>
      </c>
      <c r="H11" s="8">
        <v>81305</v>
      </c>
      <c r="I11" s="8" t="s">
        <v>16</v>
      </c>
      <c r="J11" s="8">
        <v>16339072</v>
      </c>
      <c r="K11" s="8" t="s">
        <v>28</v>
      </c>
      <c r="L11" s="9" t="s">
        <v>30</v>
      </c>
      <c r="M11" s="10">
        <v>139900</v>
      </c>
      <c r="N11" s="62">
        <v>0.75</v>
      </c>
      <c r="O11" s="60">
        <f t="shared" si="1"/>
        <v>34975</v>
      </c>
      <c r="P11" s="55" t="s">
        <v>3499</v>
      </c>
    </row>
    <row r="12" spans="1:16" x14ac:dyDescent="0.25">
      <c r="A12" s="6" t="s">
        <v>3530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8">
        <v>4</v>
      </c>
      <c r="H12" s="8">
        <v>81305</v>
      </c>
      <c r="I12" s="8" t="s">
        <v>16</v>
      </c>
      <c r="J12" s="8">
        <v>16339081</v>
      </c>
      <c r="K12" s="8" t="s">
        <v>28</v>
      </c>
      <c r="L12" s="9" t="s">
        <v>31</v>
      </c>
      <c r="M12" s="10">
        <v>139900</v>
      </c>
      <c r="N12" s="62">
        <v>0.75</v>
      </c>
      <c r="O12" s="60">
        <f t="shared" si="1"/>
        <v>34975</v>
      </c>
      <c r="P12" s="55" t="s">
        <v>3499</v>
      </c>
    </row>
    <row r="13" spans="1:16" x14ac:dyDescent="0.25">
      <c r="A13" s="6" t="s">
        <v>3530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8">
        <v>4</v>
      </c>
      <c r="H13" s="8">
        <v>81305</v>
      </c>
      <c r="I13" s="8" t="s">
        <v>16</v>
      </c>
      <c r="J13" s="8">
        <v>16339090</v>
      </c>
      <c r="K13" s="8" t="s">
        <v>28</v>
      </c>
      <c r="L13" s="9" t="s">
        <v>32</v>
      </c>
      <c r="M13" s="10">
        <v>139900</v>
      </c>
      <c r="N13" s="62">
        <v>0.75</v>
      </c>
      <c r="O13" s="60">
        <f t="shared" si="1"/>
        <v>34975</v>
      </c>
      <c r="P13" s="55" t="s">
        <v>3499</v>
      </c>
    </row>
    <row r="14" spans="1:16" x14ac:dyDescent="0.25">
      <c r="A14" s="6" t="s">
        <v>3530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8">
        <v>4</v>
      </c>
      <c r="H14" s="8">
        <v>81305</v>
      </c>
      <c r="I14" s="8" t="s">
        <v>16</v>
      </c>
      <c r="J14" s="8">
        <v>16339107</v>
      </c>
      <c r="K14" s="8" t="s">
        <v>33</v>
      </c>
      <c r="L14" s="9" t="s">
        <v>34</v>
      </c>
      <c r="M14" s="10">
        <v>139900</v>
      </c>
      <c r="N14" s="62">
        <v>0.75</v>
      </c>
      <c r="O14" s="60">
        <f t="shared" si="1"/>
        <v>34975</v>
      </c>
      <c r="P14" s="55" t="s">
        <v>3499</v>
      </c>
    </row>
    <row r="15" spans="1:16" x14ac:dyDescent="0.25">
      <c r="A15" s="6" t="s">
        <v>3530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8">
        <v>4</v>
      </c>
      <c r="H15" s="8">
        <v>81305</v>
      </c>
      <c r="I15" s="8" t="s">
        <v>16</v>
      </c>
      <c r="J15" s="8">
        <v>16339116</v>
      </c>
      <c r="K15" s="8" t="s">
        <v>33</v>
      </c>
      <c r="L15" s="9" t="s">
        <v>35</v>
      </c>
      <c r="M15" s="10">
        <v>139900</v>
      </c>
      <c r="N15" s="62">
        <v>0.75</v>
      </c>
      <c r="O15" s="60">
        <f t="shared" si="1"/>
        <v>34975</v>
      </c>
      <c r="P15" s="55" t="s">
        <v>3499</v>
      </c>
    </row>
    <row r="16" spans="1:16" x14ac:dyDescent="0.25">
      <c r="A16" s="6" t="s">
        <v>3530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8">
        <v>4</v>
      </c>
      <c r="H16" s="8">
        <v>81305</v>
      </c>
      <c r="I16" s="8" t="s">
        <v>16</v>
      </c>
      <c r="J16" s="8">
        <v>16339125</v>
      </c>
      <c r="K16" s="8" t="s">
        <v>33</v>
      </c>
      <c r="L16" s="9" t="s">
        <v>36</v>
      </c>
      <c r="M16" s="10">
        <v>139900</v>
      </c>
      <c r="N16" s="62">
        <v>0.75</v>
      </c>
      <c r="O16" s="60">
        <f t="shared" si="1"/>
        <v>34975</v>
      </c>
      <c r="P16" s="55" t="s">
        <v>3499</v>
      </c>
    </row>
    <row r="17" spans="1:16" x14ac:dyDescent="0.25">
      <c r="A17" s="6" t="s">
        <v>3530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8">
        <v>4</v>
      </c>
      <c r="H17" s="8">
        <v>81305</v>
      </c>
      <c r="I17" s="8" t="s">
        <v>16</v>
      </c>
      <c r="J17" s="8">
        <v>16339134</v>
      </c>
      <c r="K17" s="8" t="s">
        <v>33</v>
      </c>
      <c r="L17" s="9" t="s">
        <v>37</v>
      </c>
      <c r="M17" s="10">
        <v>139900</v>
      </c>
      <c r="N17" s="62">
        <v>0.75</v>
      </c>
      <c r="O17" s="60">
        <f t="shared" si="1"/>
        <v>34975</v>
      </c>
      <c r="P17" s="55" t="s">
        <v>3499</v>
      </c>
    </row>
    <row r="18" spans="1:16" x14ac:dyDescent="0.25">
      <c r="A18" s="6" t="s">
        <v>3530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8">
        <v>4</v>
      </c>
      <c r="H18" s="8">
        <v>81379</v>
      </c>
      <c r="I18" s="8" t="s">
        <v>16</v>
      </c>
      <c r="J18" s="8">
        <v>15612527</v>
      </c>
      <c r="K18" s="8" t="s">
        <v>38</v>
      </c>
      <c r="L18" s="9" t="s">
        <v>39</v>
      </c>
      <c r="M18" s="10">
        <v>139900</v>
      </c>
      <c r="N18" s="62">
        <v>0.75</v>
      </c>
      <c r="O18" s="60">
        <f t="shared" si="1"/>
        <v>34975</v>
      </c>
      <c r="P18" s="55" t="s">
        <v>3499</v>
      </c>
    </row>
    <row r="19" spans="1:16" x14ac:dyDescent="0.25">
      <c r="A19" s="6" t="s">
        <v>3530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8">
        <v>4</v>
      </c>
      <c r="H19" s="8">
        <v>81379</v>
      </c>
      <c r="I19" s="8" t="s">
        <v>16</v>
      </c>
      <c r="J19" s="8">
        <v>15612536</v>
      </c>
      <c r="K19" s="8" t="s">
        <v>38</v>
      </c>
      <c r="L19" s="9" t="s">
        <v>40</v>
      </c>
      <c r="M19" s="10">
        <v>139900</v>
      </c>
      <c r="N19" s="62">
        <v>0.75</v>
      </c>
      <c r="O19" s="60">
        <f t="shared" si="1"/>
        <v>34975</v>
      </c>
      <c r="P19" s="55" t="s">
        <v>3499</v>
      </c>
    </row>
    <row r="20" spans="1:16" x14ac:dyDescent="0.25">
      <c r="A20" s="6" t="s">
        <v>3530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8">
        <v>4</v>
      </c>
      <c r="H20" s="8">
        <v>81379</v>
      </c>
      <c r="I20" s="8" t="s">
        <v>16</v>
      </c>
      <c r="J20" s="8">
        <v>15612545</v>
      </c>
      <c r="K20" s="8" t="s">
        <v>38</v>
      </c>
      <c r="L20" s="9" t="s">
        <v>41</v>
      </c>
      <c r="M20" s="10">
        <v>139900</v>
      </c>
      <c r="N20" s="62">
        <v>0.75</v>
      </c>
      <c r="O20" s="60">
        <f t="shared" si="1"/>
        <v>34975</v>
      </c>
      <c r="P20" s="55" t="s">
        <v>3499</v>
      </c>
    </row>
    <row r="21" spans="1:16" x14ac:dyDescent="0.25">
      <c r="A21" s="6" t="s">
        <v>3530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8">
        <v>4</v>
      </c>
      <c r="H21" s="8">
        <v>81379</v>
      </c>
      <c r="I21" s="8" t="s">
        <v>16</v>
      </c>
      <c r="J21" s="8">
        <v>15612554</v>
      </c>
      <c r="K21" s="8" t="s">
        <v>38</v>
      </c>
      <c r="L21" s="9" t="s">
        <v>42</v>
      </c>
      <c r="M21" s="10">
        <v>139900</v>
      </c>
      <c r="N21" s="62">
        <v>0.75</v>
      </c>
      <c r="O21" s="60">
        <f t="shared" si="1"/>
        <v>34975</v>
      </c>
      <c r="P21" s="55" t="s">
        <v>3499</v>
      </c>
    </row>
    <row r="22" spans="1:16" x14ac:dyDescent="0.25">
      <c r="A22" s="6" t="s">
        <v>3530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8">
        <v>4</v>
      </c>
      <c r="H22" s="8">
        <v>80920</v>
      </c>
      <c r="I22" s="8" t="s">
        <v>16</v>
      </c>
      <c r="J22" s="8">
        <v>15611966</v>
      </c>
      <c r="K22" s="8" t="s">
        <v>43</v>
      </c>
      <c r="L22" s="9" t="s">
        <v>44</v>
      </c>
      <c r="M22" s="10">
        <v>139900</v>
      </c>
      <c r="N22" s="62">
        <v>0.75</v>
      </c>
      <c r="O22" s="60">
        <f t="shared" si="1"/>
        <v>34975</v>
      </c>
      <c r="P22" s="55" t="s">
        <v>3499</v>
      </c>
    </row>
    <row r="23" spans="1:16" x14ac:dyDescent="0.25">
      <c r="A23" s="6" t="s">
        <v>3530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8">
        <v>4</v>
      </c>
      <c r="H23" s="8">
        <v>80920</v>
      </c>
      <c r="I23" s="8" t="s">
        <v>16</v>
      </c>
      <c r="J23" s="8">
        <v>15611975</v>
      </c>
      <c r="K23" s="8" t="s">
        <v>43</v>
      </c>
      <c r="L23" s="9" t="s">
        <v>45</v>
      </c>
      <c r="M23" s="10">
        <v>139900</v>
      </c>
      <c r="N23" s="62">
        <v>0.75</v>
      </c>
      <c r="O23" s="60">
        <f t="shared" si="1"/>
        <v>34975</v>
      </c>
      <c r="P23" s="55" t="s">
        <v>3499</v>
      </c>
    </row>
    <row r="24" spans="1:16" x14ac:dyDescent="0.25">
      <c r="A24" s="6" t="s">
        <v>3530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8">
        <v>4</v>
      </c>
      <c r="H24" s="8">
        <v>80920</v>
      </c>
      <c r="I24" s="8" t="s">
        <v>16</v>
      </c>
      <c r="J24" s="8">
        <v>15611984</v>
      </c>
      <c r="K24" s="8" t="s">
        <v>43</v>
      </c>
      <c r="L24" s="9" t="s">
        <v>46</v>
      </c>
      <c r="M24" s="10">
        <v>139900</v>
      </c>
      <c r="N24" s="62">
        <v>0.75</v>
      </c>
      <c r="O24" s="60">
        <f t="shared" si="1"/>
        <v>34975</v>
      </c>
      <c r="P24" s="55" t="s">
        <v>3499</v>
      </c>
    </row>
    <row r="25" spans="1:16" x14ac:dyDescent="0.25">
      <c r="A25" s="6" t="s">
        <v>3530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8">
        <v>4</v>
      </c>
      <c r="H25" s="8">
        <v>80920</v>
      </c>
      <c r="I25" s="8" t="s">
        <v>16</v>
      </c>
      <c r="J25" s="8">
        <v>15611993</v>
      </c>
      <c r="K25" s="8" t="s">
        <v>43</v>
      </c>
      <c r="L25" s="9" t="s">
        <v>47</v>
      </c>
      <c r="M25" s="10">
        <v>139900</v>
      </c>
      <c r="N25" s="62">
        <v>0.75</v>
      </c>
      <c r="O25" s="60">
        <f t="shared" si="1"/>
        <v>34975</v>
      </c>
      <c r="P25" s="55" t="s">
        <v>3499</v>
      </c>
    </row>
    <row r="26" spans="1:16" x14ac:dyDescent="0.25">
      <c r="A26" s="6" t="s">
        <v>3530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8">
        <v>4</v>
      </c>
      <c r="H26" s="8">
        <v>80920</v>
      </c>
      <c r="I26" s="8" t="s">
        <v>16</v>
      </c>
      <c r="J26" s="8">
        <v>15612045</v>
      </c>
      <c r="K26" s="8" t="s">
        <v>48</v>
      </c>
      <c r="L26" s="9" t="s">
        <v>49</v>
      </c>
      <c r="M26" s="10">
        <v>139900</v>
      </c>
      <c r="N26" s="62">
        <v>0.75</v>
      </c>
      <c r="O26" s="60">
        <f t="shared" si="1"/>
        <v>34975</v>
      </c>
      <c r="P26" s="55" t="s">
        <v>3499</v>
      </c>
    </row>
    <row r="27" spans="1:16" x14ac:dyDescent="0.25">
      <c r="A27" s="6" t="s">
        <v>3530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8">
        <v>4</v>
      </c>
      <c r="H27" s="8">
        <v>80920</v>
      </c>
      <c r="I27" s="8" t="s">
        <v>16</v>
      </c>
      <c r="J27" s="8">
        <v>15612054</v>
      </c>
      <c r="K27" s="8" t="s">
        <v>48</v>
      </c>
      <c r="L27" s="9" t="s">
        <v>50</v>
      </c>
      <c r="M27" s="10">
        <v>139900</v>
      </c>
      <c r="N27" s="62">
        <v>0.75</v>
      </c>
      <c r="O27" s="60">
        <f t="shared" si="1"/>
        <v>34975</v>
      </c>
      <c r="P27" s="55" t="s">
        <v>3499</v>
      </c>
    </row>
    <row r="28" spans="1:16" x14ac:dyDescent="0.25">
      <c r="A28" s="6" t="s">
        <v>3530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8">
        <v>4</v>
      </c>
      <c r="H28" s="8">
        <v>80920</v>
      </c>
      <c r="I28" s="8" t="s">
        <v>16</v>
      </c>
      <c r="J28" s="8">
        <v>15612063</v>
      </c>
      <c r="K28" s="8" t="s">
        <v>48</v>
      </c>
      <c r="L28" s="9" t="s">
        <v>51</v>
      </c>
      <c r="M28" s="10">
        <v>139900</v>
      </c>
      <c r="N28" s="62">
        <v>0.75</v>
      </c>
      <c r="O28" s="60">
        <f t="shared" si="1"/>
        <v>34975</v>
      </c>
      <c r="P28" s="55" t="s">
        <v>3499</v>
      </c>
    </row>
    <row r="29" spans="1:16" x14ac:dyDescent="0.25">
      <c r="A29" s="6" t="s">
        <v>3530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8">
        <v>4</v>
      </c>
      <c r="H29" s="8">
        <v>80920</v>
      </c>
      <c r="I29" s="8" t="s">
        <v>16</v>
      </c>
      <c r="J29" s="8">
        <v>15612072</v>
      </c>
      <c r="K29" s="8" t="s">
        <v>48</v>
      </c>
      <c r="L29" s="9" t="s">
        <v>52</v>
      </c>
      <c r="M29" s="10">
        <v>139900</v>
      </c>
      <c r="N29" s="62">
        <v>0.75</v>
      </c>
      <c r="O29" s="60">
        <f t="shared" si="1"/>
        <v>34975</v>
      </c>
      <c r="P29" s="55" t="s">
        <v>3499</v>
      </c>
    </row>
    <row r="30" spans="1:16" x14ac:dyDescent="0.25">
      <c r="A30" s="6" t="s">
        <v>3530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8">
        <v>4</v>
      </c>
      <c r="H30" s="8">
        <v>80920</v>
      </c>
      <c r="I30" s="8" t="s">
        <v>16</v>
      </c>
      <c r="J30" s="8">
        <v>15612689</v>
      </c>
      <c r="K30" s="8" t="s">
        <v>53</v>
      </c>
      <c r="L30" s="9" t="s">
        <v>54</v>
      </c>
      <c r="M30" s="10">
        <v>139900</v>
      </c>
      <c r="N30" s="62">
        <v>0.75</v>
      </c>
      <c r="O30" s="60">
        <f t="shared" si="1"/>
        <v>34975</v>
      </c>
      <c r="P30" s="55" t="s">
        <v>3499</v>
      </c>
    </row>
    <row r="31" spans="1:16" x14ac:dyDescent="0.25">
      <c r="A31" s="6" t="s">
        <v>3530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8">
        <v>4</v>
      </c>
      <c r="H31" s="8">
        <v>80920</v>
      </c>
      <c r="I31" s="8" t="s">
        <v>16</v>
      </c>
      <c r="J31" s="8">
        <v>15612698</v>
      </c>
      <c r="K31" s="8" t="s">
        <v>53</v>
      </c>
      <c r="L31" s="9" t="s">
        <v>55</v>
      </c>
      <c r="M31" s="10">
        <v>139900</v>
      </c>
      <c r="N31" s="62">
        <v>0.75</v>
      </c>
      <c r="O31" s="60">
        <f t="shared" si="1"/>
        <v>34975</v>
      </c>
      <c r="P31" s="55" t="s">
        <v>3499</v>
      </c>
    </row>
    <row r="32" spans="1:16" x14ac:dyDescent="0.25">
      <c r="A32" s="6" t="s">
        <v>3530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8">
        <v>4</v>
      </c>
      <c r="H32" s="8">
        <v>80920</v>
      </c>
      <c r="I32" s="8" t="s">
        <v>16</v>
      </c>
      <c r="J32" s="8">
        <v>15612705</v>
      </c>
      <c r="K32" s="8" t="s">
        <v>53</v>
      </c>
      <c r="L32" s="9" t="s">
        <v>56</v>
      </c>
      <c r="M32" s="10">
        <v>139900</v>
      </c>
      <c r="N32" s="62">
        <v>0.75</v>
      </c>
      <c r="O32" s="60">
        <f t="shared" si="1"/>
        <v>34975</v>
      </c>
      <c r="P32" s="55" t="s">
        <v>3499</v>
      </c>
    </row>
    <row r="33" spans="1:16" x14ac:dyDescent="0.25">
      <c r="A33" s="6" t="s">
        <v>3530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8">
        <v>4</v>
      </c>
      <c r="H33" s="8">
        <v>80920</v>
      </c>
      <c r="I33" s="8" t="s">
        <v>16</v>
      </c>
      <c r="J33" s="8">
        <v>15612714</v>
      </c>
      <c r="K33" s="8" t="s">
        <v>53</v>
      </c>
      <c r="L33" s="9" t="s">
        <v>57</v>
      </c>
      <c r="M33" s="10">
        <v>139900</v>
      </c>
      <c r="N33" s="62">
        <v>0.75</v>
      </c>
      <c r="O33" s="60">
        <f t="shared" si="1"/>
        <v>34975</v>
      </c>
      <c r="P33" s="55" t="s">
        <v>3499</v>
      </c>
    </row>
    <row r="34" spans="1:16" x14ac:dyDescent="0.25">
      <c r="A34" s="6" t="s">
        <v>3530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8">
        <v>4</v>
      </c>
      <c r="H34" s="8">
        <v>81683</v>
      </c>
      <c r="I34" s="8" t="s">
        <v>16</v>
      </c>
      <c r="J34" s="8">
        <v>15611108</v>
      </c>
      <c r="K34" s="8" t="s">
        <v>58</v>
      </c>
      <c r="L34" s="9" t="s">
        <v>59</v>
      </c>
      <c r="M34" s="10">
        <v>199900</v>
      </c>
      <c r="N34" s="62">
        <v>0.75</v>
      </c>
      <c r="O34" s="60">
        <f t="shared" si="1"/>
        <v>49975</v>
      </c>
      <c r="P34" s="55" t="s">
        <v>3499</v>
      </c>
    </row>
    <row r="35" spans="1:16" x14ac:dyDescent="0.25">
      <c r="A35" s="6" t="s">
        <v>3530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8">
        <v>4</v>
      </c>
      <c r="H35" s="8">
        <v>81683</v>
      </c>
      <c r="I35" s="8" t="s">
        <v>16</v>
      </c>
      <c r="J35" s="8">
        <v>15611135</v>
      </c>
      <c r="K35" s="8" t="s">
        <v>58</v>
      </c>
      <c r="L35" s="9" t="s">
        <v>60</v>
      </c>
      <c r="M35" s="10">
        <v>199900</v>
      </c>
      <c r="N35" s="62">
        <v>0.75</v>
      </c>
      <c r="O35" s="60">
        <f t="shared" si="1"/>
        <v>49975</v>
      </c>
      <c r="P35" s="55" t="s">
        <v>3499</v>
      </c>
    </row>
    <row r="36" spans="1:16" x14ac:dyDescent="0.25">
      <c r="A36" s="6" t="s">
        <v>3530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8">
        <v>4</v>
      </c>
      <c r="H36" s="8">
        <v>81683</v>
      </c>
      <c r="I36" s="8" t="s">
        <v>16</v>
      </c>
      <c r="J36" s="8">
        <v>15611144</v>
      </c>
      <c r="K36" s="8" t="s">
        <v>58</v>
      </c>
      <c r="L36" s="9" t="s">
        <v>61</v>
      </c>
      <c r="M36" s="10">
        <v>199900</v>
      </c>
      <c r="N36" s="62">
        <v>0.75</v>
      </c>
      <c r="O36" s="60">
        <f t="shared" si="1"/>
        <v>49975</v>
      </c>
      <c r="P36" s="55" t="s">
        <v>3499</v>
      </c>
    </row>
    <row r="37" spans="1:16" x14ac:dyDescent="0.25">
      <c r="A37" s="6" t="s">
        <v>3530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8">
        <v>4</v>
      </c>
      <c r="H37" s="8">
        <v>81683</v>
      </c>
      <c r="I37" s="8" t="s">
        <v>16</v>
      </c>
      <c r="J37" s="8">
        <v>15611153</v>
      </c>
      <c r="K37" s="8" t="s">
        <v>58</v>
      </c>
      <c r="L37" s="9" t="s">
        <v>62</v>
      </c>
      <c r="M37" s="10">
        <v>199900</v>
      </c>
      <c r="N37" s="62">
        <v>0.75</v>
      </c>
      <c r="O37" s="60">
        <f t="shared" si="1"/>
        <v>49975</v>
      </c>
      <c r="P37" s="55" t="s">
        <v>3499</v>
      </c>
    </row>
    <row r="38" spans="1:16" x14ac:dyDescent="0.25">
      <c r="A38" s="6" t="s">
        <v>3530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8">
        <v>4</v>
      </c>
      <c r="H38" s="8">
        <v>81683</v>
      </c>
      <c r="I38" s="8" t="s">
        <v>16</v>
      </c>
      <c r="J38" s="8">
        <v>15611528</v>
      </c>
      <c r="K38" s="8" t="s">
        <v>63</v>
      </c>
      <c r="L38" s="9" t="s">
        <v>64</v>
      </c>
      <c r="M38" s="10">
        <v>199900</v>
      </c>
      <c r="N38" s="62">
        <v>0.75</v>
      </c>
      <c r="O38" s="60">
        <f t="shared" si="1"/>
        <v>49975</v>
      </c>
      <c r="P38" s="55" t="s">
        <v>3499</v>
      </c>
    </row>
    <row r="39" spans="1:16" x14ac:dyDescent="0.25">
      <c r="A39" s="6" t="s">
        <v>3530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8">
        <v>4</v>
      </c>
      <c r="H39" s="8">
        <v>81683</v>
      </c>
      <c r="I39" s="8" t="s">
        <v>16</v>
      </c>
      <c r="J39" s="8">
        <v>15611537</v>
      </c>
      <c r="K39" s="8" t="s">
        <v>63</v>
      </c>
      <c r="L39" s="9" t="s">
        <v>65</v>
      </c>
      <c r="M39" s="10">
        <v>199900</v>
      </c>
      <c r="N39" s="62">
        <v>0.75</v>
      </c>
      <c r="O39" s="60">
        <f t="shared" si="1"/>
        <v>49975</v>
      </c>
      <c r="P39" s="55" t="s">
        <v>3499</v>
      </c>
    </row>
    <row r="40" spans="1:16" x14ac:dyDescent="0.25">
      <c r="A40" s="6" t="s">
        <v>3530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8">
        <v>4</v>
      </c>
      <c r="H40" s="8">
        <v>81683</v>
      </c>
      <c r="I40" s="8" t="s">
        <v>16</v>
      </c>
      <c r="J40" s="8">
        <v>15611546</v>
      </c>
      <c r="K40" s="8" t="s">
        <v>63</v>
      </c>
      <c r="L40" s="9" t="s">
        <v>66</v>
      </c>
      <c r="M40" s="10">
        <v>199900</v>
      </c>
      <c r="N40" s="62">
        <v>0.75</v>
      </c>
      <c r="O40" s="60">
        <f t="shared" si="1"/>
        <v>49975</v>
      </c>
      <c r="P40" s="55" t="s">
        <v>3499</v>
      </c>
    </row>
    <row r="41" spans="1:16" x14ac:dyDescent="0.25">
      <c r="A41" s="6" t="s">
        <v>3530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8">
        <v>4</v>
      </c>
      <c r="H41" s="8">
        <v>81683</v>
      </c>
      <c r="I41" s="8" t="s">
        <v>16</v>
      </c>
      <c r="J41" s="8">
        <v>15611555</v>
      </c>
      <c r="K41" s="8" t="s">
        <v>63</v>
      </c>
      <c r="L41" s="9" t="s">
        <v>67</v>
      </c>
      <c r="M41" s="10">
        <v>199900</v>
      </c>
      <c r="N41" s="62">
        <v>0.75</v>
      </c>
      <c r="O41" s="60">
        <f t="shared" si="1"/>
        <v>49975</v>
      </c>
      <c r="P41" s="55" t="s">
        <v>3499</v>
      </c>
    </row>
    <row r="42" spans="1:16" x14ac:dyDescent="0.25">
      <c r="A42" s="6" t="s">
        <v>3530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8">
        <v>4</v>
      </c>
      <c r="H42" s="8">
        <v>81683</v>
      </c>
      <c r="I42" s="8" t="s">
        <v>16</v>
      </c>
      <c r="J42" s="8">
        <v>15611564</v>
      </c>
      <c r="K42" s="8" t="s">
        <v>68</v>
      </c>
      <c r="L42" s="9" t="s">
        <v>69</v>
      </c>
      <c r="M42" s="10">
        <v>129900</v>
      </c>
      <c r="N42" s="62">
        <v>0.75</v>
      </c>
      <c r="O42" s="60">
        <f t="shared" si="1"/>
        <v>32475</v>
      </c>
      <c r="P42" s="55" t="s">
        <v>3499</v>
      </c>
    </row>
    <row r="43" spans="1:16" x14ac:dyDescent="0.25">
      <c r="A43" s="6" t="s">
        <v>3530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8">
        <v>4</v>
      </c>
      <c r="H43" s="8">
        <v>81683</v>
      </c>
      <c r="I43" s="8" t="s">
        <v>16</v>
      </c>
      <c r="J43" s="8">
        <v>15611573</v>
      </c>
      <c r="K43" s="8" t="s">
        <v>68</v>
      </c>
      <c r="L43" s="9" t="s">
        <v>70</v>
      </c>
      <c r="M43" s="10">
        <v>129900</v>
      </c>
      <c r="N43" s="62">
        <v>0.75</v>
      </c>
      <c r="O43" s="60">
        <f t="shared" si="1"/>
        <v>32475</v>
      </c>
      <c r="P43" s="55" t="s">
        <v>3499</v>
      </c>
    </row>
    <row r="44" spans="1:16" x14ac:dyDescent="0.25">
      <c r="A44" s="6" t="s">
        <v>3530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8">
        <v>4</v>
      </c>
      <c r="H44" s="8">
        <v>81683</v>
      </c>
      <c r="I44" s="8" t="s">
        <v>16</v>
      </c>
      <c r="J44" s="8">
        <v>15611582</v>
      </c>
      <c r="K44" s="8" t="s">
        <v>68</v>
      </c>
      <c r="L44" s="9" t="s">
        <v>71</v>
      </c>
      <c r="M44" s="10">
        <v>129900</v>
      </c>
      <c r="N44" s="62">
        <v>0.75</v>
      </c>
      <c r="O44" s="60">
        <f t="shared" si="1"/>
        <v>32475</v>
      </c>
      <c r="P44" s="55" t="s">
        <v>3499</v>
      </c>
    </row>
    <row r="45" spans="1:16" x14ac:dyDescent="0.25">
      <c r="A45" s="6" t="s">
        <v>3530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8">
        <v>4</v>
      </c>
      <c r="H45" s="8">
        <v>81683</v>
      </c>
      <c r="I45" s="8" t="s">
        <v>16</v>
      </c>
      <c r="J45" s="8">
        <v>15611591</v>
      </c>
      <c r="K45" s="8" t="s">
        <v>68</v>
      </c>
      <c r="L45" s="9" t="s">
        <v>72</v>
      </c>
      <c r="M45" s="10">
        <v>129900</v>
      </c>
      <c r="N45" s="62">
        <v>0.75</v>
      </c>
      <c r="O45" s="60">
        <f t="shared" si="1"/>
        <v>32475</v>
      </c>
      <c r="P45" s="55" t="s">
        <v>3499</v>
      </c>
    </row>
    <row r="46" spans="1:16" x14ac:dyDescent="0.25">
      <c r="A46" s="6" t="s">
        <v>3530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8">
        <v>4</v>
      </c>
      <c r="H46" s="8">
        <v>81683</v>
      </c>
      <c r="I46" s="8" t="s">
        <v>16</v>
      </c>
      <c r="J46" s="8">
        <v>15611804</v>
      </c>
      <c r="K46" s="8" t="s">
        <v>73</v>
      </c>
      <c r="L46" s="9" t="s">
        <v>74</v>
      </c>
      <c r="M46" s="10">
        <v>129900</v>
      </c>
      <c r="N46" s="62">
        <v>0.75</v>
      </c>
      <c r="O46" s="60">
        <f t="shared" si="1"/>
        <v>32475</v>
      </c>
      <c r="P46" s="55" t="s">
        <v>3499</v>
      </c>
    </row>
    <row r="47" spans="1:16" x14ac:dyDescent="0.25">
      <c r="A47" s="6" t="s">
        <v>3530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8">
        <v>4</v>
      </c>
      <c r="H47" s="8">
        <v>81683</v>
      </c>
      <c r="I47" s="8" t="s">
        <v>16</v>
      </c>
      <c r="J47" s="8">
        <v>15611813</v>
      </c>
      <c r="K47" s="8" t="s">
        <v>73</v>
      </c>
      <c r="L47" s="9" t="s">
        <v>75</v>
      </c>
      <c r="M47" s="10">
        <v>129900</v>
      </c>
      <c r="N47" s="62">
        <v>0.75</v>
      </c>
      <c r="O47" s="60">
        <f t="shared" si="1"/>
        <v>32475</v>
      </c>
      <c r="P47" s="55" t="s">
        <v>3499</v>
      </c>
    </row>
    <row r="48" spans="1:16" x14ac:dyDescent="0.25">
      <c r="A48" s="6" t="s">
        <v>3530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8">
        <v>4</v>
      </c>
      <c r="H48" s="8">
        <v>81683</v>
      </c>
      <c r="I48" s="8" t="s">
        <v>16</v>
      </c>
      <c r="J48" s="8">
        <v>15611822</v>
      </c>
      <c r="K48" s="8" t="s">
        <v>73</v>
      </c>
      <c r="L48" s="9" t="s">
        <v>76</v>
      </c>
      <c r="M48" s="10">
        <v>129900</v>
      </c>
      <c r="N48" s="62">
        <v>0.75</v>
      </c>
      <c r="O48" s="60">
        <f t="shared" si="1"/>
        <v>32475</v>
      </c>
      <c r="P48" s="55" t="s">
        <v>3499</v>
      </c>
    </row>
    <row r="49" spans="1:16" x14ac:dyDescent="0.25">
      <c r="A49" s="6" t="s">
        <v>3530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8">
        <v>4</v>
      </c>
      <c r="H49" s="8">
        <v>81683</v>
      </c>
      <c r="I49" s="8" t="s">
        <v>16</v>
      </c>
      <c r="J49" s="8">
        <v>15611831</v>
      </c>
      <c r="K49" s="8" t="s">
        <v>73</v>
      </c>
      <c r="L49" s="9" t="s">
        <v>77</v>
      </c>
      <c r="M49" s="10">
        <v>129900</v>
      </c>
      <c r="N49" s="62">
        <v>0.75</v>
      </c>
      <c r="O49" s="60">
        <f t="shared" si="1"/>
        <v>32475</v>
      </c>
      <c r="P49" s="55" t="s">
        <v>3499</v>
      </c>
    </row>
    <row r="50" spans="1:16" x14ac:dyDescent="0.25">
      <c r="A50" s="6" t="s">
        <v>3530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8">
        <v>4</v>
      </c>
      <c r="H50" s="8">
        <v>81683</v>
      </c>
      <c r="I50" s="8" t="s">
        <v>16</v>
      </c>
      <c r="J50" s="8">
        <v>15611859</v>
      </c>
      <c r="K50" s="8" t="s">
        <v>78</v>
      </c>
      <c r="L50" s="9" t="s">
        <v>79</v>
      </c>
      <c r="M50" s="10">
        <v>129900</v>
      </c>
      <c r="N50" s="62">
        <v>0.75</v>
      </c>
      <c r="O50" s="60">
        <f t="shared" si="1"/>
        <v>32475</v>
      </c>
      <c r="P50" s="55" t="s">
        <v>3499</v>
      </c>
    </row>
    <row r="51" spans="1:16" x14ac:dyDescent="0.25">
      <c r="A51" s="6" t="s">
        <v>3530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8">
        <v>4</v>
      </c>
      <c r="H51" s="8">
        <v>81683</v>
      </c>
      <c r="I51" s="8" t="s">
        <v>16</v>
      </c>
      <c r="J51" s="8">
        <v>15611868</v>
      </c>
      <c r="K51" s="8" t="s">
        <v>78</v>
      </c>
      <c r="L51" s="9" t="s">
        <v>80</v>
      </c>
      <c r="M51" s="10">
        <v>129900</v>
      </c>
      <c r="N51" s="62">
        <v>0.75</v>
      </c>
      <c r="O51" s="60">
        <f t="shared" si="1"/>
        <v>32475</v>
      </c>
      <c r="P51" s="55" t="s">
        <v>3499</v>
      </c>
    </row>
    <row r="52" spans="1:16" x14ac:dyDescent="0.25">
      <c r="A52" s="6" t="s">
        <v>3530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8">
        <v>4</v>
      </c>
      <c r="H52" s="8">
        <v>81683</v>
      </c>
      <c r="I52" s="8" t="s">
        <v>16</v>
      </c>
      <c r="J52" s="8">
        <v>15611877</v>
      </c>
      <c r="K52" s="8" t="s">
        <v>78</v>
      </c>
      <c r="L52" s="9" t="s">
        <v>81</v>
      </c>
      <c r="M52" s="10">
        <v>129900</v>
      </c>
      <c r="N52" s="62">
        <v>0.75</v>
      </c>
      <c r="O52" s="60">
        <f t="shared" si="1"/>
        <v>32475</v>
      </c>
      <c r="P52" s="55" t="s">
        <v>3499</v>
      </c>
    </row>
    <row r="53" spans="1:16" x14ac:dyDescent="0.25">
      <c r="A53" s="6" t="s">
        <v>3530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8">
        <v>4</v>
      </c>
      <c r="H53" s="8">
        <v>81683</v>
      </c>
      <c r="I53" s="8" t="s">
        <v>16</v>
      </c>
      <c r="J53" s="8">
        <v>15612009</v>
      </c>
      <c r="K53" s="8" t="s">
        <v>82</v>
      </c>
      <c r="L53" s="9" t="s">
        <v>83</v>
      </c>
      <c r="M53" s="10">
        <v>129900</v>
      </c>
      <c r="N53" s="62">
        <v>0.75</v>
      </c>
      <c r="O53" s="60">
        <f t="shared" si="1"/>
        <v>32475</v>
      </c>
      <c r="P53" s="55" t="s">
        <v>3499</v>
      </c>
    </row>
    <row r="54" spans="1:16" x14ac:dyDescent="0.25">
      <c r="A54" s="6" t="s">
        <v>3530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8">
        <v>4</v>
      </c>
      <c r="H54" s="8">
        <v>81683</v>
      </c>
      <c r="I54" s="8" t="s">
        <v>16</v>
      </c>
      <c r="J54" s="8">
        <v>15612018</v>
      </c>
      <c r="K54" s="8" t="s">
        <v>82</v>
      </c>
      <c r="L54" s="9" t="s">
        <v>84</v>
      </c>
      <c r="M54" s="10">
        <v>129900</v>
      </c>
      <c r="N54" s="62">
        <v>0.75</v>
      </c>
      <c r="O54" s="60">
        <f t="shared" si="1"/>
        <v>32475</v>
      </c>
      <c r="P54" s="55" t="s">
        <v>3499</v>
      </c>
    </row>
    <row r="55" spans="1:16" x14ac:dyDescent="0.25">
      <c r="A55" s="6" t="s">
        <v>3530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8">
        <v>4</v>
      </c>
      <c r="H55" s="8">
        <v>81683</v>
      </c>
      <c r="I55" s="8" t="s">
        <v>16</v>
      </c>
      <c r="J55" s="8">
        <v>15612027</v>
      </c>
      <c r="K55" s="8" t="s">
        <v>82</v>
      </c>
      <c r="L55" s="9" t="s">
        <v>85</v>
      </c>
      <c r="M55" s="10">
        <v>129900</v>
      </c>
      <c r="N55" s="62">
        <v>0.75</v>
      </c>
      <c r="O55" s="60">
        <f t="shared" si="1"/>
        <v>32475</v>
      </c>
      <c r="P55" s="55" t="s">
        <v>3499</v>
      </c>
    </row>
    <row r="56" spans="1:16" x14ac:dyDescent="0.25">
      <c r="A56" s="6" t="s">
        <v>3530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8">
        <v>4</v>
      </c>
      <c r="H56" s="8">
        <v>81683</v>
      </c>
      <c r="I56" s="8" t="s">
        <v>16</v>
      </c>
      <c r="J56" s="8">
        <v>15612036</v>
      </c>
      <c r="K56" s="8" t="s">
        <v>82</v>
      </c>
      <c r="L56" s="9" t="s">
        <v>86</v>
      </c>
      <c r="M56" s="10">
        <v>129900</v>
      </c>
      <c r="N56" s="62">
        <v>0.75</v>
      </c>
      <c r="O56" s="60">
        <f t="shared" si="1"/>
        <v>32475</v>
      </c>
      <c r="P56" s="55" t="s">
        <v>3499</v>
      </c>
    </row>
    <row r="57" spans="1:16" x14ac:dyDescent="0.25">
      <c r="A57" s="6" t="s">
        <v>3530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8">
        <v>4</v>
      </c>
      <c r="H57" s="8">
        <v>81683</v>
      </c>
      <c r="I57" s="8" t="s">
        <v>16</v>
      </c>
      <c r="J57" s="8">
        <v>15612161</v>
      </c>
      <c r="K57" s="8" t="s">
        <v>87</v>
      </c>
      <c r="L57" s="9" t="s">
        <v>88</v>
      </c>
      <c r="M57" s="10">
        <v>129900</v>
      </c>
      <c r="N57" s="62">
        <v>0.75</v>
      </c>
      <c r="O57" s="60">
        <f t="shared" si="1"/>
        <v>32475</v>
      </c>
      <c r="P57" s="55" t="s">
        <v>3499</v>
      </c>
    </row>
    <row r="58" spans="1:16" x14ac:dyDescent="0.25">
      <c r="A58" s="6" t="s">
        <v>3530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8">
        <v>4</v>
      </c>
      <c r="H58" s="8">
        <v>81683</v>
      </c>
      <c r="I58" s="8" t="s">
        <v>16</v>
      </c>
      <c r="J58" s="8">
        <v>15612170</v>
      </c>
      <c r="K58" s="8" t="s">
        <v>87</v>
      </c>
      <c r="L58" s="9" t="s">
        <v>89</v>
      </c>
      <c r="M58" s="10">
        <v>129900</v>
      </c>
      <c r="N58" s="62">
        <v>0.75</v>
      </c>
      <c r="O58" s="60">
        <f t="shared" si="1"/>
        <v>32475</v>
      </c>
      <c r="P58" s="55" t="s">
        <v>3499</v>
      </c>
    </row>
    <row r="59" spans="1:16" x14ac:dyDescent="0.25">
      <c r="A59" s="6" t="s">
        <v>3530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8">
        <v>4</v>
      </c>
      <c r="H59" s="8">
        <v>81683</v>
      </c>
      <c r="I59" s="8" t="s">
        <v>16</v>
      </c>
      <c r="J59" s="8">
        <v>15612189</v>
      </c>
      <c r="K59" s="8" t="s">
        <v>87</v>
      </c>
      <c r="L59" s="9" t="s">
        <v>90</v>
      </c>
      <c r="M59" s="10">
        <v>129900</v>
      </c>
      <c r="N59" s="62">
        <v>0.75</v>
      </c>
      <c r="O59" s="60">
        <f t="shared" si="1"/>
        <v>32475</v>
      </c>
      <c r="P59" s="55" t="s">
        <v>3499</v>
      </c>
    </row>
    <row r="60" spans="1:16" x14ac:dyDescent="0.25">
      <c r="A60" s="6" t="s">
        <v>3530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8">
        <v>4</v>
      </c>
      <c r="H60" s="8">
        <v>81683</v>
      </c>
      <c r="I60" s="8" t="s">
        <v>16</v>
      </c>
      <c r="J60" s="8">
        <v>15612198</v>
      </c>
      <c r="K60" s="8" t="s">
        <v>87</v>
      </c>
      <c r="L60" s="9" t="s">
        <v>91</v>
      </c>
      <c r="M60" s="10">
        <v>129900</v>
      </c>
      <c r="N60" s="62">
        <v>0.75</v>
      </c>
      <c r="O60" s="60">
        <f t="shared" si="1"/>
        <v>32475</v>
      </c>
      <c r="P60" s="55" t="s">
        <v>3499</v>
      </c>
    </row>
    <row r="61" spans="1:16" x14ac:dyDescent="0.25">
      <c r="A61" s="6" t="s">
        <v>3530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8">
        <v>4</v>
      </c>
      <c r="H61" s="8">
        <v>81683</v>
      </c>
      <c r="I61" s="8" t="s">
        <v>16</v>
      </c>
      <c r="J61" s="8">
        <v>15612205</v>
      </c>
      <c r="K61" s="8" t="s">
        <v>92</v>
      </c>
      <c r="L61" s="9" t="s">
        <v>93</v>
      </c>
      <c r="M61" s="10">
        <v>129900</v>
      </c>
      <c r="N61" s="62">
        <v>0.75</v>
      </c>
      <c r="O61" s="60">
        <f t="shared" si="1"/>
        <v>32475</v>
      </c>
      <c r="P61" s="55" t="s">
        <v>3499</v>
      </c>
    </row>
    <row r="62" spans="1:16" x14ac:dyDescent="0.25">
      <c r="A62" s="6" t="s">
        <v>3530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8">
        <v>4</v>
      </c>
      <c r="H62" s="8">
        <v>81683</v>
      </c>
      <c r="I62" s="8" t="s">
        <v>16</v>
      </c>
      <c r="J62" s="8">
        <v>15612214</v>
      </c>
      <c r="K62" s="8" t="s">
        <v>92</v>
      </c>
      <c r="L62" s="9" t="s">
        <v>94</v>
      </c>
      <c r="M62" s="10">
        <v>129900</v>
      </c>
      <c r="N62" s="62">
        <v>0.75</v>
      </c>
      <c r="O62" s="60">
        <f t="shared" si="1"/>
        <v>32475</v>
      </c>
      <c r="P62" s="55" t="s">
        <v>3499</v>
      </c>
    </row>
    <row r="63" spans="1:16" x14ac:dyDescent="0.25">
      <c r="A63" s="6" t="s">
        <v>3530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8">
        <v>4</v>
      </c>
      <c r="H63" s="8">
        <v>81683</v>
      </c>
      <c r="I63" s="8" t="s">
        <v>16</v>
      </c>
      <c r="J63" s="8">
        <v>15612223</v>
      </c>
      <c r="K63" s="8" t="s">
        <v>92</v>
      </c>
      <c r="L63" s="9" t="s">
        <v>95</v>
      </c>
      <c r="M63" s="10">
        <v>129900</v>
      </c>
      <c r="N63" s="62">
        <v>0.75</v>
      </c>
      <c r="O63" s="60">
        <f t="shared" si="1"/>
        <v>32475</v>
      </c>
      <c r="P63" s="55" t="s">
        <v>3499</v>
      </c>
    </row>
    <row r="64" spans="1:16" x14ac:dyDescent="0.25">
      <c r="A64" s="6" t="s">
        <v>3530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8">
        <v>4</v>
      </c>
      <c r="H64" s="8">
        <v>81683</v>
      </c>
      <c r="I64" s="8" t="s">
        <v>16</v>
      </c>
      <c r="J64" s="8">
        <v>15612232</v>
      </c>
      <c r="K64" s="8" t="s">
        <v>92</v>
      </c>
      <c r="L64" s="9" t="s">
        <v>96</v>
      </c>
      <c r="M64" s="10">
        <v>129900</v>
      </c>
      <c r="N64" s="62">
        <v>0.75</v>
      </c>
      <c r="O64" s="60">
        <f t="shared" si="1"/>
        <v>32475</v>
      </c>
      <c r="P64" s="55" t="s">
        <v>3499</v>
      </c>
    </row>
    <row r="65" spans="1:16" x14ac:dyDescent="0.25">
      <c r="A65" s="6" t="s">
        <v>3530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8">
        <v>4</v>
      </c>
      <c r="H65" s="8">
        <v>81683</v>
      </c>
      <c r="I65" s="8" t="s">
        <v>16</v>
      </c>
      <c r="J65" s="8">
        <v>15611840</v>
      </c>
      <c r="K65" s="8" t="s">
        <v>78</v>
      </c>
      <c r="L65" s="9" t="s">
        <v>97</v>
      </c>
      <c r="M65" s="10">
        <v>129900</v>
      </c>
      <c r="N65" s="62">
        <v>0.75</v>
      </c>
      <c r="O65" s="60">
        <f t="shared" si="1"/>
        <v>32475</v>
      </c>
      <c r="P65" s="55" t="s">
        <v>3499</v>
      </c>
    </row>
    <row r="66" spans="1:16" x14ac:dyDescent="0.25">
      <c r="A66" s="6" t="s">
        <v>3530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8">
        <v>8</v>
      </c>
      <c r="H66" s="8">
        <v>4953</v>
      </c>
      <c r="I66" s="8" t="s">
        <v>16</v>
      </c>
      <c r="J66" s="8">
        <v>16339152</v>
      </c>
      <c r="K66" s="8" t="s">
        <v>98</v>
      </c>
      <c r="L66" s="9" t="s">
        <v>99</v>
      </c>
      <c r="M66" s="10">
        <v>99900</v>
      </c>
      <c r="N66" s="62">
        <v>0.75</v>
      </c>
      <c r="O66" s="60">
        <f t="shared" si="1"/>
        <v>24975</v>
      </c>
      <c r="P66" s="55" t="s">
        <v>3499</v>
      </c>
    </row>
    <row r="67" spans="1:16" x14ac:dyDescent="0.25">
      <c r="A67" s="6" t="s">
        <v>3530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8">
        <v>8</v>
      </c>
      <c r="H67" s="8">
        <v>4953</v>
      </c>
      <c r="I67" s="8" t="s">
        <v>16</v>
      </c>
      <c r="J67" s="8">
        <v>16339250</v>
      </c>
      <c r="K67" s="8" t="s">
        <v>100</v>
      </c>
      <c r="L67" s="9" t="s">
        <v>101</v>
      </c>
      <c r="M67" s="10">
        <v>99900</v>
      </c>
      <c r="N67" s="62">
        <v>0.75</v>
      </c>
      <c r="O67" s="60">
        <f t="shared" ref="O67:O130" si="2">M67-((75*M67)/100)</f>
        <v>24975</v>
      </c>
      <c r="P67" s="55" t="s">
        <v>3499</v>
      </c>
    </row>
    <row r="68" spans="1:16" x14ac:dyDescent="0.25">
      <c r="A68" s="6" t="s">
        <v>3530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8">
        <v>8</v>
      </c>
      <c r="H68" s="8">
        <v>4953</v>
      </c>
      <c r="I68" s="8" t="s">
        <v>16</v>
      </c>
      <c r="J68" s="8">
        <v>16339143</v>
      </c>
      <c r="K68" s="8" t="s">
        <v>98</v>
      </c>
      <c r="L68" s="9" t="s">
        <v>102</v>
      </c>
      <c r="M68" s="10">
        <v>99900</v>
      </c>
      <c r="N68" s="62">
        <v>0.75</v>
      </c>
      <c r="O68" s="60">
        <f t="shared" si="2"/>
        <v>24975</v>
      </c>
      <c r="P68" s="55" t="s">
        <v>3499</v>
      </c>
    </row>
    <row r="69" spans="1:16" x14ac:dyDescent="0.25">
      <c r="A69" s="6" t="s">
        <v>3530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8">
        <v>8</v>
      </c>
      <c r="H69" s="8">
        <v>4953</v>
      </c>
      <c r="I69" s="8" t="s">
        <v>16</v>
      </c>
      <c r="J69" s="8">
        <v>16339161</v>
      </c>
      <c r="K69" s="8" t="s">
        <v>98</v>
      </c>
      <c r="L69" s="9" t="s">
        <v>103</v>
      </c>
      <c r="M69" s="10">
        <v>99900</v>
      </c>
      <c r="N69" s="62">
        <v>0.75</v>
      </c>
      <c r="O69" s="60">
        <f t="shared" si="2"/>
        <v>24975</v>
      </c>
      <c r="P69" s="55" t="s">
        <v>3499</v>
      </c>
    </row>
    <row r="70" spans="1:16" x14ac:dyDescent="0.25">
      <c r="A70" s="6" t="s">
        <v>3530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8">
        <v>8</v>
      </c>
      <c r="H70" s="8">
        <v>4953</v>
      </c>
      <c r="I70" s="8" t="s">
        <v>16</v>
      </c>
      <c r="J70" s="8">
        <v>16339170</v>
      </c>
      <c r="K70" s="8" t="s">
        <v>98</v>
      </c>
      <c r="L70" s="9" t="s">
        <v>104</v>
      </c>
      <c r="M70" s="10">
        <v>99900</v>
      </c>
      <c r="N70" s="62">
        <v>0.75</v>
      </c>
      <c r="O70" s="60">
        <f t="shared" si="2"/>
        <v>24975</v>
      </c>
      <c r="P70" s="55" t="s">
        <v>3499</v>
      </c>
    </row>
    <row r="71" spans="1:16" x14ac:dyDescent="0.25">
      <c r="A71" s="6" t="s">
        <v>3530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8">
        <v>8</v>
      </c>
      <c r="H71" s="8">
        <v>4953</v>
      </c>
      <c r="I71" s="8" t="s">
        <v>16</v>
      </c>
      <c r="J71" s="8">
        <v>16339189</v>
      </c>
      <c r="K71" s="8" t="s">
        <v>105</v>
      </c>
      <c r="L71" s="9" t="s">
        <v>106</v>
      </c>
      <c r="M71" s="10">
        <v>99900</v>
      </c>
      <c r="N71" s="62">
        <v>0.75</v>
      </c>
      <c r="O71" s="60">
        <f t="shared" si="2"/>
        <v>24975</v>
      </c>
      <c r="P71" s="55" t="s">
        <v>3499</v>
      </c>
    </row>
    <row r="72" spans="1:16" x14ac:dyDescent="0.25">
      <c r="A72" s="6" t="s">
        <v>3530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8">
        <v>8</v>
      </c>
      <c r="H72" s="8">
        <v>4953</v>
      </c>
      <c r="I72" s="8" t="s">
        <v>16</v>
      </c>
      <c r="J72" s="8">
        <v>16339198</v>
      </c>
      <c r="K72" s="8" t="s">
        <v>105</v>
      </c>
      <c r="L72" s="9" t="s">
        <v>107</v>
      </c>
      <c r="M72" s="10">
        <v>99900</v>
      </c>
      <c r="N72" s="62">
        <v>0.75</v>
      </c>
      <c r="O72" s="60">
        <f t="shared" si="2"/>
        <v>24975</v>
      </c>
      <c r="P72" s="55" t="s">
        <v>3499</v>
      </c>
    </row>
    <row r="73" spans="1:16" x14ac:dyDescent="0.25">
      <c r="A73" s="6" t="s">
        <v>3530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8">
        <v>8</v>
      </c>
      <c r="H73" s="8">
        <v>4953</v>
      </c>
      <c r="I73" s="8" t="s">
        <v>16</v>
      </c>
      <c r="J73" s="8">
        <v>16339205</v>
      </c>
      <c r="K73" s="8" t="s">
        <v>105</v>
      </c>
      <c r="L73" s="9" t="s">
        <v>108</v>
      </c>
      <c r="M73" s="10">
        <v>99900</v>
      </c>
      <c r="N73" s="62">
        <v>0.75</v>
      </c>
      <c r="O73" s="60">
        <f t="shared" si="2"/>
        <v>24975</v>
      </c>
      <c r="P73" s="55" t="s">
        <v>3499</v>
      </c>
    </row>
    <row r="74" spans="1:16" x14ac:dyDescent="0.25">
      <c r="A74" s="6" t="s">
        <v>3530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8">
        <v>8</v>
      </c>
      <c r="H74" s="8">
        <v>4953</v>
      </c>
      <c r="I74" s="8" t="s">
        <v>16</v>
      </c>
      <c r="J74" s="8">
        <v>16339214</v>
      </c>
      <c r="K74" s="8" t="s">
        <v>105</v>
      </c>
      <c r="L74" s="9" t="s">
        <v>109</v>
      </c>
      <c r="M74" s="10">
        <v>99900</v>
      </c>
      <c r="N74" s="62">
        <v>0.75</v>
      </c>
      <c r="O74" s="60">
        <f t="shared" si="2"/>
        <v>24975</v>
      </c>
      <c r="P74" s="55" t="s">
        <v>3499</v>
      </c>
    </row>
    <row r="75" spans="1:16" x14ac:dyDescent="0.25">
      <c r="A75" s="6" t="s">
        <v>3530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8">
        <v>8</v>
      </c>
      <c r="H75" s="8">
        <v>4953</v>
      </c>
      <c r="I75" s="8" t="s">
        <v>16</v>
      </c>
      <c r="J75" s="8">
        <v>16339223</v>
      </c>
      <c r="K75" s="8" t="s">
        <v>100</v>
      </c>
      <c r="L75" s="9" t="s">
        <v>110</v>
      </c>
      <c r="M75" s="10">
        <v>99900</v>
      </c>
      <c r="N75" s="62">
        <v>0.75</v>
      </c>
      <c r="O75" s="60">
        <f t="shared" si="2"/>
        <v>24975</v>
      </c>
      <c r="P75" s="55" t="s">
        <v>3499</v>
      </c>
    </row>
    <row r="76" spans="1:16" x14ac:dyDescent="0.25">
      <c r="A76" s="6" t="s">
        <v>3530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8">
        <v>8</v>
      </c>
      <c r="H76" s="8">
        <v>4953</v>
      </c>
      <c r="I76" s="8" t="s">
        <v>16</v>
      </c>
      <c r="J76" s="8">
        <v>16339232</v>
      </c>
      <c r="K76" s="8" t="s">
        <v>100</v>
      </c>
      <c r="L76" s="9" t="s">
        <v>111</v>
      </c>
      <c r="M76" s="10">
        <v>99900</v>
      </c>
      <c r="N76" s="62">
        <v>0.75</v>
      </c>
      <c r="O76" s="60">
        <f t="shared" si="2"/>
        <v>24975</v>
      </c>
      <c r="P76" s="55" t="s">
        <v>3499</v>
      </c>
    </row>
    <row r="77" spans="1:16" x14ac:dyDescent="0.25">
      <c r="A77" s="6" t="s">
        <v>3530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8">
        <v>8</v>
      </c>
      <c r="H77" s="8">
        <v>4953</v>
      </c>
      <c r="I77" s="8" t="s">
        <v>16</v>
      </c>
      <c r="J77" s="8">
        <v>16339241</v>
      </c>
      <c r="K77" s="8" t="s">
        <v>100</v>
      </c>
      <c r="L77" s="9" t="s">
        <v>112</v>
      </c>
      <c r="M77" s="10">
        <v>99900</v>
      </c>
      <c r="N77" s="62">
        <v>0.75</v>
      </c>
      <c r="O77" s="60">
        <f t="shared" si="2"/>
        <v>24975</v>
      </c>
      <c r="P77" s="55" t="s">
        <v>3499</v>
      </c>
    </row>
    <row r="78" spans="1:16" x14ac:dyDescent="0.25">
      <c r="A78" s="6" t="s">
        <v>3530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4</v>
      </c>
      <c r="H78" s="6">
        <v>81305</v>
      </c>
      <c r="I78" s="6" t="s">
        <v>16</v>
      </c>
      <c r="J78" s="6">
        <v>15610912</v>
      </c>
      <c r="K78" s="6" t="s">
        <v>113</v>
      </c>
      <c r="L78" s="13" t="s">
        <v>114</v>
      </c>
      <c r="M78" s="14">
        <v>119900</v>
      </c>
      <c r="N78" s="62">
        <v>0.75</v>
      </c>
      <c r="O78" s="60">
        <f t="shared" si="2"/>
        <v>29975</v>
      </c>
      <c r="P78" s="55" t="s">
        <v>3499</v>
      </c>
    </row>
    <row r="79" spans="1:16" x14ac:dyDescent="0.25">
      <c r="A79" s="6" t="s">
        <v>3530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4</v>
      </c>
      <c r="H79" s="6">
        <v>81305</v>
      </c>
      <c r="I79" s="6" t="s">
        <v>16</v>
      </c>
      <c r="J79" s="6">
        <v>15610930</v>
      </c>
      <c r="K79" s="6" t="s">
        <v>113</v>
      </c>
      <c r="L79" s="13" t="s">
        <v>115</v>
      </c>
      <c r="M79" s="14">
        <v>119900</v>
      </c>
      <c r="N79" s="62">
        <v>0.75</v>
      </c>
      <c r="O79" s="60">
        <f t="shared" si="2"/>
        <v>29975</v>
      </c>
      <c r="P79" s="55" t="s">
        <v>3499</v>
      </c>
    </row>
    <row r="80" spans="1:16" x14ac:dyDescent="0.25">
      <c r="A80" s="6" t="s">
        <v>3530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4</v>
      </c>
      <c r="H80" s="6">
        <v>81305</v>
      </c>
      <c r="I80" s="6" t="s">
        <v>16</v>
      </c>
      <c r="J80" s="6">
        <v>15610949</v>
      </c>
      <c r="K80" s="6" t="s">
        <v>113</v>
      </c>
      <c r="L80" s="13" t="s">
        <v>116</v>
      </c>
      <c r="M80" s="14">
        <v>119900</v>
      </c>
      <c r="N80" s="62">
        <v>0.75</v>
      </c>
      <c r="O80" s="60">
        <f t="shared" si="2"/>
        <v>29975</v>
      </c>
      <c r="P80" s="55" t="s">
        <v>3499</v>
      </c>
    </row>
    <row r="81" spans="1:16" x14ac:dyDescent="0.25">
      <c r="A81" s="6" t="s">
        <v>3530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4</v>
      </c>
      <c r="H81" s="6">
        <v>81305</v>
      </c>
      <c r="I81" s="6" t="s">
        <v>16</v>
      </c>
      <c r="J81" s="6">
        <v>15610958</v>
      </c>
      <c r="K81" s="6" t="s">
        <v>113</v>
      </c>
      <c r="L81" s="13" t="s">
        <v>117</v>
      </c>
      <c r="M81" s="14">
        <v>119900</v>
      </c>
      <c r="N81" s="62">
        <v>0.75</v>
      </c>
      <c r="O81" s="60">
        <f t="shared" si="2"/>
        <v>29975</v>
      </c>
      <c r="P81" s="55" t="s">
        <v>3499</v>
      </c>
    </row>
    <row r="82" spans="1:16" x14ac:dyDescent="0.25">
      <c r="A82" s="6" t="s">
        <v>3530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4</v>
      </c>
      <c r="H82" s="6">
        <v>81305</v>
      </c>
      <c r="I82" s="6" t="s">
        <v>16</v>
      </c>
      <c r="J82" s="6">
        <v>15611608</v>
      </c>
      <c r="K82" s="6" t="s">
        <v>118</v>
      </c>
      <c r="L82" s="13" t="s">
        <v>119</v>
      </c>
      <c r="M82" s="14">
        <v>119900</v>
      </c>
      <c r="N82" s="62">
        <v>0.75</v>
      </c>
      <c r="O82" s="60">
        <f t="shared" si="2"/>
        <v>29975</v>
      </c>
      <c r="P82" s="55" t="s">
        <v>3499</v>
      </c>
    </row>
    <row r="83" spans="1:16" x14ac:dyDescent="0.25">
      <c r="A83" s="6" t="s">
        <v>3530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4</v>
      </c>
      <c r="H83" s="6">
        <v>81305</v>
      </c>
      <c r="I83" s="6" t="s">
        <v>16</v>
      </c>
      <c r="J83" s="6">
        <v>15611617</v>
      </c>
      <c r="K83" s="6" t="s">
        <v>118</v>
      </c>
      <c r="L83" s="13" t="s">
        <v>120</v>
      </c>
      <c r="M83" s="14">
        <v>119900</v>
      </c>
      <c r="N83" s="62">
        <v>0.75</v>
      </c>
      <c r="O83" s="60">
        <f t="shared" si="2"/>
        <v>29975</v>
      </c>
      <c r="P83" s="55" t="s">
        <v>3499</v>
      </c>
    </row>
    <row r="84" spans="1:16" x14ac:dyDescent="0.25">
      <c r="A84" s="6" t="s">
        <v>3530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4</v>
      </c>
      <c r="H84" s="6">
        <v>81305</v>
      </c>
      <c r="I84" s="6" t="s">
        <v>16</v>
      </c>
      <c r="J84" s="6">
        <v>15611626</v>
      </c>
      <c r="K84" s="6" t="s">
        <v>118</v>
      </c>
      <c r="L84" s="13" t="s">
        <v>121</v>
      </c>
      <c r="M84" s="14">
        <v>119900</v>
      </c>
      <c r="N84" s="62">
        <v>0.75</v>
      </c>
      <c r="O84" s="60">
        <f t="shared" si="2"/>
        <v>29975</v>
      </c>
      <c r="P84" s="55" t="s">
        <v>3499</v>
      </c>
    </row>
    <row r="85" spans="1:16" x14ac:dyDescent="0.25">
      <c r="A85" s="6" t="s">
        <v>3530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4</v>
      </c>
      <c r="H85" s="6">
        <v>81305</v>
      </c>
      <c r="I85" s="6" t="s">
        <v>16</v>
      </c>
      <c r="J85" s="6">
        <v>15611635</v>
      </c>
      <c r="K85" s="6" t="s">
        <v>118</v>
      </c>
      <c r="L85" s="13" t="s">
        <v>122</v>
      </c>
      <c r="M85" s="14">
        <v>119900</v>
      </c>
      <c r="N85" s="62">
        <v>0.75</v>
      </c>
      <c r="O85" s="60">
        <f t="shared" si="2"/>
        <v>29975</v>
      </c>
      <c r="P85" s="55" t="s">
        <v>3499</v>
      </c>
    </row>
    <row r="86" spans="1:16" x14ac:dyDescent="0.25">
      <c r="A86" s="6" t="s">
        <v>3530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4</v>
      </c>
      <c r="H86" s="6">
        <v>81305</v>
      </c>
      <c r="I86" s="6" t="s">
        <v>16</v>
      </c>
      <c r="J86" s="6">
        <v>15612643</v>
      </c>
      <c r="K86" s="6" t="s">
        <v>123</v>
      </c>
      <c r="L86" s="13" t="s">
        <v>124</v>
      </c>
      <c r="M86" s="14">
        <v>119900</v>
      </c>
      <c r="N86" s="62">
        <v>0.75</v>
      </c>
      <c r="O86" s="60">
        <f t="shared" si="2"/>
        <v>29975</v>
      </c>
      <c r="P86" s="55" t="s">
        <v>3499</v>
      </c>
    </row>
    <row r="87" spans="1:16" x14ac:dyDescent="0.25">
      <c r="A87" s="6" t="s">
        <v>3530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4</v>
      </c>
      <c r="H87" s="6">
        <v>81305</v>
      </c>
      <c r="I87" s="6" t="s">
        <v>16</v>
      </c>
      <c r="J87" s="6">
        <v>15612652</v>
      </c>
      <c r="K87" s="6" t="s">
        <v>123</v>
      </c>
      <c r="L87" s="13" t="s">
        <v>125</v>
      </c>
      <c r="M87" s="14">
        <v>119900</v>
      </c>
      <c r="N87" s="62">
        <v>0.75</v>
      </c>
      <c r="O87" s="60">
        <f t="shared" si="2"/>
        <v>29975</v>
      </c>
      <c r="P87" s="55" t="s">
        <v>3499</v>
      </c>
    </row>
    <row r="88" spans="1:16" x14ac:dyDescent="0.25">
      <c r="A88" s="6" t="s">
        <v>3530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4</v>
      </c>
      <c r="H88" s="6">
        <v>81305</v>
      </c>
      <c r="I88" s="6" t="s">
        <v>16</v>
      </c>
      <c r="J88" s="6">
        <v>15612661</v>
      </c>
      <c r="K88" s="6" t="s">
        <v>123</v>
      </c>
      <c r="L88" s="13" t="s">
        <v>126</v>
      </c>
      <c r="M88" s="14">
        <v>119900</v>
      </c>
      <c r="N88" s="62">
        <v>0.75</v>
      </c>
      <c r="O88" s="60">
        <f t="shared" si="2"/>
        <v>29975</v>
      </c>
      <c r="P88" s="55" t="s">
        <v>3499</v>
      </c>
    </row>
    <row r="89" spans="1:16" x14ac:dyDescent="0.25">
      <c r="A89" s="6" t="s">
        <v>3530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4</v>
      </c>
      <c r="H89" s="6">
        <v>81305</v>
      </c>
      <c r="I89" s="6" t="s">
        <v>16</v>
      </c>
      <c r="J89" s="6">
        <v>15612670</v>
      </c>
      <c r="K89" s="6" t="s">
        <v>123</v>
      </c>
      <c r="L89" s="13" t="s">
        <v>127</v>
      </c>
      <c r="M89" s="14">
        <v>119900</v>
      </c>
      <c r="N89" s="62">
        <v>0.75</v>
      </c>
      <c r="O89" s="60">
        <f t="shared" si="2"/>
        <v>29975</v>
      </c>
      <c r="P89" s="55" t="s">
        <v>3499</v>
      </c>
    </row>
    <row r="90" spans="1:16" x14ac:dyDescent="0.25">
      <c r="A90" s="6" t="s">
        <v>3530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4</v>
      </c>
      <c r="H90" s="6">
        <v>81379</v>
      </c>
      <c r="I90" s="6" t="s">
        <v>16</v>
      </c>
      <c r="J90" s="6">
        <v>16584226</v>
      </c>
      <c r="K90" s="6" t="s">
        <v>128</v>
      </c>
      <c r="L90" s="13" t="s">
        <v>129</v>
      </c>
      <c r="M90" s="14">
        <v>139900</v>
      </c>
      <c r="N90" s="62">
        <v>0.75</v>
      </c>
      <c r="O90" s="60">
        <f t="shared" si="2"/>
        <v>34975</v>
      </c>
      <c r="P90" s="55" t="s">
        <v>3499</v>
      </c>
    </row>
    <row r="91" spans="1:16" x14ac:dyDescent="0.25">
      <c r="A91" s="6" t="s">
        <v>3530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4</v>
      </c>
      <c r="H91" s="6">
        <v>81379</v>
      </c>
      <c r="I91" s="6" t="s">
        <v>16</v>
      </c>
      <c r="J91" s="6">
        <v>16584235</v>
      </c>
      <c r="K91" s="6" t="s">
        <v>128</v>
      </c>
      <c r="L91" s="13" t="s">
        <v>130</v>
      </c>
      <c r="M91" s="14">
        <v>139900</v>
      </c>
      <c r="N91" s="62">
        <v>0.75</v>
      </c>
      <c r="O91" s="60">
        <f t="shared" si="2"/>
        <v>34975</v>
      </c>
      <c r="P91" s="55" t="s">
        <v>3499</v>
      </c>
    </row>
    <row r="92" spans="1:16" x14ac:dyDescent="0.25">
      <c r="A92" s="6" t="s">
        <v>3530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4</v>
      </c>
      <c r="H92" s="6">
        <v>81379</v>
      </c>
      <c r="I92" s="6" t="s">
        <v>16</v>
      </c>
      <c r="J92" s="6">
        <v>16584208</v>
      </c>
      <c r="K92" s="6" t="s">
        <v>128</v>
      </c>
      <c r="L92" s="13" t="s">
        <v>131</v>
      </c>
      <c r="M92" s="14">
        <v>139900</v>
      </c>
      <c r="N92" s="62">
        <v>0.75</v>
      </c>
      <c r="O92" s="60">
        <f t="shared" si="2"/>
        <v>34975</v>
      </c>
      <c r="P92" s="55" t="s">
        <v>3499</v>
      </c>
    </row>
    <row r="93" spans="1:16" x14ac:dyDescent="0.25">
      <c r="A93" s="6" t="s">
        <v>3530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4</v>
      </c>
      <c r="H93" s="6">
        <v>81379</v>
      </c>
      <c r="I93" s="6" t="s">
        <v>16</v>
      </c>
      <c r="J93" s="6">
        <v>16584217</v>
      </c>
      <c r="K93" s="6" t="s">
        <v>128</v>
      </c>
      <c r="L93" s="13" t="s">
        <v>132</v>
      </c>
      <c r="M93" s="14">
        <v>139900</v>
      </c>
      <c r="N93" s="62">
        <v>0.75</v>
      </c>
      <c r="O93" s="60">
        <f t="shared" si="2"/>
        <v>34975</v>
      </c>
      <c r="P93" s="55" t="s">
        <v>3499</v>
      </c>
    </row>
    <row r="94" spans="1:16" x14ac:dyDescent="0.25">
      <c r="A94" s="6" t="s">
        <v>3530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4</v>
      </c>
      <c r="H94" s="6">
        <v>81684</v>
      </c>
      <c r="I94" s="6" t="s">
        <v>16</v>
      </c>
      <c r="J94" s="6">
        <v>15611680</v>
      </c>
      <c r="K94" s="6" t="s">
        <v>133</v>
      </c>
      <c r="L94" s="13" t="s">
        <v>134</v>
      </c>
      <c r="M94" s="14">
        <v>139900</v>
      </c>
      <c r="N94" s="62">
        <v>0.75</v>
      </c>
      <c r="O94" s="60">
        <f t="shared" si="2"/>
        <v>34975</v>
      </c>
      <c r="P94" s="55" t="s">
        <v>3499</v>
      </c>
    </row>
    <row r="95" spans="1:16" x14ac:dyDescent="0.25">
      <c r="A95" s="6" t="s">
        <v>3530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4</v>
      </c>
      <c r="H95" s="6">
        <v>81684</v>
      </c>
      <c r="I95" s="6" t="s">
        <v>16</v>
      </c>
      <c r="J95" s="6">
        <v>15611699</v>
      </c>
      <c r="K95" s="6" t="s">
        <v>133</v>
      </c>
      <c r="L95" s="13" t="s">
        <v>135</v>
      </c>
      <c r="M95" s="14">
        <v>139900</v>
      </c>
      <c r="N95" s="62">
        <v>0.75</v>
      </c>
      <c r="O95" s="60">
        <f t="shared" si="2"/>
        <v>34975</v>
      </c>
      <c r="P95" s="55" t="s">
        <v>3499</v>
      </c>
    </row>
    <row r="96" spans="1:16" x14ac:dyDescent="0.25">
      <c r="A96" s="6" t="s">
        <v>3530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4</v>
      </c>
      <c r="H96" s="6">
        <v>81684</v>
      </c>
      <c r="I96" s="6" t="s">
        <v>16</v>
      </c>
      <c r="J96" s="6">
        <v>15611706</v>
      </c>
      <c r="K96" s="6" t="s">
        <v>133</v>
      </c>
      <c r="L96" s="13" t="s">
        <v>136</v>
      </c>
      <c r="M96" s="14">
        <v>139900</v>
      </c>
      <c r="N96" s="62">
        <v>0.75</v>
      </c>
      <c r="O96" s="60">
        <f t="shared" si="2"/>
        <v>34975</v>
      </c>
      <c r="P96" s="55" t="s">
        <v>3499</v>
      </c>
    </row>
    <row r="97" spans="1:16" x14ac:dyDescent="0.25">
      <c r="A97" s="6" t="s">
        <v>3530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4</v>
      </c>
      <c r="H97" s="6">
        <v>81684</v>
      </c>
      <c r="I97" s="6" t="s">
        <v>16</v>
      </c>
      <c r="J97" s="6">
        <v>15611715</v>
      </c>
      <c r="K97" s="6" t="s">
        <v>133</v>
      </c>
      <c r="L97" s="13" t="s">
        <v>137</v>
      </c>
      <c r="M97" s="14">
        <v>139900</v>
      </c>
      <c r="N97" s="62">
        <v>0.75</v>
      </c>
      <c r="O97" s="60">
        <f t="shared" si="2"/>
        <v>34975</v>
      </c>
      <c r="P97" s="55" t="s">
        <v>3499</v>
      </c>
    </row>
    <row r="98" spans="1:16" x14ac:dyDescent="0.25">
      <c r="A98" s="6" t="s">
        <v>3530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4</v>
      </c>
      <c r="H98" s="6">
        <v>81684</v>
      </c>
      <c r="I98" s="6" t="s">
        <v>16</v>
      </c>
      <c r="J98" s="6">
        <v>15611920</v>
      </c>
      <c r="K98" s="6" t="s">
        <v>138</v>
      </c>
      <c r="L98" s="13" t="s">
        <v>139</v>
      </c>
      <c r="M98" s="14">
        <v>139900</v>
      </c>
      <c r="N98" s="62">
        <v>0.75</v>
      </c>
      <c r="O98" s="60">
        <f t="shared" si="2"/>
        <v>34975</v>
      </c>
      <c r="P98" s="55" t="s">
        <v>3499</v>
      </c>
    </row>
    <row r="99" spans="1:16" x14ac:dyDescent="0.25">
      <c r="A99" s="6" t="s">
        <v>3530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4</v>
      </c>
      <c r="H99" s="6">
        <v>81684</v>
      </c>
      <c r="I99" s="6" t="s">
        <v>16</v>
      </c>
      <c r="J99" s="6">
        <v>15611939</v>
      </c>
      <c r="K99" s="6" t="s">
        <v>138</v>
      </c>
      <c r="L99" s="13" t="s">
        <v>140</v>
      </c>
      <c r="M99" s="14">
        <v>139900</v>
      </c>
      <c r="N99" s="62">
        <v>0.75</v>
      </c>
      <c r="O99" s="60">
        <f t="shared" si="2"/>
        <v>34975</v>
      </c>
      <c r="P99" s="55" t="s">
        <v>3499</v>
      </c>
    </row>
    <row r="100" spans="1:16" x14ac:dyDescent="0.25">
      <c r="A100" s="6" t="s">
        <v>3530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4</v>
      </c>
      <c r="H100" s="6">
        <v>81684</v>
      </c>
      <c r="I100" s="6" t="s">
        <v>16</v>
      </c>
      <c r="J100" s="6">
        <v>15611948</v>
      </c>
      <c r="K100" s="6" t="s">
        <v>138</v>
      </c>
      <c r="L100" s="13" t="s">
        <v>141</v>
      </c>
      <c r="M100" s="14">
        <v>139900</v>
      </c>
      <c r="N100" s="62">
        <v>0.75</v>
      </c>
      <c r="O100" s="60">
        <f t="shared" si="2"/>
        <v>34975</v>
      </c>
      <c r="P100" s="55" t="s">
        <v>3499</v>
      </c>
    </row>
    <row r="101" spans="1:16" x14ac:dyDescent="0.25">
      <c r="A101" s="6" t="s">
        <v>3530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4</v>
      </c>
      <c r="H101" s="6">
        <v>81684</v>
      </c>
      <c r="I101" s="6" t="s">
        <v>16</v>
      </c>
      <c r="J101" s="6">
        <v>15611957</v>
      </c>
      <c r="K101" s="6" t="s">
        <v>138</v>
      </c>
      <c r="L101" s="13" t="s">
        <v>142</v>
      </c>
      <c r="M101" s="14">
        <v>139900</v>
      </c>
      <c r="N101" s="62">
        <v>0.75</v>
      </c>
      <c r="O101" s="60">
        <f t="shared" si="2"/>
        <v>34975</v>
      </c>
      <c r="P101" s="55" t="s">
        <v>3499</v>
      </c>
    </row>
    <row r="102" spans="1:16" x14ac:dyDescent="0.25">
      <c r="A102" s="6" t="s">
        <v>3530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4</v>
      </c>
      <c r="H102" s="6">
        <v>81684</v>
      </c>
      <c r="I102" s="6" t="s">
        <v>16</v>
      </c>
      <c r="J102" s="6">
        <v>15611448</v>
      </c>
      <c r="K102" s="6" t="s">
        <v>143</v>
      </c>
      <c r="L102" s="13" t="s">
        <v>144</v>
      </c>
      <c r="M102" s="14">
        <v>139900</v>
      </c>
      <c r="N102" s="62">
        <v>0.75</v>
      </c>
      <c r="O102" s="60">
        <f t="shared" si="2"/>
        <v>34975</v>
      </c>
      <c r="P102" s="55" t="s">
        <v>3499</v>
      </c>
    </row>
    <row r="103" spans="1:16" x14ac:dyDescent="0.25">
      <c r="A103" s="6" t="s">
        <v>3530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4</v>
      </c>
      <c r="H103" s="6">
        <v>81684</v>
      </c>
      <c r="I103" s="6" t="s">
        <v>16</v>
      </c>
      <c r="J103" s="6">
        <v>15611457</v>
      </c>
      <c r="K103" s="6" t="s">
        <v>143</v>
      </c>
      <c r="L103" s="13" t="s">
        <v>145</v>
      </c>
      <c r="M103" s="14">
        <v>139900</v>
      </c>
      <c r="N103" s="62">
        <v>0.75</v>
      </c>
      <c r="O103" s="60">
        <f t="shared" si="2"/>
        <v>34975</v>
      </c>
      <c r="P103" s="55" t="s">
        <v>3499</v>
      </c>
    </row>
    <row r="104" spans="1:16" x14ac:dyDescent="0.25">
      <c r="A104" s="6" t="s">
        <v>3530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4</v>
      </c>
      <c r="H104" s="6">
        <v>81684</v>
      </c>
      <c r="I104" s="6" t="s">
        <v>16</v>
      </c>
      <c r="J104" s="6">
        <v>15611466</v>
      </c>
      <c r="K104" s="6" t="s">
        <v>143</v>
      </c>
      <c r="L104" s="13" t="s">
        <v>146</v>
      </c>
      <c r="M104" s="14">
        <v>139900</v>
      </c>
      <c r="N104" s="62">
        <v>0.75</v>
      </c>
      <c r="O104" s="60">
        <f t="shared" si="2"/>
        <v>34975</v>
      </c>
      <c r="P104" s="55" t="s">
        <v>3499</v>
      </c>
    </row>
    <row r="105" spans="1:16" x14ac:dyDescent="0.25">
      <c r="A105" s="6" t="s">
        <v>3530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4</v>
      </c>
      <c r="H105" s="6">
        <v>81684</v>
      </c>
      <c r="I105" s="6" t="s">
        <v>16</v>
      </c>
      <c r="J105" s="6">
        <v>15611475</v>
      </c>
      <c r="K105" s="6" t="s">
        <v>143</v>
      </c>
      <c r="L105" s="13" t="s">
        <v>147</v>
      </c>
      <c r="M105" s="14">
        <v>139900</v>
      </c>
      <c r="N105" s="62">
        <v>0.75</v>
      </c>
      <c r="O105" s="60">
        <f t="shared" si="2"/>
        <v>34975</v>
      </c>
      <c r="P105" s="55" t="s">
        <v>3499</v>
      </c>
    </row>
    <row r="106" spans="1:16" x14ac:dyDescent="0.25">
      <c r="A106" s="6" t="s">
        <v>3530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6">
        <v>4</v>
      </c>
      <c r="H106" s="6">
        <v>81683</v>
      </c>
      <c r="I106" s="6" t="s">
        <v>16</v>
      </c>
      <c r="J106" s="6">
        <v>11437000</v>
      </c>
      <c r="K106" s="6" t="s">
        <v>148</v>
      </c>
      <c r="L106" s="13" t="s">
        <v>149</v>
      </c>
      <c r="M106" s="14">
        <v>189900</v>
      </c>
      <c r="N106" s="62">
        <v>0.75</v>
      </c>
      <c r="O106" s="60">
        <f t="shared" si="2"/>
        <v>47475</v>
      </c>
      <c r="P106" s="55" t="s">
        <v>3499</v>
      </c>
    </row>
    <row r="107" spans="1:16" x14ac:dyDescent="0.25">
      <c r="A107" s="6" t="s">
        <v>3530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6">
        <v>4</v>
      </c>
      <c r="H107" s="6">
        <v>81683</v>
      </c>
      <c r="I107" s="6" t="s">
        <v>16</v>
      </c>
      <c r="J107" s="6">
        <v>11437019</v>
      </c>
      <c r="K107" s="6" t="s">
        <v>148</v>
      </c>
      <c r="L107" s="13" t="s">
        <v>150</v>
      </c>
      <c r="M107" s="14">
        <v>189900</v>
      </c>
      <c r="N107" s="62">
        <v>0.75</v>
      </c>
      <c r="O107" s="60">
        <f t="shared" si="2"/>
        <v>47475</v>
      </c>
      <c r="P107" s="55" t="s">
        <v>3499</v>
      </c>
    </row>
    <row r="108" spans="1:16" x14ac:dyDescent="0.25">
      <c r="A108" s="6" t="s">
        <v>3530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6">
        <v>4</v>
      </c>
      <c r="H108" s="6">
        <v>81683</v>
      </c>
      <c r="I108" s="6" t="s">
        <v>16</v>
      </c>
      <c r="J108" s="6">
        <v>11437028</v>
      </c>
      <c r="K108" s="6" t="s">
        <v>148</v>
      </c>
      <c r="L108" s="13" t="s">
        <v>151</v>
      </c>
      <c r="M108" s="14">
        <v>189900</v>
      </c>
      <c r="N108" s="62">
        <v>0.75</v>
      </c>
      <c r="O108" s="60">
        <f t="shared" si="2"/>
        <v>47475</v>
      </c>
      <c r="P108" s="55" t="s">
        <v>3499</v>
      </c>
    </row>
    <row r="109" spans="1:16" x14ac:dyDescent="0.25">
      <c r="A109" s="6" t="s">
        <v>3530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6">
        <v>4</v>
      </c>
      <c r="H109" s="6">
        <v>81683</v>
      </c>
      <c r="I109" s="6" t="s">
        <v>16</v>
      </c>
      <c r="J109" s="6">
        <v>11437037</v>
      </c>
      <c r="K109" s="6" t="s">
        <v>148</v>
      </c>
      <c r="L109" s="13" t="s">
        <v>152</v>
      </c>
      <c r="M109" s="14">
        <v>189900</v>
      </c>
      <c r="N109" s="62">
        <v>0.75</v>
      </c>
      <c r="O109" s="60">
        <f t="shared" si="2"/>
        <v>47475</v>
      </c>
      <c r="P109" s="55" t="s">
        <v>3499</v>
      </c>
    </row>
    <row r="110" spans="1:16" x14ac:dyDescent="0.25">
      <c r="A110" s="6" t="s">
        <v>3530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6">
        <v>4</v>
      </c>
      <c r="H110" s="6">
        <v>81683</v>
      </c>
      <c r="I110" s="6" t="s">
        <v>16</v>
      </c>
      <c r="J110" s="6">
        <v>11437046</v>
      </c>
      <c r="K110" s="6" t="s">
        <v>153</v>
      </c>
      <c r="L110" s="13" t="s">
        <v>154</v>
      </c>
      <c r="M110" s="14">
        <v>189900</v>
      </c>
      <c r="N110" s="62">
        <v>0.75</v>
      </c>
      <c r="O110" s="60">
        <f t="shared" si="2"/>
        <v>47475</v>
      </c>
      <c r="P110" s="55" t="s">
        <v>3499</v>
      </c>
    </row>
    <row r="111" spans="1:16" x14ac:dyDescent="0.25">
      <c r="A111" s="6" t="s">
        <v>3530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6">
        <v>4</v>
      </c>
      <c r="H111" s="6">
        <v>81683</v>
      </c>
      <c r="I111" s="6" t="s">
        <v>16</v>
      </c>
      <c r="J111" s="6">
        <v>11437055</v>
      </c>
      <c r="K111" s="6" t="s">
        <v>153</v>
      </c>
      <c r="L111" s="13" t="s">
        <v>155</v>
      </c>
      <c r="M111" s="14">
        <v>189900</v>
      </c>
      <c r="N111" s="62">
        <v>0.75</v>
      </c>
      <c r="O111" s="60">
        <f t="shared" si="2"/>
        <v>47475</v>
      </c>
      <c r="P111" s="55" t="s">
        <v>3499</v>
      </c>
    </row>
    <row r="112" spans="1:16" x14ac:dyDescent="0.25">
      <c r="A112" s="6" t="s">
        <v>3530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6">
        <v>4</v>
      </c>
      <c r="H112" s="6">
        <v>81683</v>
      </c>
      <c r="I112" s="6" t="s">
        <v>16</v>
      </c>
      <c r="J112" s="6">
        <v>11437064</v>
      </c>
      <c r="K112" s="6" t="s">
        <v>153</v>
      </c>
      <c r="L112" s="13" t="s">
        <v>156</v>
      </c>
      <c r="M112" s="14">
        <v>189900</v>
      </c>
      <c r="N112" s="62">
        <v>0.75</v>
      </c>
      <c r="O112" s="60">
        <f t="shared" si="2"/>
        <v>47475</v>
      </c>
      <c r="P112" s="55" t="s">
        <v>3499</v>
      </c>
    </row>
    <row r="113" spans="1:16" x14ac:dyDescent="0.25">
      <c r="A113" s="6" t="s">
        <v>3530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6">
        <v>4</v>
      </c>
      <c r="H113" s="6">
        <v>81683</v>
      </c>
      <c r="I113" s="6" t="s">
        <v>16</v>
      </c>
      <c r="J113" s="6">
        <v>11437073</v>
      </c>
      <c r="K113" s="6" t="s">
        <v>153</v>
      </c>
      <c r="L113" s="13" t="s">
        <v>157</v>
      </c>
      <c r="M113" s="14">
        <v>189900</v>
      </c>
      <c r="N113" s="62">
        <v>0.75</v>
      </c>
      <c r="O113" s="60">
        <f t="shared" si="2"/>
        <v>47475</v>
      </c>
      <c r="P113" s="55" t="s">
        <v>3499</v>
      </c>
    </row>
    <row r="114" spans="1:16" x14ac:dyDescent="0.25">
      <c r="A114" s="6" t="s">
        <v>3530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6">
        <v>4</v>
      </c>
      <c r="H114" s="6">
        <v>81683</v>
      </c>
      <c r="I114" s="6" t="s">
        <v>16</v>
      </c>
      <c r="J114" s="6">
        <v>15611402</v>
      </c>
      <c r="K114" s="6" t="s">
        <v>158</v>
      </c>
      <c r="L114" s="13" t="s">
        <v>159</v>
      </c>
      <c r="M114" s="14">
        <v>199900</v>
      </c>
      <c r="N114" s="62">
        <v>0.75</v>
      </c>
      <c r="O114" s="60">
        <f t="shared" si="2"/>
        <v>49975</v>
      </c>
      <c r="P114" s="55" t="s">
        <v>3499</v>
      </c>
    </row>
    <row r="115" spans="1:16" x14ac:dyDescent="0.25">
      <c r="A115" s="6" t="s">
        <v>3530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6">
        <v>4</v>
      </c>
      <c r="H115" s="6">
        <v>81683</v>
      </c>
      <c r="I115" s="6" t="s">
        <v>16</v>
      </c>
      <c r="J115" s="6">
        <v>15611411</v>
      </c>
      <c r="K115" s="6" t="s">
        <v>158</v>
      </c>
      <c r="L115" s="13" t="s">
        <v>160</v>
      </c>
      <c r="M115" s="14">
        <v>199900</v>
      </c>
      <c r="N115" s="62">
        <v>0.75</v>
      </c>
      <c r="O115" s="60">
        <f t="shared" si="2"/>
        <v>49975</v>
      </c>
      <c r="P115" s="55" t="s">
        <v>3499</v>
      </c>
    </row>
    <row r="116" spans="1:16" x14ac:dyDescent="0.25">
      <c r="A116" s="6" t="s">
        <v>3530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6">
        <v>4</v>
      </c>
      <c r="H116" s="6">
        <v>81683</v>
      </c>
      <c r="I116" s="6" t="s">
        <v>16</v>
      </c>
      <c r="J116" s="6">
        <v>15611420</v>
      </c>
      <c r="K116" s="6" t="s">
        <v>158</v>
      </c>
      <c r="L116" s="13" t="s">
        <v>161</v>
      </c>
      <c r="M116" s="14">
        <v>199900</v>
      </c>
      <c r="N116" s="62">
        <v>0.75</v>
      </c>
      <c r="O116" s="60">
        <f t="shared" si="2"/>
        <v>49975</v>
      </c>
      <c r="P116" s="55" t="s">
        <v>3499</v>
      </c>
    </row>
    <row r="117" spans="1:16" x14ac:dyDescent="0.25">
      <c r="A117" s="6" t="s">
        <v>3530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6">
        <v>4</v>
      </c>
      <c r="H117" s="6">
        <v>81683</v>
      </c>
      <c r="I117" s="6" t="s">
        <v>16</v>
      </c>
      <c r="J117" s="6">
        <v>15611439</v>
      </c>
      <c r="K117" s="6" t="s">
        <v>158</v>
      </c>
      <c r="L117" s="13" t="s">
        <v>162</v>
      </c>
      <c r="M117" s="14">
        <v>199900</v>
      </c>
      <c r="N117" s="62">
        <v>0.75</v>
      </c>
      <c r="O117" s="60">
        <f t="shared" si="2"/>
        <v>49975</v>
      </c>
      <c r="P117" s="55" t="s">
        <v>3499</v>
      </c>
    </row>
    <row r="118" spans="1:16" x14ac:dyDescent="0.25">
      <c r="A118" s="6" t="s">
        <v>3530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6">
        <v>4</v>
      </c>
      <c r="H118" s="6">
        <v>81683</v>
      </c>
      <c r="I118" s="6" t="s">
        <v>16</v>
      </c>
      <c r="J118" s="6">
        <v>15611760</v>
      </c>
      <c r="K118" s="6" t="s">
        <v>163</v>
      </c>
      <c r="L118" s="13" t="s">
        <v>164</v>
      </c>
      <c r="M118" s="14">
        <v>199900</v>
      </c>
      <c r="N118" s="62">
        <v>0.75</v>
      </c>
      <c r="O118" s="60">
        <f t="shared" si="2"/>
        <v>49975</v>
      </c>
      <c r="P118" s="55" t="s">
        <v>3499</v>
      </c>
    </row>
    <row r="119" spans="1:16" x14ac:dyDescent="0.25">
      <c r="A119" s="6" t="s">
        <v>3530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6">
        <v>4</v>
      </c>
      <c r="H119" s="6">
        <v>81683</v>
      </c>
      <c r="I119" s="6" t="s">
        <v>16</v>
      </c>
      <c r="J119" s="6">
        <v>15611779</v>
      </c>
      <c r="K119" s="6" t="s">
        <v>163</v>
      </c>
      <c r="L119" s="13" t="s">
        <v>165</v>
      </c>
      <c r="M119" s="14">
        <v>199900</v>
      </c>
      <c r="N119" s="62">
        <v>0.75</v>
      </c>
      <c r="O119" s="60">
        <f t="shared" si="2"/>
        <v>49975</v>
      </c>
      <c r="P119" s="55" t="s">
        <v>3499</v>
      </c>
    </row>
    <row r="120" spans="1:16" x14ac:dyDescent="0.25">
      <c r="A120" s="6" t="s">
        <v>3530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6">
        <v>4</v>
      </c>
      <c r="H120" s="6">
        <v>81683</v>
      </c>
      <c r="I120" s="6" t="s">
        <v>16</v>
      </c>
      <c r="J120" s="6">
        <v>15611788</v>
      </c>
      <c r="K120" s="6" t="s">
        <v>163</v>
      </c>
      <c r="L120" s="13" t="s">
        <v>166</v>
      </c>
      <c r="M120" s="14">
        <v>199900</v>
      </c>
      <c r="N120" s="62">
        <v>0.75</v>
      </c>
      <c r="O120" s="60">
        <f t="shared" si="2"/>
        <v>49975</v>
      </c>
      <c r="P120" s="55" t="s">
        <v>3499</v>
      </c>
    </row>
    <row r="121" spans="1:16" x14ac:dyDescent="0.25">
      <c r="A121" s="6" t="s">
        <v>3530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6">
        <v>4</v>
      </c>
      <c r="H121" s="6">
        <v>81683</v>
      </c>
      <c r="I121" s="6" t="s">
        <v>16</v>
      </c>
      <c r="J121" s="6">
        <v>15611797</v>
      </c>
      <c r="K121" s="6" t="s">
        <v>163</v>
      </c>
      <c r="L121" s="13" t="s">
        <v>167</v>
      </c>
      <c r="M121" s="14">
        <v>199900</v>
      </c>
      <c r="N121" s="62">
        <v>0.75</v>
      </c>
      <c r="O121" s="60">
        <f t="shared" si="2"/>
        <v>49975</v>
      </c>
      <c r="P121" s="55" t="s">
        <v>3499</v>
      </c>
    </row>
    <row r="122" spans="1:16" x14ac:dyDescent="0.25">
      <c r="A122" s="6" t="s">
        <v>3530</v>
      </c>
      <c r="B122" s="7">
        <v>46121</v>
      </c>
      <c r="C122" s="7">
        <v>46127</v>
      </c>
      <c r="D122" s="6">
        <v>3270</v>
      </c>
      <c r="E122" s="6">
        <v>336</v>
      </c>
      <c r="F122" s="6">
        <v>4</v>
      </c>
      <c r="G122" s="6">
        <v>8</v>
      </c>
      <c r="H122" s="6">
        <v>4953</v>
      </c>
      <c r="I122" s="6" t="s">
        <v>16</v>
      </c>
      <c r="J122" s="6">
        <v>16585225</v>
      </c>
      <c r="K122" s="6" t="s">
        <v>168</v>
      </c>
      <c r="L122" s="13" t="s">
        <v>169</v>
      </c>
      <c r="M122" s="14">
        <v>99900</v>
      </c>
      <c r="N122" s="62">
        <v>0.75</v>
      </c>
      <c r="O122" s="60">
        <f t="shared" si="2"/>
        <v>24975</v>
      </c>
      <c r="P122" s="55" t="s">
        <v>3499</v>
      </c>
    </row>
    <row r="123" spans="1:16" x14ac:dyDescent="0.25">
      <c r="A123" s="6" t="s">
        <v>3530</v>
      </c>
      <c r="B123" s="7">
        <v>46121</v>
      </c>
      <c r="C123" s="7">
        <v>46127</v>
      </c>
      <c r="D123" s="6">
        <v>3270</v>
      </c>
      <c r="E123" s="6">
        <v>336</v>
      </c>
      <c r="F123" s="6">
        <v>4</v>
      </c>
      <c r="G123" s="6">
        <v>8</v>
      </c>
      <c r="H123" s="6">
        <v>4953</v>
      </c>
      <c r="I123" s="6" t="s">
        <v>16</v>
      </c>
      <c r="J123" s="6">
        <v>16585181</v>
      </c>
      <c r="K123" s="6" t="s">
        <v>170</v>
      </c>
      <c r="L123" s="13" t="s">
        <v>171</v>
      </c>
      <c r="M123" s="14">
        <v>99900</v>
      </c>
      <c r="N123" s="62">
        <v>0.75</v>
      </c>
      <c r="O123" s="60">
        <f t="shared" si="2"/>
        <v>24975</v>
      </c>
      <c r="P123" s="55" t="s">
        <v>3499</v>
      </c>
    </row>
    <row r="124" spans="1:16" x14ac:dyDescent="0.25">
      <c r="A124" s="6" t="s">
        <v>3530</v>
      </c>
      <c r="B124" s="7">
        <v>46121</v>
      </c>
      <c r="C124" s="7">
        <v>46127</v>
      </c>
      <c r="D124" s="6">
        <v>3270</v>
      </c>
      <c r="E124" s="6">
        <v>336</v>
      </c>
      <c r="F124" s="6">
        <v>4</v>
      </c>
      <c r="G124" s="6">
        <v>8</v>
      </c>
      <c r="H124" s="6">
        <v>4953</v>
      </c>
      <c r="I124" s="6" t="s">
        <v>16</v>
      </c>
      <c r="J124" s="6">
        <v>16585190</v>
      </c>
      <c r="K124" s="6" t="s">
        <v>170</v>
      </c>
      <c r="L124" s="13" t="s">
        <v>172</v>
      </c>
      <c r="M124" s="14">
        <v>99900</v>
      </c>
      <c r="N124" s="62">
        <v>0.75</v>
      </c>
      <c r="O124" s="60">
        <f t="shared" si="2"/>
        <v>24975</v>
      </c>
      <c r="P124" s="55" t="s">
        <v>3499</v>
      </c>
    </row>
    <row r="125" spans="1:16" x14ac:dyDescent="0.25">
      <c r="A125" s="6" t="s">
        <v>3530</v>
      </c>
      <c r="B125" s="7">
        <v>46121</v>
      </c>
      <c r="C125" s="7">
        <v>46127</v>
      </c>
      <c r="D125" s="6">
        <v>3270</v>
      </c>
      <c r="E125" s="6">
        <v>336</v>
      </c>
      <c r="F125" s="6">
        <v>4</v>
      </c>
      <c r="G125" s="6">
        <v>8</v>
      </c>
      <c r="H125" s="6">
        <v>4953</v>
      </c>
      <c r="I125" s="6" t="s">
        <v>16</v>
      </c>
      <c r="J125" s="6">
        <v>16585136</v>
      </c>
      <c r="K125" s="6" t="s">
        <v>173</v>
      </c>
      <c r="L125" s="13" t="s">
        <v>174</v>
      </c>
      <c r="M125" s="14">
        <v>99900</v>
      </c>
      <c r="N125" s="62">
        <v>0.75</v>
      </c>
      <c r="O125" s="60">
        <f t="shared" si="2"/>
        <v>24975</v>
      </c>
      <c r="P125" s="55" t="s">
        <v>3499</v>
      </c>
    </row>
    <row r="126" spans="1:16" x14ac:dyDescent="0.25">
      <c r="A126" s="6" t="s">
        <v>3530</v>
      </c>
      <c r="B126" s="7">
        <v>46121</v>
      </c>
      <c r="C126" s="7">
        <v>46127</v>
      </c>
      <c r="D126" s="6">
        <v>3270</v>
      </c>
      <c r="E126" s="6">
        <v>336</v>
      </c>
      <c r="F126" s="6">
        <v>4</v>
      </c>
      <c r="G126" s="6">
        <v>8</v>
      </c>
      <c r="H126" s="6">
        <v>4953</v>
      </c>
      <c r="I126" s="6" t="s">
        <v>16</v>
      </c>
      <c r="J126" s="6">
        <v>16585145</v>
      </c>
      <c r="K126" s="6" t="s">
        <v>173</v>
      </c>
      <c r="L126" s="13" t="s">
        <v>175</v>
      </c>
      <c r="M126" s="14">
        <v>99900</v>
      </c>
      <c r="N126" s="62">
        <v>0.75</v>
      </c>
      <c r="O126" s="60">
        <f t="shared" si="2"/>
        <v>24975</v>
      </c>
      <c r="P126" s="55" t="s">
        <v>3499</v>
      </c>
    </row>
    <row r="127" spans="1:16" x14ac:dyDescent="0.25">
      <c r="A127" s="6" t="s">
        <v>3530</v>
      </c>
      <c r="B127" s="7">
        <v>46121</v>
      </c>
      <c r="C127" s="7">
        <v>46127</v>
      </c>
      <c r="D127" s="6">
        <v>3270</v>
      </c>
      <c r="E127" s="6">
        <v>336</v>
      </c>
      <c r="F127" s="6">
        <v>4</v>
      </c>
      <c r="G127" s="6">
        <v>8</v>
      </c>
      <c r="H127" s="6">
        <v>4953</v>
      </c>
      <c r="I127" s="6" t="s">
        <v>16</v>
      </c>
      <c r="J127" s="6">
        <v>16585172</v>
      </c>
      <c r="K127" s="6" t="s">
        <v>170</v>
      </c>
      <c r="L127" s="13" t="s">
        <v>176</v>
      </c>
      <c r="M127" s="14">
        <v>99900</v>
      </c>
      <c r="N127" s="62">
        <v>0.75</v>
      </c>
      <c r="O127" s="60">
        <f t="shared" si="2"/>
        <v>24975</v>
      </c>
      <c r="P127" s="55" t="s">
        <v>3499</v>
      </c>
    </row>
    <row r="128" spans="1:16" x14ac:dyDescent="0.25">
      <c r="A128" s="6" t="s">
        <v>3530</v>
      </c>
      <c r="B128" s="7">
        <v>46121</v>
      </c>
      <c r="C128" s="7">
        <v>46127</v>
      </c>
      <c r="D128" s="6">
        <v>3270</v>
      </c>
      <c r="E128" s="6">
        <v>336</v>
      </c>
      <c r="F128" s="6">
        <v>4</v>
      </c>
      <c r="G128" s="6">
        <v>8</v>
      </c>
      <c r="H128" s="6">
        <v>4953</v>
      </c>
      <c r="I128" s="6" t="s">
        <v>16</v>
      </c>
      <c r="J128" s="6">
        <v>16585127</v>
      </c>
      <c r="K128" s="6" t="s">
        <v>173</v>
      </c>
      <c r="L128" s="13" t="s">
        <v>177</v>
      </c>
      <c r="M128" s="14">
        <v>99900</v>
      </c>
      <c r="N128" s="62">
        <v>0.75</v>
      </c>
      <c r="O128" s="60">
        <f t="shared" si="2"/>
        <v>24975</v>
      </c>
      <c r="P128" s="55" t="s">
        <v>3499</v>
      </c>
    </row>
    <row r="129" spans="1:16" x14ac:dyDescent="0.25">
      <c r="A129" s="6" t="s">
        <v>3530</v>
      </c>
      <c r="B129" s="7">
        <v>46121</v>
      </c>
      <c r="C129" s="7">
        <v>46127</v>
      </c>
      <c r="D129" s="6">
        <v>3270</v>
      </c>
      <c r="E129" s="6">
        <v>336</v>
      </c>
      <c r="F129" s="6">
        <v>4</v>
      </c>
      <c r="G129" s="6">
        <v>8</v>
      </c>
      <c r="H129" s="6">
        <v>4953</v>
      </c>
      <c r="I129" s="6" t="s">
        <v>16</v>
      </c>
      <c r="J129" s="6">
        <v>16585154</v>
      </c>
      <c r="K129" s="6" t="s">
        <v>173</v>
      </c>
      <c r="L129" s="13" t="s">
        <v>178</v>
      </c>
      <c r="M129" s="14">
        <v>99900</v>
      </c>
      <c r="N129" s="62">
        <v>0.75</v>
      </c>
      <c r="O129" s="60">
        <f t="shared" si="2"/>
        <v>24975</v>
      </c>
      <c r="P129" s="55" t="s">
        <v>3499</v>
      </c>
    </row>
    <row r="130" spans="1:16" x14ac:dyDescent="0.25">
      <c r="A130" s="6" t="s">
        <v>3530</v>
      </c>
      <c r="B130" s="7">
        <v>46121</v>
      </c>
      <c r="C130" s="7">
        <v>46127</v>
      </c>
      <c r="D130" s="6">
        <v>3270</v>
      </c>
      <c r="E130" s="6">
        <v>336</v>
      </c>
      <c r="F130" s="6">
        <v>4</v>
      </c>
      <c r="G130" s="6">
        <v>8</v>
      </c>
      <c r="H130" s="6">
        <v>4953</v>
      </c>
      <c r="I130" s="6" t="s">
        <v>16</v>
      </c>
      <c r="J130" s="6">
        <v>16585163</v>
      </c>
      <c r="K130" s="6" t="s">
        <v>170</v>
      </c>
      <c r="L130" s="13" t="s">
        <v>179</v>
      </c>
      <c r="M130" s="14">
        <v>99900</v>
      </c>
      <c r="N130" s="62">
        <v>0.75</v>
      </c>
      <c r="O130" s="60">
        <f t="shared" si="2"/>
        <v>24975</v>
      </c>
      <c r="P130" s="55" t="s">
        <v>3499</v>
      </c>
    </row>
    <row r="131" spans="1:16" x14ac:dyDescent="0.25">
      <c r="A131" s="6" t="s">
        <v>3530</v>
      </c>
      <c r="B131" s="7">
        <v>46121</v>
      </c>
      <c r="C131" s="7">
        <v>46127</v>
      </c>
      <c r="D131" s="6">
        <v>3270</v>
      </c>
      <c r="E131" s="6">
        <v>336</v>
      </c>
      <c r="F131" s="6">
        <v>4</v>
      </c>
      <c r="G131" s="6">
        <v>8</v>
      </c>
      <c r="H131" s="6">
        <v>4953</v>
      </c>
      <c r="I131" s="6" t="s">
        <v>16</v>
      </c>
      <c r="J131" s="6">
        <v>16585207</v>
      </c>
      <c r="K131" s="6" t="s">
        <v>168</v>
      </c>
      <c r="L131" s="13" t="s">
        <v>180</v>
      </c>
      <c r="M131" s="14">
        <v>99900</v>
      </c>
      <c r="N131" s="62">
        <v>0.75</v>
      </c>
      <c r="O131" s="60">
        <f t="shared" ref="O131:O189" si="3">M131-((75*M131)/100)</f>
        <v>24975</v>
      </c>
      <c r="P131" s="55" t="s">
        <v>3499</v>
      </c>
    </row>
    <row r="132" spans="1:16" x14ac:dyDescent="0.25">
      <c r="A132" s="6" t="s">
        <v>3530</v>
      </c>
      <c r="B132" s="7">
        <v>46121</v>
      </c>
      <c r="C132" s="7">
        <v>46127</v>
      </c>
      <c r="D132" s="6">
        <v>3270</v>
      </c>
      <c r="E132" s="6">
        <v>336</v>
      </c>
      <c r="F132" s="6">
        <v>4</v>
      </c>
      <c r="G132" s="6">
        <v>8</v>
      </c>
      <c r="H132" s="6">
        <v>4953</v>
      </c>
      <c r="I132" s="6" t="s">
        <v>16</v>
      </c>
      <c r="J132" s="6">
        <v>16585216</v>
      </c>
      <c r="K132" s="6" t="s">
        <v>168</v>
      </c>
      <c r="L132" s="13" t="s">
        <v>181</v>
      </c>
      <c r="M132" s="14">
        <v>99900</v>
      </c>
      <c r="N132" s="62">
        <v>0.75</v>
      </c>
      <c r="O132" s="60">
        <f t="shared" si="3"/>
        <v>24975</v>
      </c>
      <c r="P132" s="55" t="s">
        <v>3499</v>
      </c>
    </row>
    <row r="133" spans="1:16" x14ac:dyDescent="0.25">
      <c r="A133" s="6" t="s">
        <v>3530</v>
      </c>
      <c r="B133" s="7">
        <v>46121</v>
      </c>
      <c r="C133" s="7">
        <v>46127</v>
      </c>
      <c r="D133" s="6">
        <v>3270</v>
      </c>
      <c r="E133" s="6">
        <v>336</v>
      </c>
      <c r="F133" s="6">
        <v>4</v>
      </c>
      <c r="G133" s="6">
        <v>8</v>
      </c>
      <c r="H133" s="6">
        <v>4953</v>
      </c>
      <c r="I133" s="6" t="s">
        <v>16</v>
      </c>
      <c r="J133" s="6">
        <v>16585234</v>
      </c>
      <c r="K133" s="6" t="s">
        <v>168</v>
      </c>
      <c r="L133" s="13" t="s">
        <v>182</v>
      </c>
      <c r="M133" s="14">
        <v>99900</v>
      </c>
      <c r="N133" s="62">
        <v>0.75</v>
      </c>
      <c r="O133" s="60">
        <f t="shared" si="3"/>
        <v>24975</v>
      </c>
      <c r="P133" s="55" t="s">
        <v>3499</v>
      </c>
    </row>
    <row r="134" spans="1:16" x14ac:dyDescent="0.25">
      <c r="A134" s="6" t="s">
        <v>3530</v>
      </c>
      <c r="B134" s="7">
        <v>46121</v>
      </c>
      <c r="C134" s="7">
        <v>46127</v>
      </c>
      <c r="D134" s="6">
        <v>3270</v>
      </c>
      <c r="E134" s="6">
        <v>336</v>
      </c>
      <c r="F134" s="6">
        <v>4</v>
      </c>
      <c r="G134" s="6">
        <v>8</v>
      </c>
      <c r="H134" s="6">
        <v>81684</v>
      </c>
      <c r="I134" s="6" t="s">
        <v>16</v>
      </c>
      <c r="J134" s="6">
        <v>15642316</v>
      </c>
      <c r="K134" s="6" t="s">
        <v>183</v>
      </c>
      <c r="L134" s="13" t="s">
        <v>184</v>
      </c>
      <c r="M134" s="14">
        <v>99900</v>
      </c>
      <c r="N134" s="62">
        <v>0.75</v>
      </c>
      <c r="O134" s="60">
        <f t="shared" si="3"/>
        <v>24975</v>
      </c>
      <c r="P134" s="55" t="s">
        <v>3499</v>
      </c>
    </row>
    <row r="135" spans="1:16" x14ac:dyDescent="0.25">
      <c r="A135" s="6" t="s">
        <v>3530</v>
      </c>
      <c r="B135" s="7">
        <v>46121</v>
      </c>
      <c r="C135" s="7">
        <v>46127</v>
      </c>
      <c r="D135" s="6">
        <v>3270</v>
      </c>
      <c r="E135" s="6">
        <v>336</v>
      </c>
      <c r="F135" s="6">
        <v>4</v>
      </c>
      <c r="G135" s="6">
        <v>8</v>
      </c>
      <c r="H135" s="6">
        <v>81684</v>
      </c>
      <c r="I135" s="6" t="s">
        <v>16</v>
      </c>
      <c r="J135" s="6">
        <v>15642325</v>
      </c>
      <c r="K135" s="6" t="s">
        <v>183</v>
      </c>
      <c r="L135" s="13" t="s">
        <v>185</v>
      </c>
      <c r="M135" s="14">
        <v>99900</v>
      </c>
      <c r="N135" s="62">
        <v>0.75</v>
      </c>
      <c r="O135" s="60">
        <f t="shared" si="3"/>
        <v>24975</v>
      </c>
      <c r="P135" s="55" t="s">
        <v>3499</v>
      </c>
    </row>
    <row r="136" spans="1:16" x14ac:dyDescent="0.25">
      <c r="A136" s="6" t="s">
        <v>3530</v>
      </c>
      <c r="B136" s="7">
        <v>46121</v>
      </c>
      <c r="C136" s="7">
        <v>46127</v>
      </c>
      <c r="D136" s="6">
        <v>3270</v>
      </c>
      <c r="E136" s="6">
        <v>336</v>
      </c>
      <c r="F136" s="6">
        <v>4</v>
      </c>
      <c r="G136" s="6">
        <v>8</v>
      </c>
      <c r="H136" s="6">
        <v>81684</v>
      </c>
      <c r="I136" s="6" t="s">
        <v>16</v>
      </c>
      <c r="J136" s="6">
        <v>15642334</v>
      </c>
      <c r="K136" s="6" t="s">
        <v>183</v>
      </c>
      <c r="L136" s="13" t="s">
        <v>186</v>
      </c>
      <c r="M136" s="14">
        <v>99900</v>
      </c>
      <c r="N136" s="62">
        <v>0.75</v>
      </c>
      <c r="O136" s="60">
        <f t="shared" si="3"/>
        <v>24975</v>
      </c>
      <c r="P136" s="55" t="s">
        <v>3499</v>
      </c>
    </row>
    <row r="137" spans="1:16" x14ac:dyDescent="0.25">
      <c r="A137" s="6" t="s">
        <v>3530</v>
      </c>
      <c r="B137" s="7">
        <v>46121</v>
      </c>
      <c r="C137" s="7">
        <v>46127</v>
      </c>
      <c r="D137" s="6">
        <v>3270</v>
      </c>
      <c r="E137" s="6">
        <v>336</v>
      </c>
      <c r="F137" s="6">
        <v>4</v>
      </c>
      <c r="G137" s="6">
        <v>8</v>
      </c>
      <c r="H137" s="6">
        <v>81684</v>
      </c>
      <c r="I137" s="6" t="s">
        <v>16</v>
      </c>
      <c r="J137" s="6">
        <v>15642343</v>
      </c>
      <c r="K137" s="6" t="s">
        <v>183</v>
      </c>
      <c r="L137" s="13" t="s">
        <v>187</v>
      </c>
      <c r="M137" s="14">
        <v>99900</v>
      </c>
      <c r="N137" s="62">
        <v>0.75</v>
      </c>
      <c r="O137" s="60">
        <f t="shared" si="3"/>
        <v>24975</v>
      </c>
      <c r="P137" s="55" t="s">
        <v>3499</v>
      </c>
    </row>
    <row r="138" spans="1:16" x14ac:dyDescent="0.25">
      <c r="A138" s="6" t="s">
        <v>3530</v>
      </c>
      <c r="B138" s="7">
        <v>46121</v>
      </c>
      <c r="C138" s="7">
        <v>46127</v>
      </c>
      <c r="D138" s="6">
        <v>3270</v>
      </c>
      <c r="E138" s="6">
        <v>336</v>
      </c>
      <c r="F138" s="6">
        <v>4</v>
      </c>
      <c r="G138" s="6">
        <v>8</v>
      </c>
      <c r="H138" s="6">
        <v>81684</v>
      </c>
      <c r="I138" s="6" t="s">
        <v>16</v>
      </c>
      <c r="J138" s="6">
        <v>15642361</v>
      </c>
      <c r="K138" s="6" t="s">
        <v>188</v>
      </c>
      <c r="L138" s="13" t="s">
        <v>189</v>
      </c>
      <c r="M138" s="14">
        <v>99900</v>
      </c>
      <c r="N138" s="62">
        <v>0.75</v>
      </c>
      <c r="O138" s="60">
        <f t="shared" si="3"/>
        <v>24975</v>
      </c>
      <c r="P138" s="55" t="s">
        <v>3499</v>
      </c>
    </row>
    <row r="139" spans="1:16" x14ac:dyDescent="0.25">
      <c r="A139" s="6" t="s">
        <v>3530</v>
      </c>
      <c r="B139" s="7">
        <v>46121</v>
      </c>
      <c r="C139" s="7">
        <v>46127</v>
      </c>
      <c r="D139" s="6">
        <v>3270</v>
      </c>
      <c r="E139" s="6">
        <v>336</v>
      </c>
      <c r="F139" s="6">
        <v>4</v>
      </c>
      <c r="G139" s="6">
        <v>8</v>
      </c>
      <c r="H139" s="6">
        <v>81684</v>
      </c>
      <c r="I139" s="6" t="s">
        <v>16</v>
      </c>
      <c r="J139" s="6">
        <v>15642370</v>
      </c>
      <c r="K139" s="6" t="s">
        <v>188</v>
      </c>
      <c r="L139" s="13" t="s">
        <v>190</v>
      </c>
      <c r="M139" s="14">
        <v>99900</v>
      </c>
      <c r="N139" s="62">
        <v>0.75</v>
      </c>
      <c r="O139" s="60">
        <f t="shared" si="3"/>
        <v>24975</v>
      </c>
      <c r="P139" s="55" t="s">
        <v>3499</v>
      </c>
    </row>
    <row r="140" spans="1:16" x14ac:dyDescent="0.25">
      <c r="A140" s="6" t="s">
        <v>3530</v>
      </c>
      <c r="B140" s="7">
        <v>46121</v>
      </c>
      <c r="C140" s="7">
        <v>46127</v>
      </c>
      <c r="D140" s="6">
        <v>3270</v>
      </c>
      <c r="E140" s="6">
        <v>336</v>
      </c>
      <c r="F140" s="6">
        <v>4</v>
      </c>
      <c r="G140" s="6">
        <v>8</v>
      </c>
      <c r="H140" s="6">
        <v>81684</v>
      </c>
      <c r="I140" s="6" t="s">
        <v>16</v>
      </c>
      <c r="J140" s="6">
        <v>15642389</v>
      </c>
      <c r="K140" s="6" t="s">
        <v>188</v>
      </c>
      <c r="L140" s="13" t="s">
        <v>191</v>
      </c>
      <c r="M140" s="14">
        <v>99900</v>
      </c>
      <c r="N140" s="62">
        <v>0.75</v>
      </c>
      <c r="O140" s="60">
        <f t="shared" si="3"/>
        <v>24975</v>
      </c>
      <c r="P140" s="55" t="s">
        <v>3499</v>
      </c>
    </row>
    <row r="141" spans="1:16" x14ac:dyDescent="0.25">
      <c r="A141" s="6" t="s">
        <v>3530</v>
      </c>
      <c r="B141" s="7">
        <v>46121</v>
      </c>
      <c r="C141" s="7">
        <v>46127</v>
      </c>
      <c r="D141" s="6">
        <v>3270</v>
      </c>
      <c r="E141" s="6">
        <v>336</v>
      </c>
      <c r="F141" s="6">
        <v>4</v>
      </c>
      <c r="G141" s="6">
        <v>8</v>
      </c>
      <c r="H141" s="6">
        <v>81684</v>
      </c>
      <c r="I141" s="6" t="s">
        <v>16</v>
      </c>
      <c r="J141" s="6">
        <v>15642398</v>
      </c>
      <c r="K141" s="6" t="s">
        <v>188</v>
      </c>
      <c r="L141" s="13" t="s">
        <v>192</v>
      </c>
      <c r="M141" s="14">
        <v>99900</v>
      </c>
      <c r="N141" s="62">
        <v>0.75</v>
      </c>
      <c r="O141" s="60">
        <f t="shared" si="3"/>
        <v>24975</v>
      </c>
      <c r="P141" s="55" t="s">
        <v>3499</v>
      </c>
    </row>
    <row r="142" spans="1:16" x14ac:dyDescent="0.25">
      <c r="A142" s="6" t="s">
        <v>3530</v>
      </c>
      <c r="B142" s="7">
        <v>46121</v>
      </c>
      <c r="C142" s="7">
        <v>46127</v>
      </c>
      <c r="D142" s="6">
        <v>3270</v>
      </c>
      <c r="E142" s="6">
        <v>336</v>
      </c>
      <c r="F142" s="6">
        <v>4</v>
      </c>
      <c r="G142" s="6">
        <v>8</v>
      </c>
      <c r="H142" s="6">
        <v>81684</v>
      </c>
      <c r="I142" s="6" t="s">
        <v>16</v>
      </c>
      <c r="J142" s="6">
        <v>15642414</v>
      </c>
      <c r="K142" s="6" t="s">
        <v>193</v>
      </c>
      <c r="L142" s="13" t="s">
        <v>194</v>
      </c>
      <c r="M142" s="14">
        <v>99900</v>
      </c>
      <c r="N142" s="62">
        <v>0.75</v>
      </c>
      <c r="O142" s="60">
        <f t="shared" si="3"/>
        <v>24975</v>
      </c>
      <c r="P142" s="55" t="s">
        <v>3499</v>
      </c>
    </row>
    <row r="143" spans="1:16" x14ac:dyDescent="0.25">
      <c r="A143" s="6" t="s">
        <v>3530</v>
      </c>
      <c r="B143" s="7">
        <v>46121</v>
      </c>
      <c r="C143" s="7">
        <v>46127</v>
      </c>
      <c r="D143" s="6">
        <v>3270</v>
      </c>
      <c r="E143" s="6">
        <v>336</v>
      </c>
      <c r="F143" s="6">
        <v>4</v>
      </c>
      <c r="G143" s="6">
        <v>8</v>
      </c>
      <c r="H143" s="6">
        <v>81684</v>
      </c>
      <c r="I143" s="6" t="s">
        <v>16</v>
      </c>
      <c r="J143" s="6">
        <v>15642423</v>
      </c>
      <c r="K143" s="6" t="s">
        <v>193</v>
      </c>
      <c r="L143" s="13" t="s">
        <v>195</v>
      </c>
      <c r="M143" s="14">
        <v>99900</v>
      </c>
      <c r="N143" s="62">
        <v>0.75</v>
      </c>
      <c r="O143" s="60">
        <f t="shared" si="3"/>
        <v>24975</v>
      </c>
      <c r="P143" s="55" t="s">
        <v>3499</v>
      </c>
    </row>
    <row r="144" spans="1:16" x14ac:dyDescent="0.25">
      <c r="A144" s="6" t="s">
        <v>3530</v>
      </c>
      <c r="B144" s="7">
        <v>46121</v>
      </c>
      <c r="C144" s="7">
        <v>46127</v>
      </c>
      <c r="D144" s="6">
        <v>3270</v>
      </c>
      <c r="E144" s="6">
        <v>336</v>
      </c>
      <c r="F144" s="6">
        <v>4</v>
      </c>
      <c r="G144" s="6">
        <v>8</v>
      </c>
      <c r="H144" s="6">
        <v>81684</v>
      </c>
      <c r="I144" s="6" t="s">
        <v>16</v>
      </c>
      <c r="J144" s="6">
        <v>15642432</v>
      </c>
      <c r="K144" s="6" t="s">
        <v>193</v>
      </c>
      <c r="L144" s="13" t="s">
        <v>196</v>
      </c>
      <c r="M144" s="14">
        <v>99900</v>
      </c>
      <c r="N144" s="62">
        <v>0.75</v>
      </c>
      <c r="O144" s="60">
        <f t="shared" si="3"/>
        <v>24975</v>
      </c>
      <c r="P144" s="55" t="s">
        <v>3499</v>
      </c>
    </row>
    <row r="145" spans="1:16" x14ac:dyDescent="0.25">
      <c r="A145" s="6" t="s">
        <v>3530</v>
      </c>
      <c r="B145" s="7">
        <v>46121</v>
      </c>
      <c r="C145" s="7">
        <v>46127</v>
      </c>
      <c r="D145" s="6">
        <v>3270</v>
      </c>
      <c r="E145" s="6">
        <v>336</v>
      </c>
      <c r="F145" s="6">
        <v>4</v>
      </c>
      <c r="G145" s="6">
        <v>8</v>
      </c>
      <c r="H145" s="6">
        <v>81684</v>
      </c>
      <c r="I145" s="6" t="s">
        <v>16</v>
      </c>
      <c r="J145" s="6">
        <v>15642441</v>
      </c>
      <c r="K145" s="6" t="s">
        <v>193</v>
      </c>
      <c r="L145" s="13" t="s">
        <v>197</v>
      </c>
      <c r="M145" s="14">
        <v>99900</v>
      </c>
      <c r="N145" s="62">
        <v>0.75</v>
      </c>
      <c r="O145" s="60">
        <f t="shared" si="3"/>
        <v>24975</v>
      </c>
      <c r="P145" s="55" t="s">
        <v>3499</v>
      </c>
    </row>
    <row r="146" spans="1:16" x14ac:dyDescent="0.25">
      <c r="A146" s="6" t="s">
        <v>3530</v>
      </c>
      <c r="B146" s="7">
        <v>46121</v>
      </c>
      <c r="C146" s="7">
        <v>46127</v>
      </c>
      <c r="D146" s="6">
        <v>3270</v>
      </c>
      <c r="E146" s="6">
        <v>336</v>
      </c>
      <c r="F146" s="6">
        <v>4</v>
      </c>
      <c r="G146" s="8">
        <v>4</v>
      </c>
      <c r="H146" s="8">
        <v>81305</v>
      </c>
      <c r="I146" s="8" t="s">
        <v>16</v>
      </c>
      <c r="J146" s="8">
        <v>11436967</v>
      </c>
      <c r="K146" s="8" t="s">
        <v>198</v>
      </c>
      <c r="L146" s="9" t="s">
        <v>199</v>
      </c>
      <c r="M146" s="10">
        <v>139900</v>
      </c>
      <c r="N146" s="62">
        <v>0.75</v>
      </c>
      <c r="O146" s="60">
        <f t="shared" si="3"/>
        <v>34975</v>
      </c>
      <c r="P146" s="55" t="s">
        <v>3499</v>
      </c>
    </row>
    <row r="147" spans="1:16" x14ac:dyDescent="0.25">
      <c r="A147" s="6" t="s">
        <v>3530</v>
      </c>
      <c r="B147" s="7">
        <v>46121</v>
      </c>
      <c r="C147" s="7">
        <v>46127</v>
      </c>
      <c r="D147" s="6">
        <v>3270</v>
      </c>
      <c r="E147" s="6">
        <v>336</v>
      </c>
      <c r="F147" s="6">
        <v>4</v>
      </c>
      <c r="G147" s="8">
        <v>4</v>
      </c>
      <c r="H147" s="8">
        <v>81305</v>
      </c>
      <c r="I147" s="8" t="s">
        <v>16</v>
      </c>
      <c r="J147" s="8">
        <v>11436976</v>
      </c>
      <c r="K147" s="8" t="s">
        <v>198</v>
      </c>
      <c r="L147" s="9" t="s">
        <v>200</v>
      </c>
      <c r="M147" s="10">
        <v>139900</v>
      </c>
      <c r="N147" s="62">
        <v>0.75</v>
      </c>
      <c r="O147" s="60">
        <f t="shared" si="3"/>
        <v>34975</v>
      </c>
      <c r="P147" s="55" t="s">
        <v>3499</v>
      </c>
    </row>
    <row r="148" spans="1:16" x14ac:dyDescent="0.25">
      <c r="A148" s="6" t="s">
        <v>3530</v>
      </c>
      <c r="B148" s="7">
        <v>46121</v>
      </c>
      <c r="C148" s="7">
        <v>46127</v>
      </c>
      <c r="D148" s="6">
        <v>3270</v>
      </c>
      <c r="E148" s="6">
        <v>336</v>
      </c>
      <c r="F148" s="6">
        <v>4</v>
      </c>
      <c r="G148" s="8">
        <v>4</v>
      </c>
      <c r="H148" s="8">
        <v>81305</v>
      </c>
      <c r="I148" s="8" t="s">
        <v>16</v>
      </c>
      <c r="J148" s="8">
        <v>11436985</v>
      </c>
      <c r="K148" s="8" t="s">
        <v>198</v>
      </c>
      <c r="L148" s="9" t="s">
        <v>201</v>
      </c>
      <c r="M148" s="10">
        <v>139900</v>
      </c>
      <c r="N148" s="62">
        <v>0.75</v>
      </c>
      <c r="O148" s="60">
        <f t="shared" si="3"/>
        <v>34975</v>
      </c>
      <c r="P148" s="55" t="s">
        <v>3499</v>
      </c>
    </row>
    <row r="149" spans="1:16" x14ac:dyDescent="0.25">
      <c r="A149" s="6" t="s">
        <v>3530</v>
      </c>
      <c r="B149" s="7">
        <v>46121</v>
      </c>
      <c r="C149" s="7">
        <v>46127</v>
      </c>
      <c r="D149" s="6">
        <v>3270</v>
      </c>
      <c r="E149" s="6">
        <v>336</v>
      </c>
      <c r="F149" s="6">
        <v>4</v>
      </c>
      <c r="G149" s="8">
        <v>4</v>
      </c>
      <c r="H149" s="8">
        <v>81305</v>
      </c>
      <c r="I149" s="8" t="s">
        <v>16</v>
      </c>
      <c r="J149" s="8">
        <v>11436994</v>
      </c>
      <c r="K149" s="8" t="s">
        <v>198</v>
      </c>
      <c r="L149" s="9" t="s">
        <v>202</v>
      </c>
      <c r="M149" s="10">
        <v>139900</v>
      </c>
      <c r="N149" s="62">
        <v>0.75</v>
      </c>
      <c r="O149" s="60">
        <f t="shared" si="3"/>
        <v>34975</v>
      </c>
      <c r="P149" s="55" t="s">
        <v>3499</v>
      </c>
    </row>
    <row r="150" spans="1:16" x14ac:dyDescent="0.25">
      <c r="A150" s="6" t="s">
        <v>3530</v>
      </c>
      <c r="B150" s="7">
        <v>46121</v>
      </c>
      <c r="C150" s="7">
        <v>46127</v>
      </c>
      <c r="D150" s="6">
        <v>3270</v>
      </c>
      <c r="E150" s="6">
        <v>336</v>
      </c>
      <c r="F150" s="6">
        <v>4</v>
      </c>
      <c r="G150" s="8">
        <v>4</v>
      </c>
      <c r="H150" s="8">
        <v>81684</v>
      </c>
      <c r="I150" s="8" t="s">
        <v>16</v>
      </c>
      <c r="J150" s="8">
        <v>16584253</v>
      </c>
      <c r="K150" s="8" t="s">
        <v>203</v>
      </c>
      <c r="L150" s="9" t="s">
        <v>204</v>
      </c>
      <c r="M150" s="10">
        <v>119900</v>
      </c>
      <c r="N150" s="62">
        <v>0.75</v>
      </c>
      <c r="O150" s="60">
        <f t="shared" si="3"/>
        <v>29975</v>
      </c>
      <c r="P150" s="55" t="s">
        <v>3499</v>
      </c>
    </row>
    <row r="151" spans="1:16" x14ac:dyDescent="0.25">
      <c r="A151" s="6" t="s">
        <v>3530</v>
      </c>
      <c r="B151" s="7">
        <v>46121</v>
      </c>
      <c r="C151" s="7">
        <v>46127</v>
      </c>
      <c r="D151" s="6">
        <v>3270</v>
      </c>
      <c r="E151" s="6">
        <v>336</v>
      </c>
      <c r="F151" s="6">
        <v>4</v>
      </c>
      <c r="G151" s="8">
        <v>4</v>
      </c>
      <c r="H151" s="8">
        <v>81684</v>
      </c>
      <c r="I151" s="8" t="s">
        <v>16</v>
      </c>
      <c r="J151" s="8">
        <v>16584262</v>
      </c>
      <c r="K151" s="8" t="s">
        <v>203</v>
      </c>
      <c r="L151" s="9" t="s">
        <v>205</v>
      </c>
      <c r="M151" s="10">
        <v>119900</v>
      </c>
      <c r="N151" s="62">
        <v>0.75</v>
      </c>
      <c r="O151" s="60">
        <f t="shared" si="3"/>
        <v>29975</v>
      </c>
      <c r="P151" s="55" t="s">
        <v>3499</v>
      </c>
    </row>
    <row r="152" spans="1:16" x14ac:dyDescent="0.25">
      <c r="A152" s="6" t="s">
        <v>3530</v>
      </c>
      <c r="B152" s="7">
        <v>46121</v>
      </c>
      <c r="C152" s="7">
        <v>46127</v>
      </c>
      <c r="D152" s="6">
        <v>3270</v>
      </c>
      <c r="E152" s="6">
        <v>336</v>
      </c>
      <c r="F152" s="6">
        <v>4</v>
      </c>
      <c r="G152" s="8">
        <v>4</v>
      </c>
      <c r="H152" s="8">
        <v>81684</v>
      </c>
      <c r="I152" s="8" t="s">
        <v>16</v>
      </c>
      <c r="J152" s="8">
        <v>16584271</v>
      </c>
      <c r="K152" s="8" t="s">
        <v>203</v>
      </c>
      <c r="L152" s="9" t="s">
        <v>206</v>
      </c>
      <c r="M152" s="10">
        <v>119900</v>
      </c>
      <c r="N152" s="62">
        <v>0.75</v>
      </c>
      <c r="O152" s="60">
        <f t="shared" si="3"/>
        <v>29975</v>
      </c>
      <c r="P152" s="55" t="s">
        <v>3499</v>
      </c>
    </row>
    <row r="153" spans="1:16" x14ac:dyDescent="0.25">
      <c r="A153" s="6" t="s">
        <v>3530</v>
      </c>
      <c r="B153" s="7">
        <v>46121</v>
      </c>
      <c r="C153" s="7">
        <v>46127</v>
      </c>
      <c r="D153" s="6">
        <v>3270</v>
      </c>
      <c r="E153" s="6">
        <v>336</v>
      </c>
      <c r="F153" s="6">
        <v>4</v>
      </c>
      <c r="G153" s="8">
        <v>4</v>
      </c>
      <c r="H153" s="8">
        <v>81684</v>
      </c>
      <c r="I153" s="8" t="s">
        <v>16</v>
      </c>
      <c r="J153" s="8">
        <v>16584244</v>
      </c>
      <c r="K153" s="8" t="s">
        <v>203</v>
      </c>
      <c r="L153" s="9" t="s">
        <v>207</v>
      </c>
      <c r="M153" s="10">
        <v>119900</v>
      </c>
      <c r="N153" s="62">
        <v>0.75</v>
      </c>
      <c r="O153" s="60">
        <f t="shared" si="3"/>
        <v>29975</v>
      </c>
      <c r="P153" s="55" t="s">
        <v>3499</v>
      </c>
    </row>
    <row r="154" spans="1:16" x14ac:dyDescent="0.25">
      <c r="A154" s="6" t="s">
        <v>3530</v>
      </c>
      <c r="B154" s="7">
        <v>46121</v>
      </c>
      <c r="C154" s="7">
        <v>46127</v>
      </c>
      <c r="D154" s="6">
        <v>3270</v>
      </c>
      <c r="E154" s="6">
        <v>336</v>
      </c>
      <c r="F154" s="6">
        <v>4</v>
      </c>
      <c r="G154" s="8">
        <v>8</v>
      </c>
      <c r="H154" s="8">
        <v>81684</v>
      </c>
      <c r="I154" s="8" t="s">
        <v>16</v>
      </c>
      <c r="J154" s="8">
        <v>16585047</v>
      </c>
      <c r="K154" s="8" t="s">
        <v>208</v>
      </c>
      <c r="L154" s="9" t="s">
        <v>209</v>
      </c>
      <c r="M154" s="10">
        <v>99900</v>
      </c>
      <c r="N154" s="62">
        <v>0.75</v>
      </c>
      <c r="O154" s="60">
        <f t="shared" si="3"/>
        <v>24975</v>
      </c>
      <c r="P154" s="55" t="s">
        <v>3499</v>
      </c>
    </row>
    <row r="155" spans="1:16" x14ac:dyDescent="0.25">
      <c r="A155" s="6" t="s">
        <v>3530</v>
      </c>
      <c r="B155" s="7">
        <v>46121</v>
      </c>
      <c r="C155" s="7">
        <v>46127</v>
      </c>
      <c r="D155" s="6">
        <v>3270</v>
      </c>
      <c r="E155" s="6">
        <v>336</v>
      </c>
      <c r="F155" s="6">
        <v>4</v>
      </c>
      <c r="G155" s="8">
        <v>8</v>
      </c>
      <c r="H155" s="8">
        <v>81684</v>
      </c>
      <c r="I155" s="8" t="s">
        <v>16</v>
      </c>
      <c r="J155" s="8">
        <v>16585056</v>
      </c>
      <c r="K155" s="8" t="s">
        <v>208</v>
      </c>
      <c r="L155" s="9" t="s">
        <v>210</v>
      </c>
      <c r="M155" s="10">
        <v>99900</v>
      </c>
      <c r="N155" s="62">
        <v>0.75</v>
      </c>
      <c r="O155" s="60">
        <f t="shared" si="3"/>
        <v>24975</v>
      </c>
      <c r="P155" s="55" t="s">
        <v>3499</v>
      </c>
    </row>
    <row r="156" spans="1:16" x14ac:dyDescent="0.25">
      <c r="A156" s="6" t="s">
        <v>3530</v>
      </c>
      <c r="B156" s="7">
        <v>46121</v>
      </c>
      <c r="C156" s="7">
        <v>46127</v>
      </c>
      <c r="D156" s="6">
        <v>3270</v>
      </c>
      <c r="E156" s="6">
        <v>336</v>
      </c>
      <c r="F156" s="6">
        <v>4</v>
      </c>
      <c r="G156" s="8">
        <v>8</v>
      </c>
      <c r="H156" s="8">
        <v>81684</v>
      </c>
      <c r="I156" s="8" t="s">
        <v>16</v>
      </c>
      <c r="J156" s="8">
        <v>16585065</v>
      </c>
      <c r="K156" s="8" t="s">
        <v>208</v>
      </c>
      <c r="L156" s="9" t="s">
        <v>211</v>
      </c>
      <c r="M156" s="10">
        <v>99900</v>
      </c>
      <c r="N156" s="62">
        <v>0.75</v>
      </c>
      <c r="O156" s="60">
        <f t="shared" si="3"/>
        <v>24975</v>
      </c>
      <c r="P156" s="55" t="s">
        <v>3499</v>
      </c>
    </row>
    <row r="157" spans="1:16" x14ac:dyDescent="0.25">
      <c r="A157" s="6" t="s">
        <v>3530</v>
      </c>
      <c r="B157" s="7">
        <v>46121</v>
      </c>
      <c r="C157" s="7">
        <v>46127</v>
      </c>
      <c r="D157" s="6">
        <v>3270</v>
      </c>
      <c r="E157" s="6">
        <v>336</v>
      </c>
      <c r="F157" s="6">
        <v>4</v>
      </c>
      <c r="G157" s="8">
        <v>8</v>
      </c>
      <c r="H157" s="8">
        <v>81684</v>
      </c>
      <c r="I157" s="8" t="s">
        <v>16</v>
      </c>
      <c r="J157" s="8">
        <v>16585074</v>
      </c>
      <c r="K157" s="8" t="s">
        <v>208</v>
      </c>
      <c r="L157" s="9" t="s">
        <v>212</v>
      </c>
      <c r="M157" s="10">
        <v>99900</v>
      </c>
      <c r="N157" s="62">
        <v>0.75</v>
      </c>
      <c r="O157" s="60">
        <f t="shared" si="3"/>
        <v>24975</v>
      </c>
      <c r="P157" s="55" t="s">
        <v>3499</v>
      </c>
    </row>
    <row r="158" spans="1:16" x14ac:dyDescent="0.25">
      <c r="A158" s="6" t="s">
        <v>3530</v>
      </c>
      <c r="B158" s="7">
        <v>46121</v>
      </c>
      <c r="C158" s="7">
        <v>46127</v>
      </c>
      <c r="D158" s="6">
        <v>3270</v>
      </c>
      <c r="E158" s="6">
        <v>336</v>
      </c>
      <c r="F158" s="6">
        <v>4</v>
      </c>
      <c r="G158" s="8">
        <v>8</v>
      </c>
      <c r="H158" s="8">
        <v>81684</v>
      </c>
      <c r="I158" s="8" t="s">
        <v>16</v>
      </c>
      <c r="J158" s="8">
        <v>16585083</v>
      </c>
      <c r="K158" s="8" t="s">
        <v>213</v>
      </c>
      <c r="L158" s="9" t="s">
        <v>214</v>
      </c>
      <c r="M158" s="10">
        <v>99900</v>
      </c>
      <c r="N158" s="62">
        <v>0.75</v>
      </c>
      <c r="O158" s="60">
        <f t="shared" si="3"/>
        <v>24975</v>
      </c>
      <c r="P158" s="55" t="s">
        <v>3499</v>
      </c>
    </row>
    <row r="159" spans="1:16" x14ac:dyDescent="0.25">
      <c r="A159" s="6" t="s">
        <v>3530</v>
      </c>
      <c r="B159" s="7">
        <v>46121</v>
      </c>
      <c r="C159" s="7">
        <v>46127</v>
      </c>
      <c r="D159" s="6">
        <v>3270</v>
      </c>
      <c r="E159" s="6">
        <v>336</v>
      </c>
      <c r="F159" s="6">
        <v>4</v>
      </c>
      <c r="G159" s="8">
        <v>8</v>
      </c>
      <c r="H159" s="8">
        <v>81684</v>
      </c>
      <c r="I159" s="8" t="s">
        <v>16</v>
      </c>
      <c r="J159" s="8">
        <v>16585092</v>
      </c>
      <c r="K159" s="8" t="s">
        <v>213</v>
      </c>
      <c r="L159" s="9" t="s">
        <v>215</v>
      </c>
      <c r="M159" s="10">
        <v>99900</v>
      </c>
      <c r="N159" s="62">
        <v>0.75</v>
      </c>
      <c r="O159" s="60">
        <f t="shared" si="3"/>
        <v>24975</v>
      </c>
      <c r="P159" s="55" t="s">
        <v>3499</v>
      </c>
    </row>
    <row r="160" spans="1:16" x14ac:dyDescent="0.25">
      <c r="A160" s="6" t="s">
        <v>3530</v>
      </c>
      <c r="B160" s="7">
        <v>46121</v>
      </c>
      <c r="C160" s="7">
        <v>46127</v>
      </c>
      <c r="D160" s="6">
        <v>3270</v>
      </c>
      <c r="E160" s="6">
        <v>336</v>
      </c>
      <c r="F160" s="6">
        <v>4</v>
      </c>
      <c r="G160" s="8">
        <v>8</v>
      </c>
      <c r="H160" s="8">
        <v>81684</v>
      </c>
      <c r="I160" s="8" t="s">
        <v>16</v>
      </c>
      <c r="J160" s="8">
        <v>16585109</v>
      </c>
      <c r="K160" s="8" t="s">
        <v>213</v>
      </c>
      <c r="L160" s="9" t="s">
        <v>216</v>
      </c>
      <c r="M160" s="10">
        <v>99900</v>
      </c>
      <c r="N160" s="62">
        <v>0.75</v>
      </c>
      <c r="O160" s="60">
        <f t="shared" si="3"/>
        <v>24975</v>
      </c>
      <c r="P160" s="55" t="s">
        <v>3499</v>
      </c>
    </row>
    <row r="161" spans="1:16" x14ac:dyDescent="0.25">
      <c r="A161" s="6" t="s">
        <v>3530</v>
      </c>
      <c r="B161" s="7">
        <v>46121</v>
      </c>
      <c r="C161" s="7">
        <v>46127</v>
      </c>
      <c r="D161" s="6">
        <v>3270</v>
      </c>
      <c r="E161" s="6">
        <v>336</v>
      </c>
      <c r="F161" s="6">
        <v>4</v>
      </c>
      <c r="G161" s="8">
        <v>8</v>
      </c>
      <c r="H161" s="8">
        <v>81684</v>
      </c>
      <c r="I161" s="8" t="s">
        <v>16</v>
      </c>
      <c r="J161" s="8">
        <v>16585118</v>
      </c>
      <c r="K161" s="8" t="s">
        <v>213</v>
      </c>
      <c r="L161" s="9" t="s">
        <v>217</v>
      </c>
      <c r="M161" s="10">
        <v>99900</v>
      </c>
      <c r="N161" s="62">
        <v>0.75</v>
      </c>
      <c r="O161" s="60">
        <f t="shared" si="3"/>
        <v>24975</v>
      </c>
      <c r="P161" s="55" t="s">
        <v>3499</v>
      </c>
    </row>
    <row r="162" spans="1:16" x14ac:dyDescent="0.25">
      <c r="A162" s="6" t="s">
        <v>3530</v>
      </c>
      <c r="B162" s="7">
        <v>46121</v>
      </c>
      <c r="C162" s="7">
        <v>46127</v>
      </c>
      <c r="D162" s="6">
        <v>3270</v>
      </c>
      <c r="E162" s="6">
        <v>336</v>
      </c>
      <c r="F162" s="6">
        <v>4</v>
      </c>
      <c r="G162" s="15">
        <v>4</v>
      </c>
      <c r="H162" s="15">
        <v>81305</v>
      </c>
      <c r="I162" s="15" t="s">
        <v>16</v>
      </c>
      <c r="J162" s="15">
        <v>15612607</v>
      </c>
      <c r="K162" s="15" t="s">
        <v>218</v>
      </c>
      <c r="L162" s="16" t="s">
        <v>219</v>
      </c>
      <c r="M162" s="17">
        <v>139900</v>
      </c>
      <c r="N162" s="62">
        <v>0.75</v>
      </c>
      <c r="O162" s="60">
        <f t="shared" si="3"/>
        <v>34975</v>
      </c>
      <c r="P162" s="55" t="s">
        <v>3499</v>
      </c>
    </row>
    <row r="163" spans="1:16" x14ac:dyDescent="0.25">
      <c r="A163" s="6" t="s">
        <v>3530</v>
      </c>
      <c r="B163" s="7">
        <v>46121</v>
      </c>
      <c r="C163" s="7">
        <v>46127</v>
      </c>
      <c r="D163" s="6">
        <v>3270</v>
      </c>
      <c r="E163" s="6">
        <v>336</v>
      </c>
      <c r="F163" s="6">
        <v>4</v>
      </c>
      <c r="G163" s="15">
        <v>4</v>
      </c>
      <c r="H163" s="15">
        <v>81305</v>
      </c>
      <c r="I163" s="15" t="s">
        <v>16</v>
      </c>
      <c r="J163" s="15">
        <v>15612616</v>
      </c>
      <c r="K163" s="15" t="s">
        <v>218</v>
      </c>
      <c r="L163" s="16" t="s">
        <v>220</v>
      </c>
      <c r="M163" s="17">
        <v>139900</v>
      </c>
      <c r="N163" s="62">
        <v>0.75</v>
      </c>
      <c r="O163" s="60">
        <f t="shared" si="3"/>
        <v>34975</v>
      </c>
      <c r="P163" s="55" t="s">
        <v>3499</v>
      </c>
    </row>
    <row r="164" spans="1:16" x14ac:dyDescent="0.25">
      <c r="A164" s="6" t="s">
        <v>3530</v>
      </c>
      <c r="B164" s="7">
        <v>46121</v>
      </c>
      <c r="C164" s="7">
        <v>46127</v>
      </c>
      <c r="D164" s="6">
        <v>3270</v>
      </c>
      <c r="E164" s="6">
        <v>336</v>
      </c>
      <c r="F164" s="6">
        <v>4</v>
      </c>
      <c r="G164" s="15">
        <v>4</v>
      </c>
      <c r="H164" s="15">
        <v>81305</v>
      </c>
      <c r="I164" s="15" t="s">
        <v>16</v>
      </c>
      <c r="J164" s="15">
        <v>15612625</v>
      </c>
      <c r="K164" s="15" t="s">
        <v>218</v>
      </c>
      <c r="L164" s="16" t="s">
        <v>221</v>
      </c>
      <c r="M164" s="17">
        <v>139900</v>
      </c>
      <c r="N164" s="62">
        <v>0.75</v>
      </c>
      <c r="O164" s="60">
        <f t="shared" si="3"/>
        <v>34975</v>
      </c>
      <c r="P164" s="55" t="s">
        <v>3499</v>
      </c>
    </row>
    <row r="165" spans="1:16" x14ac:dyDescent="0.25">
      <c r="A165" s="6" t="s">
        <v>3530</v>
      </c>
      <c r="B165" s="7">
        <v>46121</v>
      </c>
      <c r="C165" s="7">
        <v>46127</v>
      </c>
      <c r="D165" s="6">
        <v>3270</v>
      </c>
      <c r="E165" s="6">
        <v>336</v>
      </c>
      <c r="F165" s="6">
        <v>4</v>
      </c>
      <c r="G165" s="15">
        <v>4</v>
      </c>
      <c r="H165" s="15">
        <v>81305</v>
      </c>
      <c r="I165" s="15" t="s">
        <v>16</v>
      </c>
      <c r="J165" s="15">
        <v>15612634</v>
      </c>
      <c r="K165" s="15" t="s">
        <v>218</v>
      </c>
      <c r="L165" s="16" t="s">
        <v>222</v>
      </c>
      <c r="M165" s="17">
        <v>139900</v>
      </c>
      <c r="N165" s="62">
        <v>0.75</v>
      </c>
      <c r="O165" s="60">
        <f t="shared" si="3"/>
        <v>34975</v>
      </c>
      <c r="P165" s="55" t="s">
        <v>3499</v>
      </c>
    </row>
    <row r="166" spans="1:16" x14ac:dyDescent="0.25">
      <c r="A166" s="6" t="s">
        <v>3530</v>
      </c>
      <c r="B166" s="7">
        <v>46121</v>
      </c>
      <c r="C166" s="7">
        <v>46127</v>
      </c>
      <c r="D166" s="6">
        <v>3270</v>
      </c>
      <c r="E166" s="6">
        <v>336</v>
      </c>
      <c r="F166" s="6">
        <v>4</v>
      </c>
      <c r="G166" s="15">
        <v>4</v>
      </c>
      <c r="H166" s="15">
        <v>81683</v>
      </c>
      <c r="I166" s="15" t="s">
        <v>16</v>
      </c>
      <c r="J166" s="15">
        <v>18354202</v>
      </c>
      <c r="K166" s="15" t="s">
        <v>223</v>
      </c>
      <c r="L166" s="16" t="s">
        <v>224</v>
      </c>
      <c r="M166" s="17">
        <v>199900</v>
      </c>
      <c r="N166" s="62">
        <v>0.75</v>
      </c>
      <c r="O166" s="60">
        <f t="shared" si="3"/>
        <v>49975</v>
      </c>
      <c r="P166" s="55" t="s">
        <v>3499</v>
      </c>
    </row>
    <row r="167" spans="1:16" x14ac:dyDescent="0.25">
      <c r="A167" s="6" t="s">
        <v>3530</v>
      </c>
      <c r="B167" s="7">
        <v>46121</v>
      </c>
      <c r="C167" s="7">
        <v>46127</v>
      </c>
      <c r="D167" s="6">
        <v>3270</v>
      </c>
      <c r="E167" s="6">
        <v>336</v>
      </c>
      <c r="F167" s="6">
        <v>4</v>
      </c>
      <c r="G167" s="15">
        <v>4</v>
      </c>
      <c r="H167" s="15">
        <v>81683</v>
      </c>
      <c r="I167" s="15" t="s">
        <v>16</v>
      </c>
      <c r="J167" s="15">
        <v>18354211</v>
      </c>
      <c r="K167" s="15" t="s">
        <v>223</v>
      </c>
      <c r="L167" s="16" t="s">
        <v>225</v>
      </c>
      <c r="M167" s="17">
        <v>199900</v>
      </c>
      <c r="N167" s="62">
        <v>0.75</v>
      </c>
      <c r="O167" s="60">
        <f t="shared" si="3"/>
        <v>49975</v>
      </c>
      <c r="P167" s="55" t="s">
        <v>3499</v>
      </c>
    </row>
    <row r="168" spans="1:16" x14ac:dyDescent="0.25">
      <c r="A168" s="6" t="s">
        <v>3530</v>
      </c>
      <c r="B168" s="7">
        <v>46121</v>
      </c>
      <c r="C168" s="7">
        <v>46127</v>
      </c>
      <c r="D168" s="6">
        <v>3270</v>
      </c>
      <c r="E168" s="6">
        <v>336</v>
      </c>
      <c r="F168" s="6">
        <v>4</v>
      </c>
      <c r="G168" s="15">
        <v>4</v>
      </c>
      <c r="H168" s="15">
        <v>81683</v>
      </c>
      <c r="I168" s="15" t="s">
        <v>16</v>
      </c>
      <c r="J168" s="15">
        <v>18354220</v>
      </c>
      <c r="K168" s="15" t="s">
        <v>223</v>
      </c>
      <c r="L168" s="16" t="s">
        <v>226</v>
      </c>
      <c r="M168" s="17">
        <v>199900</v>
      </c>
      <c r="N168" s="62">
        <v>0.75</v>
      </c>
      <c r="O168" s="60">
        <f t="shared" si="3"/>
        <v>49975</v>
      </c>
      <c r="P168" s="55" t="s">
        <v>3499</v>
      </c>
    </row>
    <row r="169" spans="1:16" x14ac:dyDescent="0.25">
      <c r="A169" s="6" t="s">
        <v>3530</v>
      </c>
      <c r="B169" s="7">
        <v>46121</v>
      </c>
      <c r="C169" s="7">
        <v>46127</v>
      </c>
      <c r="D169" s="6">
        <v>3270</v>
      </c>
      <c r="E169" s="6">
        <v>336</v>
      </c>
      <c r="F169" s="6">
        <v>4</v>
      </c>
      <c r="G169" s="15">
        <v>4</v>
      </c>
      <c r="H169" s="15">
        <v>81683</v>
      </c>
      <c r="I169" s="15" t="s">
        <v>16</v>
      </c>
      <c r="J169" s="15">
        <v>18354239</v>
      </c>
      <c r="K169" s="15" t="s">
        <v>223</v>
      </c>
      <c r="L169" s="16" t="s">
        <v>227</v>
      </c>
      <c r="M169" s="17">
        <v>199900</v>
      </c>
      <c r="N169" s="62">
        <v>0.75</v>
      </c>
      <c r="O169" s="60">
        <f t="shared" si="3"/>
        <v>49975</v>
      </c>
      <c r="P169" s="55" t="s">
        <v>3499</v>
      </c>
    </row>
    <row r="170" spans="1:16" x14ac:dyDescent="0.25">
      <c r="A170" s="6" t="s">
        <v>3530</v>
      </c>
      <c r="B170" s="7">
        <v>46121</v>
      </c>
      <c r="C170" s="7">
        <v>46127</v>
      </c>
      <c r="D170" s="6">
        <v>3270</v>
      </c>
      <c r="E170" s="6">
        <v>336</v>
      </c>
      <c r="F170" s="6">
        <v>4</v>
      </c>
      <c r="G170" s="15">
        <v>4</v>
      </c>
      <c r="H170" s="15">
        <v>81683</v>
      </c>
      <c r="I170" s="15" t="s">
        <v>16</v>
      </c>
      <c r="J170" s="15">
        <v>18354257</v>
      </c>
      <c r="K170" s="15" t="s">
        <v>228</v>
      </c>
      <c r="L170" s="16" t="s">
        <v>229</v>
      </c>
      <c r="M170" s="17">
        <v>199900</v>
      </c>
      <c r="N170" s="62">
        <v>0.75</v>
      </c>
      <c r="O170" s="60">
        <f t="shared" si="3"/>
        <v>49975</v>
      </c>
      <c r="P170" s="55" t="s">
        <v>3499</v>
      </c>
    </row>
    <row r="171" spans="1:16" x14ac:dyDescent="0.25">
      <c r="A171" s="6" t="s">
        <v>3530</v>
      </c>
      <c r="B171" s="7">
        <v>46121</v>
      </c>
      <c r="C171" s="7">
        <v>46127</v>
      </c>
      <c r="D171" s="6">
        <v>3270</v>
      </c>
      <c r="E171" s="6">
        <v>336</v>
      </c>
      <c r="F171" s="6">
        <v>4</v>
      </c>
      <c r="G171" s="15">
        <v>4</v>
      </c>
      <c r="H171" s="15">
        <v>81683</v>
      </c>
      <c r="I171" s="15" t="s">
        <v>16</v>
      </c>
      <c r="J171" s="15">
        <v>18354300</v>
      </c>
      <c r="K171" s="15" t="s">
        <v>228</v>
      </c>
      <c r="L171" s="16" t="s">
        <v>230</v>
      </c>
      <c r="M171" s="17">
        <v>199900</v>
      </c>
      <c r="N171" s="62">
        <v>0.75</v>
      </c>
      <c r="O171" s="60">
        <f t="shared" si="3"/>
        <v>49975</v>
      </c>
      <c r="P171" s="55" t="s">
        <v>3499</v>
      </c>
    </row>
    <row r="172" spans="1:16" x14ac:dyDescent="0.25">
      <c r="A172" s="6" t="s">
        <v>3530</v>
      </c>
      <c r="B172" s="7">
        <v>46121</v>
      </c>
      <c r="C172" s="7">
        <v>46127</v>
      </c>
      <c r="D172" s="6">
        <v>3270</v>
      </c>
      <c r="E172" s="6">
        <v>336</v>
      </c>
      <c r="F172" s="6">
        <v>4</v>
      </c>
      <c r="G172" s="15">
        <v>4</v>
      </c>
      <c r="H172" s="15">
        <v>81683</v>
      </c>
      <c r="I172" s="15" t="s">
        <v>16</v>
      </c>
      <c r="J172" s="15">
        <v>18354319</v>
      </c>
      <c r="K172" s="15" t="s">
        <v>228</v>
      </c>
      <c r="L172" s="16" t="s">
        <v>231</v>
      </c>
      <c r="M172" s="17">
        <v>199900</v>
      </c>
      <c r="N172" s="62">
        <v>0.75</v>
      </c>
      <c r="O172" s="60">
        <f t="shared" si="3"/>
        <v>49975</v>
      </c>
      <c r="P172" s="55" t="s">
        <v>3499</v>
      </c>
    </row>
    <row r="173" spans="1:16" x14ac:dyDescent="0.25">
      <c r="A173" s="6" t="s">
        <v>3530</v>
      </c>
      <c r="B173" s="7">
        <v>46121</v>
      </c>
      <c r="C173" s="7">
        <v>46127</v>
      </c>
      <c r="D173" s="6">
        <v>3270</v>
      </c>
      <c r="E173" s="6">
        <v>336</v>
      </c>
      <c r="F173" s="6">
        <v>4</v>
      </c>
      <c r="G173" s="15">
        <v>4</v>
      </c>
      <c r="H173" s="15">
        <v>81683</v>
      </c>
      <c r="I173" s="15" t="s">
        <v>16</v>
      </c>
      <c r="J173" s="15">
        <v>18354337</v>
      </c>
      <c r="K173" s="15" t="s">
        <v>228</v>
      </c>
      <c r="L173" s="16" t="s">
        <v>232</v>
      </c>
      <c r="M173" s="17">
        <v>199900</v>
      </c>
      <c r="N173" s="62">
        <v>0.75</v>
      </c>
      <c r="O173" s="60">
        <f t="shared" si="3"/>
        <v>49975</v>
      </c>
      <c r="P173" s="55" t="s">
        <v>3499</v>
      </c>
    </row>
    <row r="174" spans="1:16" x14ac:dyDescent="0.25">
      <c r="A174" s="6" t="s">
        <v>3530</v>
      </c>
      <c r="B174" s="7">
        <v>46121</v>
      </c>
      <c r="C174" s="7">
        <v>46127</v>
      </c>
      <c r="D174" s="6">
        <v>3270</v>
      </c>
      <c r="E174" s="6">
        <v>336</v>
      </c>
      <c r="F174" s="6">
        <v>4</v>
      </c>
      <c r="G174" s="15">
        <v>4</v>
      </c>
      <c r="H174" s="15">
        <v>81683</v>
      </c>
      <c r="I174" s="15" t="s">
        <v>16</v>
      </c>
      <c r="J174" s="15">
        <v>18890883</v>
      </c>
      <c r="K174" s="15" t="s">
        <v>233</v>
      </c>
      <c r="L174" s="16" t="s">
        <v>234</v>
      </c>
      <c r="M174" s="17">
        <v>199900</v>
      </c>
      <c r="N174" s="62">
        <v>0.75</v>
      </c>
      <c r="O174" s="60">
        <f t="shared" si="3"/>
        <v>49975</v>
      </c>
      <c r="P174" s="55" t="s">
        <v>3499</v>
      </c>
    </row>
    <row r="175" spans="1:16" x14ac:dyDescent="0.25">
      <c r="A175" s="6" t="s">
        <v>3530</v>
      </c>
      <c r="B175" s="7">
        <v>46121</v>
      </c>
      <c r="C175" s="7">
        <v>46127</v>
      </c>
      <c r="D175" s="6">
        <v>3270</v>
      </c>
      <c r="E175" s="6">
        <v>336</v>
      </c>
      <c r="F175" s="6">
        <v>4</v>
      </c>
      <c r="G175" s="15">
        <v>4</v>
      </c>
      <c r="H175" s="15">
        <v>81683</v>
      </c>
      <c r="I175" s="15" t="s">
        <v>16</v>
      </c>
      <c r="J175" s="15">
        <v>18890892</v>
      </c>
      <c r="K175" s="15" t="s">
        <v>233</v>
      </c>
      <c r="L175" s="16" t="s">
        <v>235</v>
      </c>
      <c r="M175" s="17">
        <v>199900</v>
      </c>
      <c r="N175" s="62">
        <v>0.75</v>
      </c>
      <c r="O175" s="60">
        <f t="shared" si="3"/>
        <v>49975</v>
      </c>
      <c r="P175" s="55" t="s">
        <v>3499</v>
      </c>
    </row>
    <row r="176" spans="1:16" x14ac:dyDescent="0.25">
      <c r="A176" s="6" t="s">
        <v>3530</v>
      </c>
      <c r="B176" s="7">
        <v>46121</v>
      </c>
      <c r="C176" s="7">
        <v>46127</v>
      </c>
      <c r="D176" s="6">
        <v>3270</v>
      </c>
      <c r="E176" s="6">
        <v>336</v>
      </c>
      <c r="F176" s="6">
        <v>4</v>
      </c>
      <c r="G176" s="15">
        <v>4</v>
      </c>
      <c r="H176" s="15">
        <v>81683</v>
      </c>
      <c r="I176" s="15" t="s">
        <v>16</v>
      </c>
      <c r="J176" s="15">
        <v>18890909</v>
      </c>
      <c r="K176" s="15" t="s">
        <v>233</v>
      </c>
      <c r="L176" s="16" t="s">
        <v>236</v>
      </c>
      <c r="M176" s="17">
        <v>199900</v>
      </c>
      <c r="N176" s="62">
        <v>0.75</v>
      </c>
      <c r="O176" s="60">
        <f t="shared" si="3"/>
        <v>49975</v>
      </c>
      <c r="P176" s="55" t="s">
        <v>3499</v>
      </c>
    </row>
    <row r="177" spans="1:16" x14ac:dyDescent="0.25">
      <c r="A177" s="6" t="s">
        <v>3530</v>
      </c>
      <c r="B177" s="7">
        <v>46121</v>
      </c>
      <c r="C177" s="7">
        <v>46127</v>
      </c>
      <c r="D177" s="6">
        <v>3270</v>
      </c>
      <c r="E177" s="6">
        <v>336</v>
      </c>
      <c r="F177" s="6">
        <v>4</v>
      </c>
      <c r="G177" s="15">
        <v>4</v>
      </c>
      <c r="H177" s="15">
        <v>81683</v>
      </c>
      <c r="I177" s="15" t="s">
        <v>16</v>
      </c>
      <c r="J177" s="15">
        <v>18890918</v>
      </c>
      <c r="K177" s="15" t="s">
        <v>233</v>
      </c>
      <c r="L177" s="16" t="s">
        <v>237</v>
      </c>
      <c r="M177" s="17">
        <v>199900</v>
      </c>
      <c r="N177" s="62">
        <v>0.75</v>
      </c>
      <c r="O177" s="60">
        <f t="shared" si="3"/>
        <v>49975</v>
      </c>
      <c r="P177" s="55" t="s">
        <v>3499</v>
      </c>
    </row>
    <row r="178" spans="1:16" x14ac:dyDescent="0.25">
      <c r="A178" s="6" t="s">
        <v>3530</v>
      </c>
      <c r="B178" s="7">
        <v>46121</v>
      </c>
      <c r="C178" s="7">
        <v>46127</v>
      </c>
      <c r="D178" s="6">
        <v>3270</v>
      </c>
      <c r="E178" s="6">
        <v>336</v>
      </c>
      <c r="F178" s="6">
        <v>4</v>
      </c>
      <c r="G178" s="8">
        <v>8</v>
      </c>
      <c r="H178" s="8">
        <v>4953</v>
      </c>
      <c r="I178" s="18" t="s">
        <v>16</v>
      </c>
      <c r="J178" s="8">
        <v>19104471</v>
      </c>
      <c r="K178" s="8" t="s">
        <v>238</v>
      </c>
      <c r="L178" s="9" t="s">
        <v>239</v>
      </c>
      <c r="M178" s="10">
        <v>99900</v>
      </c>
      <c r="N178" s="62">
        <v>0.75</v>
      </c>
      <c r="O178" s="60">
        <f t="shared" si="3"/>
        <v>24975</v>
      </c>
      <c r="P178" s="55" t="s">
        <v>3499</v>
      </c>
    </row>
    <row r="179" spans="1:16" x14ac:dyDescent="0.25">
      <c r="A179" s="6" t="s">
        <v>3530</v>
      </c>
      <c r="B179" s="7">
        <v>46121</v>
      </c>
      <c r="C179" s="7">
        <v>46127</v>
      </c>
      <c r="D179" s="6">
        <v>3270</v>
      </c>
      <c r="E179" s="6">
        <v>336</v>
      </c>
      <c r="F179" s="6">
        <v>4</v>
      </c>
      <c r="G179" s="8">
        <v>8</v>
      </c>
      <c r="H179" s="8">
        <v>4953</v>
      </c>
      <c r="I179" s="18" t="s">
        <v>16</v>
      </c>
      <c r="J179" s="8">
        <v>19104480</v>
      </c>
      <c r="K179" s="8" t="s">
        <v>238</v>
      </c>
      <c r="L179" s="9" t="s">
        <v>240</v>
      </c>
      <c r="M179" s="10">
        <v>99900</v>
      </c>
      <c r="N179" s="62">
        <v>0.75</v>
      </c>
      <c r="O179" s="60">
        <f t="shared" si="3"/>
        <v>24975</v>
      </c>
      <c r="P179" s="55" t="s">
        <v>3499</v>
      </c>
    </row>
    <row r="180" spans="1:16" x14ac:dyDescent="0.25">
      <c r="A180" s="6" t="s">
        <v>3530</v>
      </c>
      <c r="B180" s="7">
        <v>46121</v>
      </c>
      <c r="C180" s="7">
        <v>46127</v>
      </c>
      <c r="D180" s="6">
        <v>3270</v>
      </c>
      <c r="E180" s="6">
        <v>336</v>
      </c>
      <c r="F180" s="6">
        <v>4</v>
      </c>
      <c r="G180" s="8">
        <v>8</v>
      </c>
      <c r="H180" s="8">
        <v>4953</v>
      </c>
      <c r="I180" s="18" t="s">
        <v>16</v>
      </c>
      <c r="J180" s="8">
        <v>19104499</v>
      </c>
      <c r="K180" s="8" t="s">
        <v>238</v>
      </c>
      <c r="L180" s="9" t="s">
        <v>241</v>
      </c>
      <c r="M180" s="10">
        <v>99900</v>
      </c>
      <c r="N180" s="62">
        <v>0.75</v>
      </c>
      <c r="O180" s="60">
        <f t="shared" si="3"/>
        <v>24975</v>
      </c>
      <c r="P180" s="55" t="s">
        <v>3499</v>
      </c>
    </row>
    <row r="181" spans="1:16" x14ac:dyDescent="0.25">
      <c r="A181" s="6" t="s">
        <v>3530</v>
      </c>
      <c r="B181" s="7">
        <v>46121</v>
      </c>
      <c r="C181" s="7">
        <v>46127</v>
      </c>
      <c r="D181" s="6">
        <v>3270</v>
      </c>
      <c r="E181" s="6">
        <v>336</v>
      </c>
      <c r="F181" s="6">
        <v>4</v>
      </c>
      <c r="G181" s="8">
        <v>8</v>
      </c>
      <c r="H181" s="8">
        <v>4953</v>
      </c>
      <c r="I181" s="18" t="s">
        <v>16</v>
      </c>
      <c r="J181" s="8">
        <v>19104506</v>
      </c>
      <c r="K181" s="8" t="s">
        <v>238</v>
      </c>
      <c r="L181" s="9" t="s">
        <v>242</v>
      </c>
      <c r="M181" s="10">
        <v>99900</v>
      </c>
      <c r="N181" s="62">
        <v>0.75</v>
      </c>
      <c r="O181" s="60">
        <f t="shared" si="3"/>
        <v>24975</v>
      </c>
      <c r="P181" s="55" t="s">
        <v>3499</v>
      </c>
    </row>
    <row r="182" spans="1:16" x14ac:dyDescent="0.25">
      <c r="A182" s="6" t="s">
        <v>3530</v>
      </c>
      <c r="B182" s="7">
        <v>46121</v>
      </c>
      <c r="C182" s="7">
        <v>46127</v>
      </c>
      <c r="D182" s="6">
        <v>3270</v>
      </c>
      <c r="E182" s="6">
        <v>336</v>
      </c>
      <c r="F182" s="6">
        <v>4</v>
      </c>
      <c r="G182" s="8">
        <v>8</v>
      </c>
      <c r="H182" s="8">
        <v>4953</v>
      </c>
      <c r="I182" s="18" t="s">
        <v>16</v>
      </c>
      <c r="J182" s="8">
        <v>19104515</v>
      </c>
      <c r="K182" s="8" t="s">
        <v>243</v>
      </c>
      <c r="L182" s="9" t="s">
        <v>244</v>
      </c>
      <c r="M182" s="10">
        <v>99900</v>
      </c>
      <c r="N182" s="62">
        <v>0.75</v>
      </c>
      <c r="O182" s="60">
        <f t="shared" si="3"/>
        <v>24975</v>
      </c>
      <c r="P182" s="55" t="s">
        <v>3499</v>
      </c>
    </row>
    <row r="183" spans="1:16" x14ac:dyDescent="0.25">
      <c r="A183" s="6" t="s">
        <v>3530</v>
      </c>
      <c r="B183" s="7">
        <v>46121</v>
      </c>
      <c r="C183" s="7">
        <v>46127</v>
      </c>
      <c r="D183" s="6">
        <v>3270</v>
      </c>
      <c r="E183" s="6">
        <v>336</v>
      </c>
      <c r="F183" s="6">
        <v>4</v>
      </c>
      <c r="G183" s="8">
        <v>8</v>
      </c>
      <c r="H183" s="8">
        <v>4953</v>
      </c>
      <c r="I183" s="18" t="s">
        <v>16</v>
      </c>
      <c r="J183" s="8">
        <v>19104524</v>
      </c>
      <c r="K183" s="8" t="s">
        <v>243</v>
      </c>
      <c r="L183" s="9" t="s">
        <v>245</v>
      </c>
      <c r="M183" s="10">
        <v>99900</v>
      </c>
      <c r="N183" s="62">
        <v>0.75</v>
      </c>
      <c r="O183" s="60">
        <f t="shared" si="3"/>
        <v>24975</v>
      </c>
      <c r="P183" s="55" t="s">
        <v>3499</v>
      </c>
    </row>
    <row r="184" spans="1:16" x14ac:dyDescent="0.25">
      <c r="A184" s="6" t="s">
        <v>3530</v>
      </c>
      <c r="B184" s="7">
        <v>46121</v>
      </c>
      <c r="C184" s="7">
        <v>46127</v>
      </c>
      <c r="D184" s="6">
        <v>3270</v>
      </c>
      <c r="E184" s="6">
        <v>336</v>
      </c>
      <c r="F184" s="6">
        <v>4</v>
      </c>
      <c r="G184" s="8">
        <v>8</v>
      </c>
      <c r="H184" s="8">
        <v>4953</v>
      </c>
      <c r="I184" s="18" t="s">
        <v>16</v>
      </c>
      <c r="J184" s="8">
        <v>19104533</v>
      </c>
      <c r="K184" s="8" t="s">
        <v>243</v>
      </c>
      <c r="L184" s="9" t="s">
        <v>246</v>
      </c>
      <c r="M184" s="10">
        <v>99900</v>
      </c>
      <c r="N184" s="62">
        <v>0.75</v>
      </c>
      <c r="O184" s="60">
        <f t="shared" si="3"/>
        <v>24975</v>
      </c>
      <c r="P184" s="55" t="s">
        <v>3499</v>
      </c>
    </row>
    <row r="185" spans="1:16" x14ac:dyDescent="0.25">
      <c r="A185" s="6" t="s">
        <v>3530</v>
      </c>
      <c r="B185" s="7">
        <v>46121</v>
      </c>
      <c r="C185" s="7">
        <v>46127</v>
      </c>
      <c r="D185" s="6">
        <v>3270</v>
      </c>
      <c r="E185" s="6">
        <v>336</v>
      </c>
      <c r="F185" s="6">
        <v>4</v>
      </c>
      <c r="G185" s="8">
        <v>8</v>
      </c>
      <c r="H185" s="8">
        <v>4953</v>
      </c>
      <c r="I185" s="18" t="s">
        <v>16</v>
      </c>
      <c r="J185" s="8">
        <v>19104551</v>
      </c>
      <c r="K185" s="8" t="s">
        <v>243</v>
      </c>
      <c r="L185" s="9" t="s">
        <v>247</v>
      </c>
      <c r="M185" s="10">
        <v>99900</v>
      </c>
      <c r="N185" s="62">
        <v>0.75</v>
      </c>
      <c r="O185" s="60">
        <f t="shared" si="3"/>
        <v>24975</v>
      </c>
      <c r="P185" s="55" t="s">
        <v>3499</v>
      </c>
    </row>
    <row r="186" spans="1:16" x14ac:dyDescent="0.25">
      <c r="A186" s="6" t="s">
        <v>3530</v>
      </c>
      <c r="B186" s="7">
        <v>46121</v>
      </c>
      <c r="C186" s="7">
        <v>46127</v>
      </c>
      <c r="D186" s="6">
        <v>3270</v>
      </c>
      <c r="E186" s="6">
        <v>336</v>
      </c>
      <c r="F186" s="6">
        <v>4</v>
      </c>
      <c r="G186" s="8">
        <v>8</v>
      </c>
      <c r="H186" s="8">
        <v>4953</v>
      </c>
      <c r="I186" s="18" t="s">
        <v>16</v>
      </c>
      <c r="J186" s="8">
        <v>19104560</v>
      </c>
      <c r="K186" s="8" t="s">
        <v>248</v>
      </c>
      <c r="L186" s="9" t="s">
        <v>249</v>
      </c>
      <c r="M186" s="10">
        <v>99900</v>
      </c>
      <c r="N186" s="62">
        <v>0.75</v>
      </c>
      <c r="O186" s="60">
        <f t="shared" si="3"/>
        <v>24975</v>
      </c>
      <c r="P186" s="55" t="s">
        <v>3499</v>
      </c>
    </row>
    <row r="187" spans="1:16" x14ac:dyDescent="0.25">
      <c r="A187" s="6" t="s">
        <v>3530</v>
      </c>
      <c r="B187" s="7">
        <v>46121</v>
      </c>
      <c r="C187" s="7">
        <v>46127</v>
      </c>
      <c r="D187" s="6">
        <v>3270</v>
      </c>
      <c r="E187" s="6">
        <v>336</v>
      </c>
      <c r="F187" s="6">
        <v>4</v>
      </c>
      <c r="G187" s="8">
        <v>8</v>
      </c>
      <c r="H187" s="8">
        <v>4953</v>
      </c>
      <c r="I187" s="18" t="s">
        <v>16</v>
      </c>
      <c r="J187" s="8">
        <v>19104579</v>
      </c>
      <c r="K187" s="8" t="s">
        <v>248</v>
      </c>
      <c r="L187" s="9" t="s">
        <v>250</v>
      </c>
      <c r="M187" s="10">
        <v>99900</v>
      </c>
      <c r="N187" s="62">
        <v>0.75</v>
      </c>
      <c r="O187" s="60">
        <f t="shared" si="3"/>
        <v>24975</v>
      </c>
      <c r="P187" s="55" t="s">
        <v>3499</v>
      </c>
    </row>
    <row r="188" spans="1:16" x14ac:dyDescent="0.25">
      <c r="A188" s="6" t="s">
        <v>3530</v>
      </c>
      <c r="B188" s="7">
        <v>46121</v>
      </c>
      <c r="C188" s="7">
        <v>46127</v>
      </c>
      <c r="D188" s="6">
        <v>3270</v>
      </c>
      <c r="E188" s="6">
        <v>336</v>
      </c>
      <c r="F188" s="6">
        <v>4</v>
      </c>
      <c r="G188" s="8">
        <v>8</v>
      </c>
      <c r="H188" s="8">
        <v>4953</v>
      </c>
      <c r="I188" s="18" t="s">
        <v>16</v>
      </c>
      <c r="J188" s="8">
        <v>19104588</v>
      </c>
      <c r="K188" s="8" t="s">
        <v>248</v>
      </c>
      <c r="L188" s="9" t="s">
        <v>251</v>
      </c>
      <c r="M188" s="10">
        <v>99900</v>
      </c>
      <c r="N188" s="62">
        <v>0.75</v>
      </c>
      <c r="O188" s="60">
        <f t="shared" si="3"/>
        <v>24975</v>
      </c>
      <c r="P188" s="55" t="s">
        <v>3499</v>
      </c>
    </row>
    <row r="189" spans="1:16" x14ac:dyDescent="0.25">
      <c r="A189" s="6" t="s">
        <v>3530</v>
      </c>
      <c r="B189" s="7">
        <v>46121</v>
      </c>
      <c r="C189" s="7">
        <v>46127</v>
      </c>
      <c r="D189" s="6">
        <v>3270</v>
      </c>
      <c r="E189" s="6">
        <v>336</v>
      </c>
      <c r="F189" s="6">
        <v>4</v>
      </c>
      <c r="G189" s="8">
        <v>8</v>
      </c>
      <c r="H189" s="8">
        <v>4953</v>
      </c>
      <c r="I189" s="18" t="s">
        <v>16</v>
      </c>
      <c r="J189" s="8">
        <v>19104597</v>
      </c>
      <c r="K189" s="8" t="s">
        <v>248</v>
      </c>
      <c r="L189" s="9" t="s">
        <v>252</v>
      </c>
      <c r="M189" s="10">
        <v>99900</v>
      </c>
      <c r="N189" s="62">
        <v>0.75</v>
      </c>
      <c r="O189" s="60">
        <f t="shared" si="3"/>
        <v>24975</v>
      </c>
      <c r="P189" s="55" t="s">
        <v>3499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7754-A10D-4D4E-91F9-F301FD9DA941}">
  <sheetPr>
    <tabColor rgb="FF00B050"/>
  </sheetPr>
  <dimension ref="A1:P233"/>
  <sheetViews>
    <sheetView zoomScale="80" zoomScaleNormal="80" workbookViewId="0">
      <selection activeCell="I11" sqref="I11"/>
    </sheetView>
  </sheetViews>
  <sheetFormatPr defaultRowHeight="15" x14ac:dyDescent="0.25"/>
  <cols>
    <col min="1" max="1" width="28.85546875" customWidth="1"/>
    <col min="2" max="2" width="12.140625" bestFit="1" customWidth="1"/>
    <col min="3" max="3" width="11.28515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9.85546875" bestFit="1" customWidth="1"/>
    <col min="11" max="11" width="12.85546875" bestFit="1" customWidth="1"/>
    <col min="12" max="12" width="89.28515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3505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8">
        <v>7</v>
      </c>
      <c r="H2" s="8">
        <v>81305</v>
      </c>
      <c r="I2" s="8" t="s">
        <v>16</v>
      </c>
      <c r="J2" s="8">
        <v>15641568</v>
      </c>
      <c r="K2" s="8" t="s">
        <v>253</v>
      </c>
      <c r="L2" s="9" t="s">
        <v>254</v>
      </c>
      <c r="M2" s="10">
        <v>89900</v>
      </c>
      <c r="N2" s="64">
        <v>0.75</v>
      </c>
      <c r="O2" s="12">
        <f t="shared" ref="O2" si="0">M2-((75*M2)/100)</f>
        <v>22475</v>
      </c>
      <c r="P2" s="6" t="s">
        <v>3499</v>
      </c>
    </row>
    <row r="3" spans="1:16" x14ac:dyDescent="0.25">
      <c r="A3" s="6" t="s">
        <v>3505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8">
        <v>7</v>
      </c>
      <c r="H3" s="8">
        <v>81305</v>
      </c>
      <c r="I3" s="8" t="s">
        <v>16</v>
      </c>
      <c r="J3" s="8">
        <v>15641577</v>
      </c>
      <c r="K3" s="8" t="s">
        <v>253</v>
      </c>
      <c r="L3" s="9" t="s">
        <v>255</v>
      </c>
      <c r="M3" s="10">
        <v>89900</v>
      </c>
      <c r="N3" s="64">
        <v>0.75</v>
      </c>
      <c r="O3" s="12">
        <f t="shared" ref="O3:O66" si="1">M3-((75*M3)/100)</f>
        <v>22475</v>
      </c>
      <c r="P3" s="6" t="s">
        <v>3499</v>
      </c>
    </row>
    <row r="4" spans="1:16" x14ac:dyDescent="0.25">
      <c r="A4" s="6" t="s">
        <v>3505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8">
        <v>7</v>
      </c>
      <c r="H4" s="8">
        <v>81305</v>
      </c>
      <c r="I4" s="8" t="s">
        <v>16</v>
      </c>
      <c r="J4" s="8">
        <v>15641586</v>
      </c>
      <c r="K4" s="8" t="s">
        <v>253</v>
      </c>
      <c r="L4" s="9" t="s">
        <v>256</v>
      </c>
      <c r="M4" s="10">
        <v>89900</v>
      </c>
      <c r="N4" s="64">
        <v>0.75</v>
      </c>
      <c r="O4" s="12">
        <f t="shared" si="1"/>
        <v>22475</v>
      </c>
      <c r="P4" s="6" t="s">
        <v>3499</v>
      </c>
    </row>
    <row r="5" spans="1:16" x14ac:dyDescent="0.25">
      <c r="A5" s="6" t="s">
        <v>3505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8">
        <v>7</v>
      </c>
      <c r="H5" s="8">
        <v>81305</v>
      </c>
      <c r="I5" s="8" t="s">
        <v>16</v>
      </c>
      <c r="J5" s="8">
        <v>15641595</v>
      </c>
      <c r="K5" s="8" t="s">
        <v>253</v>
      </c>
      <c r="L5" s="9" t="s">
        <v>257</v>
      </c>
      <c r="M5" s="10">
        <v>89900</v>
      </c>
      <c r="N5" s="64">
        <v>0.75</v>
      </c>
      <c r="O5" s="12">
        <f t="shared" si="1"/>
        <v>22475</v>
      </c>
      <c r="P5" s="6" t="s">
        <v>3499</v>
      </c>
    </row>
    <row r="6" spans="1:16" x14ac:dyDescent="0.25">
      <c r="A6" s="6" t="s">
        <v>3505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8">
        <v>7</v>
      </c>
      <c r="H6" s="8">
        <v>81305</v>
      </c>
      <c r="I6" s="8" t="s">
        <v>16</v>
      </c>
      <c r="J6" s="8">
        <v>15641602</v>
      </c>
      <c r="K6" s="8" t="s">
        <v>258</v>
      </c>
      <c r="L6" s="9" t="s">
        <v>259</v>
      </c>
      <c r="M6" s="10">
        <v>89900</v>
      </c>
      <c r="N6" s="64">
        <v>0.75</v>
      </c>
      <c r="O6" s="12">
        <f t="shared" si="1"/>
        <v>22475</v>
      </c>
      <c r="P6" s="6" t="s">
        <v>3499</v>
      </c>
    </row>
    <row r="7" spans="1:16" x14ac:dyDescent="0.25">
      <c r="A7" s="6" t="s">
        <v>3505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8">
        <v>7</v>
      </c>
      <c r="H7" s="8">
        <v>81305</v>
      </c>
      <c r="I7" s="8" t="s">
        <v>16</v>
      </c>
      <c r="J7" s="8">
        <v>15641611</v>
      </c>
      <c r="K7" s="8" t="s">
        <v>258</v>
      </c>
      <c r="L7" s="9" t="s">
        <v>260</v>
      </c>
      <c r="M7" s="10">
        <v>89900</v>
      </c>
      <c r="N7" s="64">
        <v>0.75</v>
      </c>
      <c r="O7" s="12">
        <f t="shared" si="1"/>
        <v>22475</v>
      </c>
      <c r="P7" s="6" t="s">
        <v>3499</v>
      </c>
    </row>
    <row r="8" spans="1:16" x14ac:dyDescent="0.25">
      <c r="A8" s="6" t="s">
        <v>3505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8">
        <v>7</v>
      </c>
      <c r="H8" s="8">
        <v>81305</v>
      </c>
      <c r="I8" s="8" t="s">
        <v>16</v>
      </c>
      <c r="J8" s="8">
        <v>15641620</v>
      </c>
      <c r="K8" s="8" t="s">
        <v>258</v>
      </c>
      <c r="L8" s="9" t="s">
        <v>261</v>
      </c>
      <c r="M8" s="10">
        <v>89900</v>
      </c>
      <c r="N8" s="64">
        <v>0.75</v>
      </c>
      <c r="O8" s="12">
        <f t="shared" si="1"/>
        <v>22475</v>
      </c>
      <c r="P8" s="6" t="s">
        <v>3499</v>
      </c>
    </row>
    <row r="9" spans="1:16" x14ac:dyDescent="0.25">
      <c r="A9" s="6" t="s">
        <v>3505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8">
        <v>7</v>
      </c>
      <c r="H9" s="8">
        <v>81305</v>
      </c>
      <c r="I9" s="8" t="s">
        <v>16</v>
      </c>
      <c r="J9" s="8">
        <v>15641639</v>
      </c>
      <c r="K9" s="8" t="s">
        <v>258</v>
      </c>
      <c r="L9" s="9" t="s">
        <v>262</v>
      </c>
      <c r="M9" s="10">
        <v>89900</v>
      </c>
      <c r="N9" s="64">
        <v>0.75</v>
      </c>
      <c r="O9" s="12">
        <f t="shared" si="1"/>
        <v>22475</v>
      </c>
      <c r="P9" s="6" t="s">
        <v>3499</v>
      </c>
    </row>
    <row r="10" spans="1:16" x14ac:dyDescent="0.25">
      <c r="A10" s="6" t="s">
        <v>3505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8">
        <v>7</v>
      </c>
      <c r="H10" s="8">
        <v>81305</v>
      </c>
      <c r="I10" s="8" t="s">
        <v>16</v>
      </c>
      <c r="J10" s="8">
        <v>15641648</v>
      </c>
      <c r="K10" s="8" t="s">
        <v>263</v>
      </c>
      <c r="L10" s="9" t="s">
        <v>264</v>
      </c>
      <c r="M10" s="10">
        <v>89900</v>
      </c>
      <c r="N10" s="64">
        <v>0.75</v>
      </c>
      <c r="O10" s="12">
        <f t="shared" si="1"/>
        <v>22475</v>
      </c>
      <c r="P10" s="6" t="s">
        <v>3499</v>
      </c>
    </row>
    <row r="11" spans="1:16" x14ac:dyDescent="0.25">
      <c r="A11" s="6" t="s">
        <v>3505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8">
        <v>7</v>
      </c>
      <c r="H11" s="8">
        <v>81305</v>
      </c>
      <c r="I11" s="8" t="s">
        <v>16</v>
      </c>
      <c r="J11" s="8">
        <v>15641657</v>
      </c>
      <c r="K11" s="8" t="s">
        <v>263</v>
      </c>
      <c r="L11" s="9" t="s">
        <v>265</v>
      </c>
      <c r="M11" s="10">
        <v>89900</v>
      </c>
      <c r="N11" s="64">
        <v>0.75</v>
      </c>
      <c r="O11" s="12">
        <f t="shared" si="1"/>
        <v>22475</v>
      </c>
      <c r="P11" s="6" t="s">
        <v>3499</v>
      </c>
    </row>
    <row r="12" spans="1:16" x14ac:dyDescent="0.25">
      <c r="A12" s="6" t="s">
        <v>3505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8">
        <v>7</v>
      </c>
      <c r="H12" s="8">
        <v>81305</v>
      </c>
      <c r="I12" s="8" t="s">
        <v>16</v>
      </c>
      <c r="J12" s="8">
        <v>15641666</v>
      </c>
      <c r="K12" s="8" t="s">
        <v>263</v>
      </c>
      <c r="L12" s="9" t="s">
        <v>266</v>
      </c>
      <c r="M12" s="10">
        <v>89900</v>
      </c>
      <c r="N12" s="64">
        <v>0.75</v>
      </c>
      <c r="O12" s="12">
        <f t="shared" si="1"/>
        <v>22475</v>
      </c>
      <c r="P12" s="6" t="s">
        <v>3499</v>
      </c>
    </row>
    <row r="13" spans="1:16" x14ac:dyDescent="0.25">
      <c r="A13" s="6" t="s">
        <v>3505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8">
        <v>7</v>
      </c>
      <c r="H13" s="8">
        <v>81305</v>
      </c>
      <c r="I13" s="8" t="s">
        <v>16</v>
      </c>
      <c r="J13" s="8">
        <v>15641675</v>
      </c>
      <c r="K13" s="8" t="s">
        <v>263</v>
      </c>
      <c r="L13" s="9" t="s">
        <v>267</v>
      </c>
      <c r="M13" s="10">
        <v>89900</v>
      </c>
      <c r="N13" s="64">
        <v>0.75</v>
      </c>
      <c r="O13" s="12">
        <f t="shared" si="1"/>
        <v>22475</v>
      </c>
      <c r="P13" s="6" t="s">
        <v>3499</v>
      </c>
    </row>
    <row r="14" spans="1:16" x14ac:dyDescent="0.25">
      <c r="A14" s="6" t="s">
        <v>3505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8">
        <v>7</v>
      </c>
      <c r="H14" s="8">
        <v>81305</v>
      </c>
      <c r="I14" s="8" t="s">
        <v>16</v>
      </c>
      <c r="J14" s="8">
        <v>15641684</v>
      </c>
      <c r="K14" s="8" t="s">
        <v>268</v>
      </c>
      <c r="L14" s="9" t="s">
        <v>269</v>
      </c>
      <c r="M14" s="10">
        <v>89900</v>
      </c>
      <c r="N14" s="64">
        <v>0.75</v>
      </c>
      <c r="O14" s="12">
        <f t="shared" si="1"/>
        <v>22475</v>
      </c>
      <c r="P14" s="6" t="s">
        <v>3499</v>
      </c>
    </row>
    <row r="15" spans="1:16" x14ac:dyDescent="0.25">
      <c r="A15" s="6" t="s">
        <v>3505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8">
        <v>7</v>
      </c>
      <c r="H15" s="8">
        <v>81305</v>
      </c>
      <c r="I15" s="8" t="s">
        <v>16</v>
      </c>
      <c r="J15" s="8">
        <v>15641693</v>
      </c>
      <c r="K15" s="8" t="s">
        <v>268</v>
      </c>
      <c r="L15" s="9" t="s">
        <v>270</v>
      </c>
      <c r="M15" s="10">
        <v>89900</v>
      </c>
      <c r="N15" s="64">
        <v>0.75</v>
      </c>
      <c r="O15" s="12">
        <f t="shared" si="1"/>
        <v>22475</v>
      </c>
      <c r="P15" s="6" t="s">
        <v>3499</v>
      </c>
    </row>
    <row r="16" spans="1:16" x14ac:dyDescent="0.25">
      <c r="A16" s="6" t="s">
        <v>3505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8">
        <v>7</v>
      </c>
      <c r="H16" s="8">
        <v>81305</v>
      </c>
      <c r="I16" s="8" t="s">
        <v>16</v>
      </c>
      <c r="J16" s="8">
        <v>15641700</v>
      </c>
      <c r="K16" s="8" t="s">
        <v>268</v>
      </c>
      <c r="L16" s="9" t="s">
        <v>271</v>
      </c>
      <c r="M16" s="10">
        <v>89900</v>
      </c>
      <c r="N16" s="64">
        <v>0.75</v>
      </c>
      <c r="O16" s="12">
        <f t="shared" si="1"/>
        <v>22475</v>
      </c>
      <c r="P16" s="6" t="s">
        <v>3499</v>
      </c>
    </row>
    <row r="17" spans="1:16" x14ac:dyDescent="0.25">
      <c r="A17" s="6" t="s">
        <v>3505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8">
        <v>7</v>
      </c>
      <c r="H17" s="8">
        <v>81305</v>
      </c>
      <c r="I17" s="8" t="s">
        <v>16</v>
      </c>
      <c r="J17" s="8">
        <v>15641719</v>
      </c>
      <c r="K17" s="8" t="s">
        <v>268</v>
      </c>
      <c r="L17" s="9" t="s">
        <v>272</v>
      </c>
      <c r="M17" s="10">
        <v>89900</v>
      </c>
      <c r="N17" s="64">
        <v>0.75</v>
      </c>
      <c r="O17" s="12">
        <f t="shared" si="1"/>
        <v>22475</v>
      </c>
      <c r="P17" s="6" t="s">
        <v>3499</v>
      </c>
    </row>
    <row r="18" spans="1:16" x14ac:dyDescent="0.25">
      <c r="A18" s="6" t="s">
        <v>3505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8">
        <v>7</v>
      </c>
      <c r="H18" s="8">
        <v>81305</v>
      </c>
      <c r="I18" s="8" t="s">
        <v>16</v>
      </c>
      <c r="J18" s="8">
        <v>15641728</v>
      </c>
      <c r="K18" s="8" t="s">
        <v>273</v>
      </c>
      <c r="L18" s="9" t="s">
        <v>274</v>
      </c>
      <c r="M18" s="10">
        <v>89900</v>
      </c>
      <c r="N18" s="64">
        <v>0.75</v>
      </c>
      <c r="O18" s="12">
        <f t="shared" si="1"/>
        <v>22475</v>
      </c>
      <c r="P18" s="6" t="s">
        <v>3499</v>
      </c>
    </row>
    <row r="19" spans="1:16" x14ac:dyDescent="0.25">
      <c r="A19" s="6" t="s">
        <v>3505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8">
        <v>7</v>
      </c>
      <c r="H19" s="8">
        <v>81305</v>
      </c>
      <c r="I19" s="8" t="s">
        <v>16</v>
      </c>
      <c r="J19" s="8">
        <v>15641737</v>
      </c>
      <c r="K19" s="8" t="s">
        <v>273</v>
      </c>
      <c r="L19" s="9" t="s">
        <v>275</v>
      </c>
      <c r="M19" s="10">
        <v>89900</v>
      </c>
      <c r="N19" s="64">
        <v>0.75</v>
      </c>
      <c r="O19" s="12">
        <f t="shared" si="1"/>
        <v>22475</v>
      </c>
      <c r="P19" s="6" t="s">
        <v>3499</v>
      </c>
    </row>
    <row r="20" spans="1:16" x14ac:dyDescent="0.25">
      <c r="A20" s="6" t="s">
        <v>3505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8">
        <v>7</v>
      </c>
      <c r="H20" s="8">
        <v>81305</v>
      </c>
      <c r="I20" s="8" t="s">
        <v>16</v>
      </c>
      <c r="J20" s="8">
        <v>15641746</v>
      </c>
      <c r="K20" s="8" t="s">
        <v>273</v>
      </c>
      <c r="L20" s="9" t="s">
        <v>276</v>
      </c>
      <c r="M20" s="10">
        <v>89900</v>
      </c>
      <c r="N20" s="64">
        <v>0.75</v>
      </c>
      <c r="O20" s="12">
        <f t="shared" si="1"/>
        <v>22475</v>
      </c>
      <c r="P20" s="6" t="s">
        <v>3499</v>
      </c>
    </row>
    <row r="21" spans="1:16" x14ac:dyDescent="0.25">
      <c r="A21" s="6" t="s">
        <v>3505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8">
        <v>7</v>
      </c>
      <c r="H21" s="8">
        <v>81305</v>
      </c>
      <c r="I21" s="8" t="s">
        <v>16</v>
      </c>
      <c r="J21" s="8">
        <v>15641755</v>
      </c>
      <c r="K21" s="8" t="s">
        <v>273</v>
      </c>
      <c r="L21" s="9" t="s">
        <v>277</v>
      </c>
      <c r="M21" s="10">
        <v>89900</v>
      </c>
      <c r="N21" s="64">
        <v>0.75</v>
      </c>
      <c r="O21" s="12">
        <f t="shared" si="1"/>
        <v>22475</v>
      </c>
      <c r="P21" s="6" t="s">
        <v>3499</v>
      </c>
    </row>
    <row r="22" spans="1:16" x14ac:dyDescent="0.25">
      <c r="A22" s="6" t="s">
        <v>3505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8">
        <v>7</v>
      </c>
      <c r="H22" s="8">
        <v>81305</v>
      </c>
      <c r="I22" s="8" t="s">
        <v>16</v>
      </c>
      <c r="J22" s="8">
        <v>15642012</v>
      </c>
      <c r="K22" s="8" t="s">
        <v>278</v>
      </c>
      <c r="L22" s="9" t="s">
        <v>279</v>
      </c>
      <c r="M22" s="10">
        <v>89900</v>
      </c>
      <c r="N22" s="64">
        <v>0.75</v>
      </c>
      <c r="O22" s="12">
        <f t="shared" si="1"/>
        <v>22475</v>
      </c>
      <c r="P22" s="6" t="s">
        <v>3499</v>
      </c>
    </row>
    <row r="23" spans="1:16" x14ac:dyDescent="0.25">
      <c r="A23" s="6" t="s">
        <v>3505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8">
        <v>7</v>
      </c>
      <c r="H23" s="8">
        <v>81305</v>
      </c>
      <c r="I23" s="8" t="s">
        <v>16</v>
      </c>
      <c r="J23" s="8">
        <v>15642021</v>
      </c>
      <c r="K23" s="8" t="s">
        <v>278</v>
      </c>
      <c r="L23" s="9" t="s">
        <v>280</v>
      </c>
      <c r="M23" s="10">
        <v>89900</v>
      </c>
      <c r="N23" s="64">
        <v>0.75</v>
      </c>
      <c r="O23" s="12">
        <f t="shared" si="1"/>
        <v>22475</v>
      </c>
      <c r="P23" s="6" t="s">
        <v>3499</v>
      </c>
    </row>
    <row r="24" spans="1:16" x14ac:dyDescent="0.25">
      <c r="A24" s="6" t="s">
        <v>3505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8">
        <v>7</v>
      </c>
      <c r="H24" s="8">
        <v>81305</v>
      </c>
      <c r="I24" s="8" t="s">
        <v>16</v>
      </c>
      <c r="J24" s="8">
        <v>15642030</v>
      </c>
      <c r="K24" s="8" t="s">
        <v>278</v>
      </c>
      <c r="L24" s="9" t="s">
        <v>281</v>
      </c>
      <c r="M24" s="10">
        <v>89900</v>
      </c>
      <c r="N24" s="64">
        <v>0.75</v>
      </c>
      <c r="O24" s="12">
        <f t="shared" si="1"/>
        <v>22475</v>
      </c>
      <c r="P24" s="6" t="s">
        <v>3499</v>
      </c>
    </row>
    <row r="25" spans="1:16" x14ac:dyDescent="0.25">
      <c r="A25" s="6" t="s">
        <v>3505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8">
        <v>7</v>
      </c>
      <c r="H25" s="8">
        <v>81305</v>
      </c>
      <c r="I25" s="8" t="s">
        <v>16</v>
      </c>
      <c r="J25" s="8">
        <v>15642049</v>
      </c>
      <c r="K25" s="8" t="s">
        <v>278</v>
      </c>
      <c r="L25" s="9" t="s">
        <v>282</v>
      </c>
      <c r="M25" s="10">
        <v>89900</v>
      </c>
      <c r="N25" s="64">
        <v>0.75</v>
      </c>
      <c r="O25" s="12">
        <f t="shared" si="1"/>
        <v>22475</v>
      </c>
      <c r="P25" s="6" t="s">
        <v>3499</v>
      </c>
    </row>
    <row r="26" spans="1:16" x14ac:dyDescent="0.25">
      <c r="A26" s="6" t="s">
        <v>3505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8">
        <v>7</v>
      </c>
      <c r="H26" s="8">
        <v>81305</v>
      </c>
      <c r="I26" s="8" t="s">
        <v>16</v>
      </c>
      <c r="J26" s="8">
        <v>15642067</v>
      </c>
      <c r="K26" s="8" t="s">
        <v>283</v>
      </c>
      <c r="L26" s="9" t="s">
        <v>284</v>
      </c>
      <c r="M26" s="10">
        <v>89900</v>
      </c>
      <c r="N26" s="64">
        <v>0.75</v>
      </c>
      <c r="O26" s="12">
        <f t="shared" si="1"/>
        <v>22475</v>
      </c>
      <c r="P26" s="6" t="s">
        <v>3499</v>
      </c>
    </row>
    <row r="27" spans="1:16" x14ac:dyDescent="0.25">
      <c r="A27" s="6" t="s">
        <v>3505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8">
        <v>7</v>
      </c>
      <c r="H27" s="8">
        <v>81305</v>
      </c>
      <c r="I27" s="8" t="s">
        <v>16</v>
      </c>
      <c r="J27" s="8">
        <v>15642076</v>
      </c>
      <c r="K27" s="8" t="s">
        <v>283</v>
      </c>
      <c r="L27" s="9" t="s">
        <v>285</v>
      </c>
      <c r="M27" s="10">
        <v>89900</v>
      </c>
      <c r="N27" s="64">
        <v>0.75</v>
      </c>
      <c r="O27" s="12">
        <f t="shared" si="1"/>
        <v>22475</v>
      </c>
      <c r="P27" s="6" t="s">
        <v>3499</v>
      </c>
    </row>
    <row r="28" spans="1:16" x14ac:dyDescent="0.25">
      <c r="A28" s="6" t="s">
        <v>3505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8">
        <v>7</v>
      </c>
      <c r="H28" s="8">
        <v>81305</v>
      </c>
      <c r="I28" s="8" t="s">
        <v>16</v>
      </c>
      <c r="J28" s="8">
        <v>15642085</v>
      </c>
      <c r="K28" s="8" t="s">
        <v>283</v>
      </c>
      <c r="L28" s="9" t="s">
        <v>286</v>
      </c>
      <c r="M28" s="10">
        <v>89900</v>
      </c>
      <c r="N28" s="64">
        <v>0.75</v>
      </c>
      <c r="O28" s="12">
        <f t="shared" si="1"/>
        <v>22475</v>
      </c>
      <c r="P28" s="6" t="s">
        <v>3499</v>
      </c>
    </row>
    <row r="29" spans="1:16" x14ac:dyDescent="0.25">
      <c r="A29" s="6" t="s">
        <v>3505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8">
        <v>7</v>
      </c>
      <c r="H29" s="8">
        <v>81305</v>
      </c>
      <c r="I29" s="8" t="s">
        <v>16</v>
      </c>
      <c r="J29" s="8">
        <v>15642094</v>
      </c>
      <c r="K29" s="8" t="s">
        <v>283</v>
      </c>
      <c r="L29" s="9" t="s">
        <v>287</v>
      </c>
      <c r="M29" s="10">
        <v>89900</v>
      </c>
      <c r="N29" s="64">
        <v>0.75</v>
      </c>
      <c r="O29" s="12">
        <f t="shared" si="1"/>
        <v>22475</v>
      </c>
      <c r="P29" s="6" t="s">
        <v>3499</v>
      </c>
    </row>
    <row r="30" spans="1:16" x14ac:dyDescent="0.25">
      <c r="A30" s="6" t="s">
        <v>3505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8">
        <v>7</v>
      </c>
      <c r="H30" s="8">
        <v>81305</v>
      </c>
      <c r="I30" s="8" t="s">
        <v>16</v>
      </c>
      <c r="J30" s="8">
        <v>15642110</v>
      </c>
      <c r="K30" s="8" t="s">
        <v>288</v>
      </c>
      <c r="L30" s="9" t="s">
        <v>289</v>
      </c>
      <c r="M30" s="10">
        <v>89900</v>
      </c>
      <c r="N30" s="64">
        <v>0.75</v>
      </c>
      <c r="O30" s="12">
        <f t="shared" si="1"/>
        <v>22475</v>
      </c>
      <c r="P30" s="6" t="s">
        <v>3499</v>
      </c>
    </row>
    <row r="31" spans="1:16" x14ac:dyDescent="0.25">
      <c r="A31" s="6" t="s">
        <v>3505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8">
        <v>7</v>
      </c>
      <c r="H31" s="8">
        <v>81305</v>
      </c>
      <c r="I31" s="8" t="s">
        <v>16</v>
      </c>
      <c r="J31" s="8">
        <v>15642129</v>
      </c>
      <c r="K31" s="8" t="s">
        <v>288</v>
      </c>
      <c r="L31" s="9" t="s">
        <v>290</v>
      </c>
      <c r="M31" s="10">
        <v>89900</v>
      </c>
      <c r="N31" s="64">
        <v>0.75</v>
      </c>
      <c r="O31" s="12">
        <f t="shared" si="1"/>
        <v>22475</v>
      </c>
      <c r="P31" s="6" t="s">
        <v>3499</v>
      </c>
    </row>
    <row r="32" spans="1:16" x14ac:dyDescent="0.25">
      <c r="A32" s="6" t="s">
        <v>3505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8">
        <v>7</v>
      </c>
      <c r="H32" s="8">
        <v>81305</v>
      </c>
      <c r="I32" s="8" t="s">
        <v>16</v>
      </c>
      <c r="J32" s="8">
        <v>15642138</v>
      </c>
      <c r="K32" s="8" t="s">
        <v>288</v>
      </c>
      <c r="L32" s="9" t="s">
        <v>291</v>
      </c>
      <c r="M32" s="10">
        <v>89900</v>
      </c>
      <c r="N32" s="64">
        <v>0.75</v>
      </c>
      <c r="O32" s="12">
        <f t="shared" si="1"/>
        <v>22475</v>
      </c>
      <c r="P32" s="6" t="s">
        <v>3499</v>
      </c>
    </row>
    <row r="33" spans="1:16" x14ac:dyDescent="0.25">
      <c r="A33" s="6" t="s">
        <v>3505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8">
        <v>7</v>
      </c>
      <c r="H33" s="8">
        <v>81305</v>
      </c>
      <c r="I33" s="8" t="s">
        <v>16</v>
      </c>
      <c r="J33" s="8">
        <v>15642147</v>
      </c>
      <c r="K33" s="8" t="s">
        <v>288</v>
      </c>
      <c r="L33" s="9" t="s">
        <v>292</v>
      </c>
      <c r="M33" s="10">
        <v>89900</v>
      </c>
      <c r="N33" s="64">
        <v>0.75</v>
      </c>
      <c r="O33" s="12">
        <f t="shared" si="1"/>
        <v>22475</v>
      </c>
      <c r="P33" s="6" t="s">
        <v>3499</v>
      </c>
    </row>
    <row r="34" spans="1:16" x14ac:dyDescent="0.25">
      <c r="A34" s="6" t="s">
        <v>3505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8">
        <v>7</v>
      </c>
      <c r="H34" s="8">
        <v>4953</v>
      </c>
      <c r="I34" s="8" t="s">
        <v>16</v>
      </c>
      <c r="J34" s="8">
        <v>15641808</v>
      </c>
      <c r="K34" s="8" t="s">
        <v>293</v>
      </c>
      <c r="L34" s="9" t="s">
        <v>294</v>
      </c>
      <c r="M34" s="10">
        <v>69900</v>
      </c>
      <c r="N34" s="64">
        <v>0.75</v>
      </c>
      <c r="O34" s="12">
        <f t="shared" si="1"/>
        <v>17475</v>
      </c>
      <c r="P34" s="6" t="s">
        <v>3499</v>
      </c>
    </row>
    <row r="35" spans="1:16" x14ac:dyDescent="0.25">
      <c r="A35" s="6" t="s">
        <v>3505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8">
        <v>7</v>
      </c>
      <c r="H35" s="8">
        <v>4953</v>
      </c>
      <c r="I35" s="8" t="s">
        <v>16</v>
      </c>
      <c r="J35" s="8">
        <v>15641817</v>
      </c>
      <c r="K35" s="8" t="s">
        <v>293</v>
      </c>
      <c r="L35" s="9" t="s">
        <v>295</v>
      </c>
      <c r="M35" s="10">
        <v>69900</v>
      </c>
      <c r="N35" s="64">
        <v>0.75</v>
      </c>
      <c r="O35" s="12">
        <f t="shared" si="1"/>
        <v>17475</v>
      </c>
      <c r="P35" s="6" t="s">
        <v>3499</v>
      </c>
    </row>
    <row r="36" spans="1:16" x14ac:dyDescent="0.25">
      <c r="A36" s="6" t="s">
        <v>3505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8">
        <v>7</v>
      </c>
      <c r="H36" s="8">
        <v>4953</v>
      </c>
      <c r="I36" s="8" t="s">
        <v>16</v>
      </c>
      <c r="J36" s="8">
        <v>15641826</v>
      </c>
      <c r="K36" s="8" t="s">
        <v>293</v>
      </c>
      <c r="L36" s="9" t="s">
        <v>296</v>
      </c>
      <c r="M36" s="10">
        <v>69900</v>
      </c>
      <c r="N36" s="64">
        <v>0.75</v>
      </c>
      <c r="O36" s="12">
        <f t="shared" si="1"/>
        <v>17475</v>
      </c>
      <c r="P36" s="6" t="s">
        <v>3499</v>
      </c>
    </row>
    <row r="37" spans="1:16" x14ac:dyDescent="0.25">
      <c r="A37" s="6" t="s">
        <v>3505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8">
        <v>7</v>
      </c>
      <c r="H37" s="8">
        <v>4953</v>
      </c>
      <c r="I37" s="8" t="s">
        <v>16</v>
      </c>
      <c r="J37" s="8">
        <v>15641835</v>
      </c>
      <c r="K37" s="8" t="s">
        <v>293</v>
      </c>
      <c r="L37" s="9" t="s">
        <v>297</v>
      </c>
      <c r="M37" s="10">
        <v>69900</v>
      </c>
      <c r="N37" s="64">
        <v>0.75</v>
      </c>
      <c r="O37" s="12">
        <f t="shared" si="1"/>
        <v>17475</v>
      </c>
      <c r="P37" s="6" t="s">
        <v>3499</v>
      </c>
    </row>
    <row r="38" spans="1:16" x14ac:dyDescent="0.25">
      <c r="A38" s="6" t="s">
        <v>3505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8">
        <v>7</v>
      </c>
      <c r="H38" s="8">
        <v>4953</v>
      </c>
      <c r="I38" s="8" t="s">
        <v>16</v>
      </c>
      <c r="J38" s="8">
        <v>14281182</v>
      </c>
      <c r="K38" s="8" t="s">
        <v>298</v>
      </c>
      <c r="L38" s="9" t="s">
        <v>299</v>
      </c>
      <c r="M38" s="10">
        <v>69900</v>
      </c>
      <c r="N38" s="64">
        <v>0.75</v>
      </c>
      <c r="O38" s="12">
        <f t="shared" si="1"/>
        <v>17475</v>
      </c>
      <c r="P38" s="6" t="s">
        <v>3499</v>
      </c>
    </row>
    <row r="39" spans="1:16" x14ac:dyDescent="0.25">
      <c r="A39" s="6" t="s">
        <v>3505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8">
        <v>7</v>
      </c>
      <c r="H39" s="8">
        <v>4953</v>
      </c>
      <c r="I39" s="8" t="s">
        <v>16</v>
      </c>
      <c r="J39" s="8">
        <v>14281191</v>
      </c>
      <c r="K39" s="8" t="s">
        <v>298</v>
      </c>
      <c r="L39" s="9" t="s">
        <v>300</v>
      </c>
      <c r="M39" s="10">
        <v>69900</v>
      </c>
      <c r="N39" s="64">
        <v>0.75</v>
      </c>
      <c r="O39" s="12">
        <f t="shared" si="1"/>
        <v>17475</v>
      </c>
      <c r="P39" s="6" t="s">
        <v>3499</v>
      </c>
    </row>
    <row r="40" spans="1:16" x14ac:dyDescent="0.25">
      <c r="A40" s="6" t="s">
        <v>3505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8">
        <v>7</v>
      </c>
      <c r="H40" s="8">
        <v>4953</v>
      </c>
      <c r="I40" s="8" t="s">
        <v>16</v>
      </c>
      <c r="J40" s="8">
        <v>14281208</v>
      </c>
      <c r="K40" s="8" t="s">
        <v>298</v>
      </c>
      <c r="L40" s="9" t="s">
        <v>301</v>
      </c>
      <c r="M40" s="10">
        <v>69900</v>
      </c>
      <c r="N40" s="64">
        <v>0.75</v>
      </c>
      <c r="O40" s="12">
        <f t="shared" si="1"/>
        <v>17475</v>
      </c>
      <c r="P40" s="6" t="s">
        <v>3499</v>
      </c>
    </row>
    <row r="41" spans="1:16" x14ac:dyDescent="0.25">
      <c r="A41" s="6" t="s">
        <v>3505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8">
        <v>7</v>
      </c>
      <c r="H41" s="8">
        <v>4953</v>
      </c>
      <c r="I41" s="8" t="s">
        <v>16</v>
      </c>
      <c r="J41" s="8">
        <v>14281217</v>
      </c>
      <c r="K41" s="8" t="s">
        <v>298</v>
      </c>
      <c r="L41" s="9" t="s">
        <v>302</v>
      </c>
      <c r="M41" s="10">
        <v>69900</v>
      </c>
      <c r="N41" s="64">
        <v>0.75</v>
      </c>
      <c r="O41" s="12">
        <f t="shared" si="1"/>
        <v>17475</v>
      </c>
      <c r="P41" s="6" t="s">
        <v>3499</v>
      </c>
    </row>
    <row r="42" spans="1:16" x14ac:dyDescent="0.25">
      <c r="A42" s="6" t="s">
        <v>3505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8">
        <v>7</v>
      </c>
      <c r="H42" s="8">
        <v>81684</v>
      </c>
      <c r="I42" s="8" t="s">
        <v>16</v>
      </c>
      <c r="J42" s="8">
        <v>11437340</v>
      </c>
      <c r="K42" s="8" t="s">
        <v>303</v>
      </c>
      <c r="L42" s="9" t="s">
        <v>304</v>
      </c>
      <c r="M42" s="10">
        <v>89900</v>
      </c>
      <c r="N42" s="64">
        <v>0.75</v>
      </c>
      <c r="O42" s="12">
        <f t="shared" si="1"/>
        <v>22475</v>
      </c>
      <c r="P42" s="6" t="s">
        <v>3499</v>
      </c>
    </row>
    <row r="43" spans="1:16" x14ac:dyDescent="0.25">
      <c r="A43" s="6" t="s">
        <v>3505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8">
        <v>7</v>
      </c>
      <c r="H43" s="8">
        <v>81684</v>
      </c>
      <c r="I43" s="8" t="s">
        <v>16</v>
      </c>
      <c r="J43" s="8">
        <v>15641380</v>
      </c>
      <c r="K43" s="8" t="s">
        <v>305</v>
      </c>
      <c r="L43" s="9" t="s">
        <v>306</v>
      </c>
      <c r="M43" s="10">
        <v>89900</v>
      </c>
      <c r="N43" s="64">
        <v>0.75</v>
      </c>
      <c r="O43" s="12">
        <f t="shared" si="1"/>
        <v>22475</v>
      </c>
      <c r="P43" s="6" t="s">
        <v>3499</v>
      </c>
    </row>
    <row r="44" spans="1:16" x14ac:dyDescent="0.25">
      <c r="A44" s="6" t="s">
        <v>3505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8">
        <v>7</v>
      </c>
      <c r="H44" s="8">
        <v>81684</v>
      </c>
      <c r="I44" s="8" t="s">
        <v>16</v>
      </c>
      <c r="J44" s="8">
        <v>15641362</v>
      </c>
      <c r="K44" s="8" t="s">
        <v>305</v>
      </c>
      <c r="L44" s="9" t="s">
        <v>307</v>
      </c>
      <c r="M44" s="10">
        <v>89900</v>
      </c>
      <c r="N44" s="64">
        <v>0.75</v>
      </c>
      <c r="O44" s="12">
        <f t="shared" si="1"/>
        <v>22475</v>
      </c>
      <c r="P44" s="6" t="s">
        <v>3499</v>
      </c>
    </row>
    <row r="45" spans="1:16" x14ac:dyDescent="0.25">
      <c r="A45" s="6" t="s">
        <v>3505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8">
        <v>7</v>
      </c>
      <c r="H45" s="8">
        <v>81684</v>
      </c>
      <c r="I45" s="8" t="s">
        <v>16</v>
      </c>
      <c r="J45" s="8">
        <v>15641371</v>
      </c>
      <c r="K45" s="8" t="s">
        <v>305</v>
      </c>
      <c r="L45" s="9" t="s">
        <v>308</v>
      </c>
      <c r="M45" s="10">
        <v>89900</v>
      </c>
      <c r="N45" s="64">
        <v>0.75</v>
      </c>
      <c r="O45" s="12">
        <f t="shared" si="1"/>
        <v>22475</v>
      </c>
      <c r="P45" s="6" t="s">
        <v>3499</v>
      </c>
    </row>
    <row r="46" spans="1:16" x14ac:dyDescent="0.25">
      <c r="A46" s="6" t="s">
        <v>3505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8">
        <v>7</v>
      </c>
      <c r="H46" s="8">
        <v>81684</v>
      </c>
      <c r="I46" s="8" t="s">
        <v>16</v>
      </c>
      <c r="J46" s="8">
        <v>15641399</v>
      </c>
      <c r="K46" s="8" t="s">
        <v>305</v>
      </c>
      <c r="L46" s="9" t="s">
        <v>309</v>
      </c>
      <c r="M46" s="10">
        <v>89900</v>
      </c>
      <c r="N46" s="64">
        <v>0.75</v>
      </c>
      <c r="O46" s="12">
        <f t="shared" si="1"/>
        <v>22475</v>
      </c>
      <c r="P46" s="6" t="s">
        <v>3499</v>
      </c>
    </row>
    <row r="47" spans="1:16" x14ac:dyDescent="0.25">
      <c r="A47" s="6" t="s">
        <v>3505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8">
        <v>7</v>
      </c>
      <c r="H47" s="8">
        <v>81684</v>
      </c>
      <c r="I47" s="8" t="s">
        <v>16</v>
      </c>
      <c r="J47" s="8">
        <v>15641406</v>
      </c>
      <c r="K47" s="8" t="s">
        <v>310</v>
      </c>
      <c r="L47" s="9" t="s">
        <v>311</v>
      </c>
      <c r="M47" s="10">
        <v>89900</v>
      </c>
      <c r="N47" s="64">
        <v>0.75</v>
      </c>
      <c r="O47" s="12">
        <f t="shared" si="1"/>
        <v>22475</v>
      </c>
      <c r="P47" s="6" t="s">
        <v>3499</v>
      </c>
    </row>
    <row r="48" spans="1:16" x14ac:dyDescent="0.25">
      <c r="A48" s="6" t="s">
        <v>3505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8">
        <v>7</v>
      </c>
      <c r="H48" s="8">
        <v>81684</v>
      </c>
      <c r="I48" s="8" t="s">
        <v>16</v>
      </c>
      <c r="J48" s="8">
        <v>15641415</v>
      </c>
      <c r="K48" s="8" t="s">
        <v>310</v>
      </c>
      <c r="L48" s="9" t="s">
        <v>312</v>
      </c>
      <c r="M48" s="10">
        <v>89900</v>
      </c>
      <c r="N48" s="64">
        <v>0.75</v>
      </c>
      <c r="O48" s="12">
        <f t="shared" si="1"/>
        <v>22475</v>
      </c>
      <c r="P48" s="6" t="s">
        <v>3499</v>
      </c>
    </row>
    <row r="49" spans="1:16" x14ac:dyDescent="0.25">
      <c r="A49" s="6" t="s">
        <v>3505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8">
        <v>7</v>
      </c>
      <c r="H49" s="8">
        <v>81684</v>
      </c>
      <c r="I49" s="8" t="s">
        <v>16</v>
      </c>
      <c r="J49" s="8">
        <v>15641424</v>
      </c>
      <c r="K49" s="8" t="s">
        <v>310</v>
      </c>
      <c r="L49" s="9" t="s">
        <v>313</v>
      </c>
      <c r="M49" s="10">
        <v>89900</v>
      </c>
      <c r="N49" s="64">
        <v>0.75</v>
      </c>
      <c r="O49" s="12">
        <f t="shared" si="1"/>
        <v>22475</v>
      </c>
      <c r="P49" s="6" t="s">
        <v>3499</v>
      </c>
    </row>
    <row r="50" spans="1:16" x14ac:dyDescent="0.25">
      <c r="A50" s="6" t="s">
        <v>3505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8">
        <v>7</v>
      </c>
      <c r="H50" s="8">
        <v>81684</v>
      </c>
      <c r="I50" s="8" t="s">
        <v>16</v>
      </c>
      <c r="J50" s="8">
        <v>15641433</v>
      </c>
      <c r="K50" s="8" t="s">
        <v>310</v>
      </c>
      <c r="L50" s="9" t="s">
        <v>314</v>
      </c>
      <c r="M50" s="10">
        <v>89900</v>
      </c>
      <c r="N50" s="64">
        <v>0.75</v>
      </c>
      <c r="O50" s="12">
        <f t="shared" si="1"/>
        <v>22475</v>
      </c>
      <c r="P50" s="6" t="s">
        <v>3499</v>
      </c>
    </row>
    <row r="51" spans="1:16" x14ac:dyDescent="0.25">
      <c r="A51" s="6" t="s">
        <v>3505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8">
        <v>7</v>
      </c>
      <c r="H51" s="8">
        <v>81684</v>
      </c>
      <c r="I51" s="8" t="s">
        <v>16</v>
      </c>
      <c r="J51" s="8">
        <v>15641442</v>
      </c>
      <c r="K51" s="8" t="s">
        <v>315</v>
      </c>
      <c r="L51" s="9" t="s">
        <v>316</v>
      </c>
      <c r="M51" s="10">
        <v>89900</v>
      </c>
      <c r="N51" s="64">
        <v>0.75</v>
      </c>
      <c r="O51" s="12">
        <f t="shared" si="1"/>
        <v>22475</v>
      </c>
      <c r="P51" s="6" t="s">
        <v>3499</v>
      </c>
    </row>
    <row r="52" spans="1:16" x14ac:dyDescent="0.25">
      <c r="A52" s="6" t="s">
        <v>3505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8">
        <v>7</v>
      </c>
      <c r="H52" s="8">
        <v>81684</v>
      </c>
      <c r="I52" s="8" t="s">
        <v>16</v>
      </c>
      <c r="J52" s="8">
        <v>15641451</v>
      </c>
      <c r="K52" s="8" t="s">
        <v>315</v>
      </c>
      <c r="L52" s="9" t="s">
        <v>317</v>
      </c>
      <c r="M52" s="10">
        <v>89900</v>
      </c>
      <c r="N52" s="64">
        <v>0.75</v>
      </c>
      <c r="O52" s="12">
        <f t="shared" si="1"/>
        <v>22475</v>
      </c>
      <c r="P52" s="6" t="s">
        <v>3499</v>
      </c>
    </row>
    <row r="53" spans="1:16" x14ac:dyDescent="0.25">
      <c r="A53" s="6" t="s">
        <v>3505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8">
        <v>7</v>
      </c>
      <c r="H53" s="8">
        <v>81684</v>
      </c>
      <c r="I53" s="8" t="s">
        <v>16</v>
      </c>
      <c r="J53" s="8">
        <v>15641460</v>
      </c>
      <c r="K53" s="8" t="s">
        <v>315</v>
      </c>
      <c r="L53" s="9" t="s">
        <v>318</v>
      </c>
      <c r="M53" s="10">
        <v>89900</v>
      </c>
      <c r="N53" s="64">
        <v>0.75</v>
      </c>
      <c r="O53" s="12">
        <f t="shared" si="1"/>
        <v>22475</v>
      </c>
      <c r="P53" s="6" t="s">
        <v>3499</v>
      </c>
    </row>
    <row r="54" spans="1:16" x14ac:dyDescent="0.25">
      <c r="A54" s="6" t="s">
        <v>3505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8">
        <v>7</v>
      </c>
      <c r="H54" s="8">
        <v>81684</v>
      </c>
      <c r="I54" s="8" t="s">
        <v>16</v>
      </c>
      <c r="J54" s="8">
        <v>15641479</v>
      </c>
      <c r="K54" s="8" t="s">
        <v>315</v>
      </c>
      <c r="L54" s="9" t="s">
        <v>319</v>
      </c>
      <c r="M54" s="10">
        <v>89900</v>
      </c>
      <c r="N54" s="64">
        <v>0.75</v>
      </c>
      <c r="O54" s="12">
        <f t="shared" si="1"/>
        <v>22475</v>
      </c>
      <c r="P54" s="6" t="s">
        <v>3499</v>
      </c>
    </row>
    <row r="55" spans="1:16" x14ac:dyDescent="0.25">
      <c r="A55" s="6" t="s">
        <v>3505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8">
        <v>7</v>
      </c>
      <c r="H55" s="8">
        <v>81684</v>
      </c>
      <c r="I55" s="8" t="s">
        <v>16</v>
      </c>
      <c r="J55" s="8">
        <v>15641488</v>
      </c>
      <c r="K55" s="8" t="s">
        <v>320</v>
      </c>
      <c r="L55" s="9" t="s">
        <v>321</v>
      </c>
      <c r="M55" s="10">
        <v>89900</v>
      </c>
      <c r="N55" s="64">
        <v>0.75</v>
      </c>
      <c r="O55" s="12">
        <f t="shared" si="1"/>
        <v>22475</v>
      </c>
      <c r="P55" s="6" t="s">
        <v>3499</v>
      </c>
    </row>
    <row r="56" spans="1:16" x14ac:dyDescent="0.25">
      <c r="A56" s="6" t="s">
        <v>3505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8">
        <v>7</v>
      </c>
      <c r="H56" s="8">
        <v>81684</v>
      </c>
      <c r="I56" s="8" t="s">
        <v>16</v>
      </c>
      <c r="J56" s="8">
        <v>15641497</v>
      </c>
      <c r="K56" s="8" t="s">
        <v>320</v>
      </c>
      <c r="L56" s="9" t="s">
        <v>322</v>
      </c>
      <c r="M56" s="10">
        <v>89900</v>
      </c>
      <c r="N56" s="64">
        <v>0.75</v>
      </c>
      <c r="O56" s="12">
        <f t="shared" si="1"/>
        <v>22475</v>
      </c>
      <c r="P56" s="6" t="s">
        <v>3499</v>
      </c>
    </row>
    <row r="57" spans="1:16" x14ac:dyDescent="0.25">
      <c r="A57" s="6" t="s">
        <v>3505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8">
        <v>7</v>
      </c>
      <c r="H57" s="8">
        <v>81684</v>
      </c>
      <c r="I57" s="8" t="s">
        <v>16</v>
      </c>
      <c r="J57" s="8">
        <v>15641504</v>
      </c>
      <c r="K57" s="8" t="s">
        <v>320</v>
      </c>
      <c r="L57" s="9" t="s">
        <v>323</v>
      </c>
      <c r="M57" s="10">
        <v>89900</v>
      </c>
      <c r="N57" s="64">
        <v>0.75</v>
      </c>
      <c r="O57" s="12">
        <f t="shared" si="1"/>
        <v>22475</v>
      </c>
      <c r="P57" s="6" t="s">
        <v>3499</v>
      </c>
    </row>
    <row r="58" spans="1:16" x14ac:dyDescent="0.25">
      <c r="A58" s="6" t="s">
        <v>3505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8">
        <v>7</v>
      </c>
      <c r="H58" s="8">
        <v>81684</v>
      </c>
      <c r="I58" s="8" t="s">
        <v>16</v>
      </c>
      <c r="J58" s="8">
        <v>15641513</v>
      </c>
      <c r="K58" s="8" t="s">
        <v>320</v>
      </c>
      <c r="L58" s="9" t="s">
        <v>324</v>
      </c>
      <c r="M58" s="10">
        <v>89900</v>
      </c>
      <c r="N58" s="64">
        <v>0.75</v>
      </c>
      <c r="O58" s="12">
        <f t="shared" si="1"/>
        <v>22475</v>
      </c>
      <c r="P58" s="6" t="s">
        <v>3499</v>
      </c>
    </row>
    <row r="59" spans="1:16" x14ac:dyDescent="0.25">
      <c r="A59" s="6" t="s">
        <v>3505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8">
        <v>7</v>
      </c>
      <c r="H59" s="8">
        <v>81684</v>
      </c>
      <c r="I59" s="8" t="s">
        <v>16</v>
      </c>
      <c r="J59" s="8">
        <v>15641522</v>
      </c>
      <c r="K59" s="8" t="s">
        <v>325</v>
      </c>
      <c r="L59" s="9" t="s">
        <v>326</v>
      </c>
      <c r="M59" s="10">
        <v>89900</v>
      </c>
      <c r="N59" s="64">
        <v>0.75</v>
      </c>
      <c r="O59" s="12">
        <f t="shared" si="1"/>
        <v>22475</v>
      </c>
      <c r="P59" s="6" t="s">
        <v>3499</v>
      </c>
    </row>
    <row r="60" spans="1:16" x14ac:dyDescent="0.25">
      <c r="A60" s="6" t="s">
        <v>3505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8">
        <v>7</v>
      </c>
      <c r="H60" s="8">
        <v>81684</v>
      </c>
      <c r="I60" s="8" t="s">
        <v>16</v>
      </c>
      <c r="J60" s="8">
        <v>15641531</v>
      </c>
      <c r="K60" s="8" t="s">
        <v>325</v>
      </c>
      <c r="L60" s="9" t="s">
        <v>327</v>
      </c>
      <c r="M60" s="10">
        <v>89900</v>
      </c>
      <c r="N60" s="64">
        <v>0.75</v>
      </c>
      <c r="O60" s="12">
        <f t="shared" si="1"/>
        <v>22475</v>
      </c>
      <c r="P60" s="6" t="s">
        <v>3499</v>
      </c>
    </row>
    <row r="61" spans="1:16" x14ac:dyDescent="0.25">
      <c r="A61" s="6" t="s">
        <v>3505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8">
        <v>7</v>
      </c>
      <c r="H61" s="8">
        <v>81684</v>
      </c>
      <c r="I61" s="8" t="s">
        <v>16</v>
      </c>
      <c r="J61" s="8">
        <v>15641540</v>
      </c>
      <c r="K61" s="8" t="s">
        <v>325</v>
      </c>
      <c r="L61" s="9" t="s">
        <v>328</v>
      </c>
      <c r="M61" s="10">
        <v>89900</v>
      </c>
      <c r="N61" s="64">
        <v>0.75</v>
      </c>
      <c r="O61" s="12">
        <f t="shared" si="1"/>
        <v>22475</v>
      </c>
      <c r="P61" s="6" t="s">
        <v>3499</v>
      </c>
    </row>
    <row r="62" spans="1:16" x14ac:dyDescent="0.25">
      <c r="A62" s="6" t="s">
        <v>3505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8">
        <v>7</v>
      </c>
      <c r="H62" s="8">
        <v>81684</v>
      </c>
      <c r="I62" s="8" t="s">
        <v>16</v>
      </c>
      <c r="J62" s="8">
        <v>15641559</v>
      </c>
      <c r="K62" s="8" t="s">
        <v>325</v>
      </c>
      <c r="L62" s="9" t="s">
        <v>329</v>
      </c>
      <c r="M62" s="10">
        <v>89900</v>
      </c>
      <c r="N62" s="64">
        <v>0.75</v>
      </c>
      <c r="O62" s="12">
        <f t="shared" si="1"/>
        <v>22475</v>
      </c>
      <c r="P62" s="6" t="s">
        <v>3499</v>
      </c>
    </row>
    <row r="63" spans="1:16" x14ac:dyDescent="0.25">
      <c r="A63" s="6" t="s">
        <v>3505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8">
        <v>7</v>
      </c>
      <c r="H63" s="8">
        <v>81684</v>
      </c>
      <c r="I63" s="8" t="s">
        <v>16</v>
      </c>
      <c r="J63" s="8">
        <v>15641844</v>
      </c>
      <c r="K63" s="8" t="s">
        <v>330</v>
      </c>
      <c r="L63" s="9" t="s">
        <v>331</v>
      </c>
      <c r="M63" s="10">
        <v>89900</v>
      </c>
      <c r="N63" s="64">
        <v>0.75</v>
      </c>
      <c r="O63" s="12">
        <f t="shared" si="1"/>
        <v>22475</v>
      </c>
      <c r="P63" s="6" t="s">
        <v>3499</v>
      </c>
    </row>
    <row r="64" spans="1:16" x14ac:dyDescent="0.25">
      <c r="A64" s="6" t="s">
        <v>3505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8">
        <v>7</v>
      </c>
      <c r="H64" s="8">
        <v>81684</v>
      </c>
      <c r="I64" s="8" t="s">
        <v>16</v>
      </c>
      <c r="J64" s="8">
        <v>15641853</v>
      </c>
      <c r="K64" s="8" t="s">
        <v>330</v>
      </c>
      <c r="L64" s="9" t="s">
        <v>332</v>
      </c>
      <c r="M64" s="10">
        <v>89900</v>
      </c>
      <c r="N64" s="64">
        <v>0.75</v>
      </c>
      <c r="O64" s="12">
        <f t="shared" si="1"/>
        <v>22475</v>
      </c>
      <c r="P64" s="6" t="s">
        <v>3499</v>
      </c>
    </row>
    <row r="65" spans="1:16" x14ac:dyDescent="0.25">
      <c r="A65" s="6" t="s">
        <v>3505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8">
        <v>7</v>
      </c>
      <c r="H65" s="8">
        <v>81684</v>
      </c>
      <c r="I65" s="8" t="s">
        <v>16</v>
      </c>
      <c r="J65" s="8">
        <v>15641862</v>
      </c>
      <c r="K65" s="8" t="s">
        <v>330</v>
      </c>
      <c r="L65" s="9" t="s">
        <v>333</v>
      </c>
      <c r="M65" s="10">
        <v>89900</v>
      </c>
      <c r="N65" s="64">
        <v>0.75</v>
      </c>
      <c r="O65" s="12">
        <f t="shared" si="1"/>
        <v>22475</v>
      </c>
      <c r="P65" s="6" t="s">
        <v>3499</v>
      </c>
    </row>
    <row r="66" spans="1:16" x14ac:dyDescent="0.25">
      <c r="A66" s="6" t="s">
        <v>3505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8">
        <v>7</v>
      </c>
      <c r="H66" s="8">
        <v>81684</v>
      </c>
      <c r="I66" s="8" t="s">
        <v>16</v>
      </c>
      <c r="J66" s="8">
        <v>15641871</v>
      </c>
      <c r="K66" s="8" t="s">
        <v>330</v>
      </c>
      <c r="L66" s="9" t="s">
        <v>334</v>
      </c>
      <c r="M66" s="10">
        <v>89900</v>
      </c>
      <c r="N66" s="64">
        <v>0.75</v>
      </c>
      <c r="O66" s="12">
        <f t="shared" si="1"/>
        <v>22475</v>
      </c>
      <c r="P66" s="6" t="s">
        <v>3499</v>
      </c>
    </row>
    <row r="67" spans="1:16" x14ac:dyDescent="0.25">
      <c r="A67" s="6" t="s">
        <v>3505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8">
        <v>7</v>
      </c>
      <c r="H67" s="8">
        <v>81684</v>
      </c>
      <c r="I67" s="8" t="s">
        <v>16</v>
      </c>
      <c r="J67" s="8">
        <v>15641880</v>
      </c>
      <c r="K67" s="8" t="s">
        <v>335</v>
      </c>
      <c r="L67" s="9" t="s">
        <v>336</v>
      </c>
      <c r="M67" s="10">
        <v>89900</v>
      </c>
      <c r="N67" s="64">
        <v>0.75</v>
      </c>
      <c r="O67" s="12">
        <f t="shared" ref="O67:O130" si="2">M67-((75*M67)/100)</f>
        <v>22475</v>
      </c>
      <c r="P67" s="6" t="s">
        <v>3499</v>
      </c>
    </row>
    <row r="68" spans="1:16" x14ac:dyDescent="0.25">
      <c r="A68" s="6" t="s">
        <v>3505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8">
        <v>7</v>
      </c>
      <c r="H68" s="8">
        <v>81684</v>
      </c>
      <c r="I68" s="8" t="s">
        <v>16</v>
      </c>
      <c r="J68" s="8">
        <v>15641899</v>
      </c>
      <c r="K68" s="8" t="s">
        <v>335</v>
      </c>
      <c r="L68" s="9" t="s">
        <v>337</v>
      </c>
      <c r="M68" s="10">
        <v>89900</v>
      </c>
      <c r="N68" s="64">
        <v>0.75</v>
      </c>
      <c r="O68" s="12">
        <f t="shared" si="2"/>
        <v>22475</v>
      </c>
      <c r="P68" s="6" t="s">
        <v>3499</v>
      </c>
    </row>
    <row r="69" spans="1:16" x14ac:dyDescent="0.25">
      <c r="A69" s="6" t="s">
        <v>3505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8">
        <v>7</v>
      </c>
      <c r="H69" s="8">
        <v>81684</v>
      </c>
      <c r="I69" s="8" t="s">
        <v>16</v>
      </c>
      <c r="J69" s="8">
        <v>15641906</v>
      </c>
      <c r="K69" s="8" t="s">
        <v>335</v>
      </c>
      <c r="L69" s="9" t="s">
        <v>338</v>
      </c>
      <c r="M69" s="10">
        <v>89900</v>
      </c>
      <c r="N69" s="64">
        <v>0.75</v>
      </c>
      <c r="O69" s="12">
        <f t="shared" si="2"/>
        <v>22475</v>
      </c>
      <c r="P69" s="6" t="s">
        <v>3499</v>
      </c>
    </row>
    <row r="70" spans="1:16" x14ac:dyDescent="0.25">
      <c r="A70" s="6" t="s">
        <v>3505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8">
        <v>7</v>
      </c>
      <c r="H70" s="8">
        <v>81684</v>
      </c>
      <c r="I70" s="8" t="s">
        <v>16</v>
      </c>
      <c r="J70" s="8">
        <v>15641915</v>
      </c>
      <c r="K70" s="8" t="s">
        <v>335</v>
      </c>
      <c r="L70" s="9" t="s">
        <v>339</v>
      </c>
      <c r="M70" s="10">
        <v>89900</v>
      </c>
      <c r="N70" s="64">
        <v>0.75</v>
      </c>
      <c r="O70" s="12">
        <f t="shared" si="2"/>
        <v>22475</v>
      </c>
      <c r="P70" s="6" t="s">
        <v>3499</v>
      </c>
    </row>
    <row r="71" spans="1:16" x14ac:dyDescent="0.25">
      <c r="A71" s="6" t="s">
        <v>3505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8">
        <v>7</v>
      </c>
      <c r="H71" s="8">
        <v>81684</v>
      </c>
      <c r="I71" s="8" t="s">
        <v>16</v>
      </c>
      <c r="J71" s="8">
        <v>15641924</v>
      </c>
      <c r="K71" s="8" t="s">
        <v>340</v>
      </c>
      <c r="L71" s="9" t="s">
        <v>341</v>
      </c>
      <c r="M71" s="10">
        <v>89900</v>
      </c>
      <c r="N71" s="64">
        <v>0.75</v>
      </c>
      <c r="O71" s="12">
        <f t="shared" si="2"/>
        <v>22475</v>
      </c>
      <c r="P71" s="6" t="s">
        <v>3499</v>
      </c>
    </row>
    <row r="72" spans="1:16" x14ac:dyDescent="0.25">
      <c r="A72" s="6" t="s">
        <v>3505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8">
        <v>7</v>
      </c>
      <c r="H72" s="8">
        <v>81684</v>
      </c>
      <c r="I72" s="8" t="s">
        <v>16</v>
      </c>
      <c r="J72" s="8">
        <v>15641933</v>
      </c>
      <c r="K72" s="8" t="s">
        <v>340</v>
      </c>
      <c r="L72" s="9" t="s">
        <v>342</v>
      </c>
      <c r="M72" s="10">
        <v>89900</v>
      </c>
      <c r="N72" s="64">
        <v>0.75</v>
      </c>
      <c r="O72" s="12">
        <f t="shared" si="2"/>
        <v>22475</v>
      </c>
      <c r="P72" s="6" t="s">
        <v>3499</v>
      </c>
    </row>
    <row r="73" spans="1:16" x14ac:dyDescent="0.25">
      <c r="A73" s="6" t="s">
        <v>3505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8">
        <v>7</v>
      </c>
      <c r="H73" s="8">
        <v>81684</v>
      </c>
      <c r="I73" s="8" t="s">
        <v>16</v>
      </c>
      <c r="J73" s="8">
        <v>15641942</v>
      </c>
      <c r="K73" s="8" t="s">
        <v>340</v>
      </c>
      <c r="L73" s="9" t="s">
        <v>343</v>
      </c>
      <c r="M73" s="10">
        <v>89900</v>
      </c>
      <c r="N73" s="64">
        <v>0.75</v>
      </c>
      <c r="O73" s="12">
        <f t="shared" si="2"/>
        <v>22475</v>
      </c>
      <c r="P73" s="6" t="s">
        <v>3499</v>
      </c>
    </row>
    <row r="74" spans="1:16" x14ac:dyDescent="0.25">
      <c r="A74" s="6" t="s">
        <v>3505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8">
        <v>7</v>
      </c>
      <c r="H74" s="8">
        <v>81684</v>
      </c>
      <c r="I74" s="8" t="s">
        <v>16</v>
      </c>
      <c r="J74" s="8">
        <v>15641951</v>
      </c>
      <c r="K74" s="8" t="s">
        <v>340</v>
      </c>
      <c r="L74" s="9" t="s">
        <v>344</v>
      </c>
      <c r="M74" s="10">
        <v>89900</v>
      </c>
      <c r="N74" s="64">
        <v>0.75</v>
      </c>
      <c r="O74" s="12">
        <f t="shared" si="2"/>
        <v>22475</v>
      </c>
      <c r="P74" s="6" t="s">
        <v>3499</v>
      </c>
    </row>
    <row r="75" spans="1:16" x14ac:dyDescent="0.25">
      <c r="A75" s="6" t="s">
        <v>3505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8">
        <v>7</v>
      </c>
      <c r="H75" s="8">
        <v>81684</v>
      </c>
      <c r="I75" s="8" t="s">
        <v>16</v>
      </c>
      <c r="J75" s="8">
        <v>15641960</v>
      </c>
      <c r="K75" s="8" t="s">
        <v>345</v>
      </c>
      <c r="L75" s="9" t="s">
        <v>346</v>
      </c>
      <c r="M75" s="10">
        <v>89900</v>
      </c>
      <c r="N75" s="64">
        <v>0.75</v>
      </c>
      <c r="O75" s="12">
        <f t="shared" si="2"/>
        <v>22475</v>
      </c>
      <c r="P75" s="6" t="s">
        <v>3499</v>
      </c>
    </row>
    <row r="76" spans="1:16" x14ac:dyDescent="0.25">
      <c r="A76" s="6" t="s">
        <v>3505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8">
        <v>7</v>
      </c>
      <c r="H76" s="8">
        <v>81684</v>
      </c>
      <c r="I76" s="8" t="s">
        <v>16</v>
      </c>
      <c r="J76" s="8">
        <v>15641979</v>
      </c>
      <c r="K76" s="8" t="s">
        <v>345</v>
      </c>
      <c r="L76" s="9" t="s">
        <v>347</v>
      </c>
      <c r="M76" s="10">
        <v>89900</v>
      </c>
      <c r="N76" s="64">
        <v>0.75</v>
      </c>
      <c r="O76" s="12">
        <f t="shared" si="2"/>
        <v>22475</v>
      </c>
      <c r="P76" s="6" t="s">
        <v>3499</v>
      </c>
    </row>
    <row r="77" spans="1:16" x14ac:dyDescent="0.25">
      <c r="A77" s="6" t="s">
        <v>3505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8">
        <v>7</v>
      </c>
      <c r="H77" s="8">
        <v>81684</v>
      </c>
      <c r="I77" s="8" t="s">
        <v>16</v>
      </c>
      <c r="J77" s="8">
        <v>15641988</v>
      </c>
      <c r="K77" s="8" t="s">
        <v>345</v>
      </c>
      <c r="L77" s="9" t="s">
        <v>348</v>
      </c>
      <c r="M77" s="10">
        <v>89900</v>
      </c>
      <c r="N77" s="64">
        <v>0.75</v>
      </c>
      <c r="O77" s="12">
        <f t="shared" si="2"/>
        <v>22475</v>
      </c>
      <c r="P77" s="6" t="s">
        <v>3499</v>
      </c>
    </row>
    <row r="78" spans="1:16" x14ac:dyDescent="0.25">
      <c r="A78" s="6" t="s">
        <v>3505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8">
        <v>7</v>
      </c>
      <c r="H78" s="8">
        <v>81684</v>
      </c>
      <c r="I78" s="8" t="s">
        <v>16</v>
      </c>
      <c r="J78" s="8">
        <v>15641997</v>
      </c>
      <c r="K78" s="8" t="s">
        <v>345</v>
      </c>
      <c r="L78" s="9" t="s">
        <v>349</v>
      </c>
      <c r="M78" s="10">
        <v>89900</v>
      </c>
      <c r="N78" s="64">
        <v>0.75</v>
      </c>
      <c r="O78" s="12">
        <f t="shared" si="2"/>
        <v>22475</v>
      </c>
      <c r="P78" s="6" t="s">
        <v>3499</v>
      </c>
    </row>
    <row r="79" spans="1:16" x14ac:dyDescent="0.25">
      <c r="A79" s="6" t="s">
        <v>3505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8">
        <v>7</v>
      </c>
      <c r="H79" s="8">
        <v>81684</v>
      </c>
      <c r="I79" s="8" t="s">
        <v>16</v>
      </c>
      <c r="J79" s="8">
        <v>11437322</v>
      </c>
      <c r="K79" s="8" t="s">
        <v>303</v>
      </c>
      <c r="L79" s="9" t="s">
        <v>350</v>
      </c>
      <c r="M79" s="10">
        <v>89900</v>
      </c>
      <c r="N79" s="64">
        <v>0.75</v>
      </c>
      <c r="O79" s="12">
        <f t="shared" si="2"/>
        <v>22475</v>
      </c>
      <c r="P79" s="6" t="s">
        <v>3499</v>
      </c>
    </row>
    <row r="80" spans="1:16" x14ac:dyDescent="0.25">
      <c r="A80" s="6" t="s">
        <v>3505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8">
        <v>7</v>
      </c>
      <c r="H80" s="8">
        <v>81684</v>
      </c>
      <c r="I80" s="8" t="s">
        <v>16</v>
      </c>
      <c r="J80" s="8">
        <v>11437331</v>
      </c>
      <c r="K80" s="8" t="s">
        <v>303</v>
      </c>
      <c r="L80" s="9" t="s">
        <v>351</v>
      </c>
      <c r="M80" s="10">
        <v>89900</v>
      </c>
      <c r="N80" s="64">
        <v>0.75</v>
      </c>
      <c r="O80" s="12">
        <f t="shared" si="2"/>
        <v>22475</v>
      </c>
      <c r="P80" s="6" t="s">
        <v>3499</v>
      </c>
    </row>
    <row r="81" spans="1:16" x14ac:dyDescent="0.25">
      <c r="A81" s="6" t="s">
        <v>3505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8">
        <v>7</v>
      </c>
      <c r="H81" s="8">
        <v>81684</v>
      </c>
      <c r="I81" s="8" t="s">
        <v>16</v>
      </c>
      <c r="J81" s="8">
        <v>11437359</v>
      </c>
      <c r="K81" s="8" t="s">
        <v>303</v>
      </c>
      <c r="L81" s="9" t="s">
        <v>352</v>
      </c>
      <c r="M81" s="10">
        <v>89900</v>
      </c>
      <c r="N81" s="64">
        <v>0.75</v>
      </c>
      <c r="O81" s="12">
        <f t="shared" si="2"/>
        <v>22475</v>
      </c>
      <c r="P81" s="6" t="s">
        <v>3499</v>
      </c>
    </row>
    <row r="82" spans="1:16" x14ac:dyDescent="0.25">
      <c r="A82" s="6" t="s">
        <v>3505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7</v>
      </c>
      <c r="H82" s="6">
        <v>81305</v>
      </c>
      <c r="I82" s="6" t="s">
        <v>16</v>
      </c>
      <c r="J82" s="6">
        <v>83708805</v>
      </c>
      <c r="K82" s="6" t="s">
        <v>353</v>
      </c>
      <c r="L82" s="13" t="s">
        <v>354</v>
      </c>
      <c r="M82" s="14">
        <v>89900</v>
      </c>
      <c r="N82" s="64">
        <v>0.75</v>
      </c>
      <c r="O82" s="12">
        <f t="shared" si="2"/>
        <v>22475</v>
      </c>
      <c r="P82" s="6" t="s">
        <v>3499</v>
      </c>
    </row>
    <row r="83" spans="1:16" x14ac:dyDescent="0.25">
      <c r="A83" s="6" t="s">
        <v>3505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7</v>
      </c>
      <c r="H83" s="6">
        <v>81305</v>
      </c>
      <c r="I83" s="6" t="s">
        <v>16</v>
      </c>
      <c r="J83" s="6">
        <v>83708814</v>
      </c>
      <c r="K83" s="6" t="s">
        <v>353</v>
      </c>
      <c r="L83" s="13" t="s">
        <v>355</v>
      </c>
      <c r="M83" s="14">
        <v>89900</v>
      </c>
      <c r="N83" s="64">
        <v>0.75</v>
      </c>
      <c r="O83" s="12">
        <f t="shared" si="2"/>
        <v>22475</v>
      </c>
      <c r="P83" s="6" t="s">
        <v>3499</v>
      </c>
    </row>
    <row r="84" spans="1:16" x14ac:dyDescent="0.25">
      <c r="A84" s="6" t="s">
        <v>3505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7</v>
      </c>
      <c r="H84" s="6">
        <v>81305</v>
      </c>
      <c r="I84" s="6" t="s">
        <v>16</v>
      </c>
      <c r="J84" s="6">
        <v>83708823</v>
      </c>
      <c r="K84" s="6" t="s">
        <v>353</v>
      </c>
      <c r="L84" s="13" t="s">
        <v>356</v>
      </c>
      <c r="M84" s="14">
        <v>89900</v>
      </c>
      <c r="N84" s="64">
        <v>0.75</v>
      </c>
      <c r="O84" s="12">
        <f t="shared" si="2"/>
        <v>22475</v>
      </c>
      <c r="P84" s="6" t="s">
        <v>3499</v>
      </c>
    </row>
    <row r="85" spans="1:16" x14ac:dyDescent="0.25">
      <c r="A85" s="6" t="s">
        <v>3505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7</v>
      </c>
      <c r="H85" s="6">
        <v>81305</v>
      </c>
      <c r="I85" s="6" t="s">
        <v>16</v>
      </c>
      <c r="J85" s="6">
        <v>83708832</v>
      </c>
      <c r="K85" s="6" t="s">
        <v>353</v>
      </c>
      <c r="L85" s="13" t="s">
        <v>357</v>
      </c>
      <c r="M85" s="14">
        <v>89900</v>
      </c>
      <c r="N85" s="64">
        <v>0.75</v>
      </c>
      <c r="O85" s="12">
        <f t="shared" si="2"/>
        <v>22475</v>
      </c>
      <c r="P85" s="6" t="s">
        <v>3499</v>
      </c>
    </row>
    <row r="86" spans="1:16" x14ac:dyDescent="0.25">
      <c r="A86" s="6" t="s">
        <v>3505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7</v>
      </c>
      <c r="H86" s="6">
        <v>81305</v>
      </c>
      <c r="I86" s="6" t="s">
        <v>16</v>
      </c>
      <c r="J86" s="6">
        <v>16584637</v>
      </c>
      <c r="K86" s="6" t="s">
        <v>358</v>
      </c>
      <c r="L86" s="13" t="s">
        <v>359</v>
      </c>
      <c r="M86" s="14">
        <v>89900</v>
      </c>
      <c r="N86" s="64">
        <v>0.75</v>
      </c>
      <c r="O86" s="12">
        <f t="shared" si="2"/>
        <v>22475</v>
      </c>
      <c r="P86" s="6" t="s">
        <v>3499</v>
      </c>
    </row>
    <row r="87" spans="1:16" x14ac:dyDescent="0.25">
      <c r="A87" s="6" t="s">
        <v>3505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7</v>
      </c>
      <c r="H87" s="6">
        <v>81305</v>
      </c>
      <c r="I87" s="6" t="s">
        <v>16</v>
      </c>
      <c r="J87" s="6">
        <v>16584575</v>
      </c>
      <c r="K87" s="6" t="s">
        <v>360</v>
      </c>
      <c r="L87" s="13" t="s">
        <v>361</v>
      </c>
      <c r="M87" s="14">
        <v>89900</v>
      </c>
      <c r="N87" s="64">
        <v>0.75</v>
      </c>
      <c r="O87" s="12">
        <f t="shared" si="2"/>
        <v>22475</v>
      </c>
      <c r="P87" s="6" t="s">
        <v>3499</v>
      </c>
    </row>
    <row r="88" spans="1:16" x14ac:dyDescent="0.25">
      <c r="A88" s="6" t="s">
        <v>3505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7</v>
      </c>
      <c r="H88" s="6">
        <v>81305</v>
      </c>
      <c r="I88" s="6" t="s">
        <v>16</v>
      </c>
      <c r="J88" s="6">
        <v>16584584</v>
      </c>
      <c r="K88" s="6" t="s">
        <v>360</v>
      </c>
      <c r="L88" s="13" t="s">
        <v>362</v>
      </c>
      <c r="M88" s="14">
        <v>89900</v>
      </c>
      <c r="N88" s="64">
        <v>0.75</v>
      </c>
      <c r="O88" s="12">
        <f t="shared" si="2"/>
        <v>22475</v>
      </c>
      <c r="P88" s="6" t="s">
        <v>3499</v>
      </c>
    </row>
    <row r="89" spans="1:16" x14ac:dyDescent="0.25">
      <c r="A89" s="6" t="s">
        <v>3505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7</v>
      </c>
      <c r="H89" s="6">
        <v>81305</v>
      </c>
      <c r="I89" s="6" t="s">
        <v>16</v>
      </c>
      <c r="J89" s="6">
        <v>16584593</v>
      </c>
      <c r="K89" s="6" t="s">
        <v>360</v>
      </c>
      <c r="L89" s="13" t="s">
        <v>363</v>
      </c>
      <c r="M89" s="14">
        <v>89900</v>
      </c>
      <c r="N89" s="64">
        <v>0.75</v>
      </c>
      <c r="O89" s="12">
        <f t="shared" si="2"/>
        <v>22475</v>
      </c>
      <c r="P89" s="6" t="s">
        <v>3499</v>
      </c>
    </row>
    <row r="90" spans="1:16" x14ac:dyDescent="0.25">
      <c r="A90" s="6" t="s">
        <v>3505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7</v>
      </c>
      <c r="H90" s="6">
        <v>81305</v>
      </c>
      <c r="I90" s="6" t="s">
        <v>16</v>
      </c>
      <c r="J90" s="6">
        <v>16584600</v>
      </c>
      <c r="K90" s="6" t="s">
        <v>360</v>
      </c>
      <c r="L90" s="13" t="s">
        <v>364</v>
      </c>
      <c r="M90" s="14">
        <v>89900</v>
      </c>
      <c r="N90" s="64">
        <v>0.75</v>
      </c>
      <c r="O90" s="12">
        <f t="shared" si="2"/>
        <v>22475</v>
      </c>
      <c r="P90" s="6" t="s">
        <v>3499</v>
      </c>
    </row>
    <row r="91" spans="1:16" x14ac:dyDescent="0.25">
      <c r="A91" s="6" t="s">
        <v>3505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7</v>
      </c>
      <c r="H91" s="6">
        <v>81305</v>
      </c>
      <c r="I91" s="6" t="s">
        <v>16</v>
      </c>
      <c r="J91" s="6">
        <v>16584655</v>
      </c>
      <c r="K91" s="6" t="s">
        <v>365</v>
      </c>
      <c r="L91" s="13" t="s">
        <v>366</v>
      </c>
      <c r="M91" s="14">
        <v>89900</v>
      </c>
      <c r="N91" s="64">
        <v>0.75</v>
      </c>
      <c r="O91" s="12">
        <f t="shared" si="2"/>
        <v>22475</v>
      </c>
      <c r="P91" s="6" t="s">
        <v>3499</v>
      </c>
    </row>
    <row r="92" spans="1:16" x14ac:dyDescent="0.25">
      <c r="A92" s="6" t="s">
        <v>3505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7</v>
      </c>
      <c r="H92" s="6">
        <v>81305</v>
      </c>
      <c r="I92" s="6" t="s">
        <v>16</v>
      </c>
      <c r="J92" s="6">
        <v>16584539</v>
      </c>
      <c r="K92" s="6" t="s">
        <v>367</v>
      </c>
      <c r="L92" s="13" t="s">
        <v>368</v>
      </c>
      <c r="M92" s="14">
        <v>89900</v>
      </c>
      <c r="N92" s="64">
        <v>0.75</v>
      </c>
      <c r="O92" s="12">
        <f t="shared" si="2"/>
        <v>22475</v>
      </c>
      <c r="P92" s="6" t="s">
        <v>3499</v>
      </c>
    </row>
    <row r="93" spans="1:16" x14ac:dyDescent="0.25">
      <c r="A93" s="6" t="s">
        <v>3505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7</v>
      </c>
      <c r="H93" s="6">
        <v>81305</v>
      </c>
      <c r="I93" s="6" t="s">
        <v>16</v>
      </c>
      <c r="J93" s="6">
        <v>16584548</v>
      </c>
      <c r="K93" s="6" t="s">
        <v>367</v>
      </c>
      <c r="L93" s="13" t="s">
        <v>369</v>
      </c>
      <c r="M93" s="14">
        <v>89900</v>
      </c>
      <c r="N93" s="64">
        <v>0.75</v>
      </c>
      <c r="O93" s="12">
        <f t="shared" si="2"/>
        <v>22475</v>
      </c>
      <c r="P93" s="6" t="s">
        <v>3499</v>
      </c>
    </row>
    <row r="94" spans="1:16" x14ac:dyDescent="0.25">
      <c r="A94" s="6" t="s">
        <v>3505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7</v>
      </c>
      <c r="H94" s="6">
        <v>81305</v>
      </c>
      <c r="I94" s="6" t="s">
        <v>16</v>
      </c>
      <c r="J94" s="6">
        <v>16584557</v>
      </c>
      <c r="K94" s="6" t="s">
        <v>367</v>
      </c>
      <c r="L94" s="13" t="s">
        <v>370</v>
      </c>
      <c r="M94" s="14">
        <v>89900</v>
      </c>
      <c r="N94" s="64">
        <v>0.75</v>
      </c>
      <c r="O94" s="12">
        <f t="shared" si="2"/>
        <v>22475</v>
      </c>
      <c r="P94" s="6" t="s">
        <v>3499</v>
      </c>
    </row>
    <row r="95" spans="1:16" x14ac:dyDescent="0.25">
      <c r="A95" s="6" t="s">
        <v>3505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7</v>
      </c>
      <c r="H95" s="6">
        <v>81305</v>
      </c>
      <c r="I95" s="6" t="s">
        <v>16</v>
      </c>
      <c r="J95" s="6">
        <v>16584566</v>
      </c>
      <c r="K95" s="6" t="s">
        <v>367</v>
      </c>
      <c r="L95" s="13" t="s">
        <v>371</v>
      </c>
      <c r="M95" s="14">
        <v>89900</v>
      </c>
      <c r="N95" s="64">
        <v>0.75</v>
      </c>
      <c r="O95" s="12">
        <f t="shared" si="2"/>
        <v>22475</v>
      </c>
      <c r="P95" s="6" t="s">
        <v>3499</v>
      </c>
    </row>
    <row r="96" spans="1:16" x14ac:dyDescent="0.25">
      <c r="A96" s="6" t="s">
        <v>3505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7</v>
      </c>
      <c r="H96" s="6">
        <v>81305</v>
      </c>
      <c r="I96" s="6" t="s">
        <v>16</v>
      </c>
      <c r="J96" s="6">
        <v>16584619</v>
      </c>
      <c r="K96" s="6" t="s">
        <v>358</v>
      </c>
      <c r="L96" s="13" t="s">
        <v>372</v>
      </c>
      <c r="M96" s="14">
        <v>89900</v>
      </c>
      <c r="N96" s="64">
        <v>0.75</v>
      </c>
      <c r="O96" s="12">
        <f t="shared" si="2"/>
        <v>22475</v>
      </c>
      <c r="P96" s="6" t="s">
        <v>3499</v>
      </c>
    </row>
    <row r="97" spans="1:16" x14ac:dyDescent="0.25">
      <c r="A97" s="6" t="s">
        <v>3505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7</v>
      </c>
      <c r="H97" s="6">
        <v>81305</v>
      </c>
      <c r="I97" s="6" t="s">
        <v>16</v>
      </c>
      <c r="J97" s="6">
        <v>16584628</v>
      </c>
      <c r="K97" s="6" t="s">
        <v>358</v>
      </c>
      <c r="L97" s="13" t="s">
        <v>373</v>
      </c>
      <c r="M97" s="14">
        <v>89900</v>
      </c>
      <c r="N97" s="64">
        <v>0.75</v>
      </c>
      <c r="O97" s="12">
        <f t="shared" si="2"/>
        <v>22475</v>
      </c>
      <c r="P97" s="6" t="s">
        <v>3499</v>
      </c>
    </row>
    <row r="98" spans="1:16" x14ac:dyDescent="0.25">
      <c r="A98" s="6" t="s">
        <v>3505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7</v>
      </c>
      <c r="H98" s="6">
        <v>81305</v>
      </c>
      <c r="I98" s="6" t="s">
        <v>16</v>
      </c>
      <c r="J98" s="6">
        <v>16584646</v>
      </c>
      <c r="K98" s="6" t="s">
        <v>358</v>
      </c>
      <c r="L98" s="13" t="s">
        <v>374</v>
      </c>
      <c r="M98" s="14">
        <v>89900</v>
      </c>
      <c r="N98" s="64">
        <v>0.75</v>
      </c>
      <c r="O98" s="12">
        <f t="shared" si="2"/>
        <v>22475</v>
      </c>
      <c r="P98" s="6" t="s">
        <v>3499</v>
      </c>
    </row>
    <row r="99" spans="1:16" x14ac:dyDescent="0.25">
      <c r="A99" s="6" t="s">
        <v>3505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7</v>
      </c>
      <c r="H99" s="6">
        <v>81305</v>
      </c>
      <c r="I99" s="6" t="s">
        <v>16</v>
      </c>
      <c r="J99" s="6">
        <v>16584664</v>
      </c>
      <c r="K99" s="6" t="s">
        <v>365</v>
      </c>
      <c r="L99" s="13" t="s">
        <v>375</v>
      </c>
      <c r="M99" s="14">
        <v>89900</v>
      </c>
      <c r="N99" s="64">
        <v>0.75</v>
      </c>
      <c r="O99" s="12">
        <f t="shared" si="2"/>
        <v>22475</v>
      </c>
      <c r="P99" s="6" t="s">
        <v>3499</v>
      </c>
    </row>
    <row r="100" spans="1:16" x14ac:dyDescent="0.25">
      <c r="A100" s="6" t="s">
        <v>3505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7</v>
      </c>
      <c r="H100" s="6">
        <v>81305</v>
      </c>
      <c r="I100" s="6" t="s">
        <v>16</v>
      </c>
      <c r="J100" s="6">
        <v>16584673</v>
      </c>
      <c r="K100" s="6" t="s">
        <v>365</v>
      </c>
      <c r="L100" s="13" t="s">
        <v>376</v>
      </c>
      <c r="M100" s="14">
        <v>89900</v>
      </c>
      <c r="N100" s="64">
        <v>0.75</v>
      </c>
      <c r="O100" s="12">
        <f t="shared" si="2"/>
        <v>22475</v>
      </c>
      <c r="P100" s="6" t="s">
        <v>3499</v>
      </c>
    </row>
    <row r="101" spans="1:16" x14ac:dyDescent="0.25">
      <c r="A101" s="6" t="s">
        <v>3505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7</v>
      </c>
      <c r="H101" s="6">
        <v>81305</v>
      </c>
      <c r="I101" s="6" t="s">
        <v>16</v>
      </c>
      <c r="J101" s="6">
        <v>16584691</v>
      </c>
      <c r="K101" s="6" t="s">
        <v>365</v>
      </c>
      <c r="L101" s="13" t="s">
        <v>377</v>
      </c>
      <c r="M101" s="14">
        <v>89900</v>
      </c>
      <c r="N101" s="64">
        <v>0.75</v>
      </c>
      <c r="O101" s="12">
        <f t="shared" si="2"/>
        <v>22475</v>
      </c>
      <c r="P101" s="6" t="s">
        <v>3499</v>
      </c>
    </row>
    <row r="102" spans="1:16" x14ac:dyDescent="0.25">
      <c r="A102" s="6" t="s">
        <v>3505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7</v>
      </c>
      <c r="H102" s="6">
        <v>4953</v>
      </c>
      <c r="I102" s="6" t="s">
        <v>16</v>
      </c>
      <c r="J102" s="6">
        <v>16801642</v>
      </c>
      <c r="K102" s="6" t="s">
        <v>378</v>
      </c>
      <c r="L102" s="13" t="s">
        <v>379</v>
      </c>
      <c r="M102" s="14">
        <v>89900</v>
      </c>
      <c r="N102" s="64">
        <v>0.75</v>
      </c>
      <c r="O102" s="12">
        <f t="shared" si="2"/>
        <v>22475</v>
      </c>
      <c r="P102" s="6" t="s">
        <v>3499</v>
      </c>
    </row>
    <row r="103" spans="1:16" x14ac:dyDescent="0.25">
      <c r="A103" s="6" t="s">
        <v>3505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7</v>
      </c>
      <c r="H103" s="6">
        <v>4953</v>
      </c>
      <c r="I103" s="6" t="s">
        <v>16</v>
      </c>
      <c r="J103" s="6">
        <v>16801633</v>
      </c>
      <c r="K103" s="6" t="s">
        <v>378</v>
      </c>
      <c r="L103" s="13" t="s">
        <v>380</v>
      </c>
      <c r="M103" s="14">
        <v>89900</v>
      </c>
      <c r="N103" s="64">
        <v>0.75</v>
      </c>
      <c r="O103" s="12">
        <f t="shared" si="2"/>
        <v>22475</v>
      </c>
      <c r="P103" s="6" t="s">
        <v>3499</v>
      </c>
    </row>
    <row r="104" spans="1:16" x14ac:dyDescent="0.25">
      <c r="A104" s="6" t="s">
        <v>3505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7</v>
      </c>
      <c r="H104" s="6">
        <v>4953</v>
      </c>
      <c r="I104" s="6" t="s">
        <v>16</v>
      </c>
      <c r="J104" s="6">
        <v>16801580</v>
      </c>
      <c r="K104" s="6" t="s">
        <v>381</v>
      </c>
      <c r="L104" s="13" t="s">
        <v>382</v>
      </c>
      <c r="M104" s="14">
        <v>89900</v>
      </c>
      <c r="N104" s="64">
        <v>0.75</v>
      </c>
      <c r="O104" s="12">
        <f t="shared" si="2"/>
        <v>22475</v>
      </c>
      <c r="P104" s="6" t="s">
        <v>3499</v>
      </c>
    </row>
    <row r="105" spans="1:16" x14ac:dyDescent="0.25">
      <c r="A105" s="6" t="s">
        <v>3505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7</v>
      </c>
      <c r="H105" s="6">
        <v>4953</v>
      </c>
      <c r="I105" s="6" t="s">
        <v>16</v>
      </c>
      <c r="J105" s="6">
        <v>16801606</v>
      </c>
      <c r="K105" s="6" t="s">
        <v>381</v>
      </c>
      <c r="L105" s="13" t="s">
        <v>383</v>
      </c>
      <c r="M105" s="14">
        <v>89900</v>
      </c>
      <c r="N105" s="64">
        <v>0.75</v>
      </c>
      <c r="O105" s="12">
        <f t="shared" si="2"/>
        <v>22475</v>
      </c>
      <c r="P105" s="6" t="s">
        <v>3499</v>
      </c>
    </row>
    <row r="106" spans="1:16" x14ac:dyDescent="0.25">
      <c r="A106" s="6" t="s">
        <v>3505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6">
        <v>7</v>
      </c>
      <c r="H106" s="6">
        <v>4953</v>
      </c>
      <c r="I106" s="6" t="s">
        <v>16</v>
      </c>
      <c r="J106" s="6">
        <v>16801615</v>
      </c>
      <c r="K106" s="6" t="s">
        <v>381</v>
      </c>
      <c r="L106" s="13" t="s">
        <v>384</v>
      </c>
      <c r="M106" s="14">
        <v>89900</v>
      </c>
      <c r="N106" s="64">
        <v>0.75</v>
      </c>
      <c r="O106" s="12">
        <f t="shared" si="2"/>
        <v>22475</v>
      </c>
      <c r="P106" s="6" t="s">
        <v>3499</v>
      </c>
    </row>
    <row r="107" spans="1:16" x14ac:dyDescent="0.25">
      <c r="A107" s="6" t="s">
        <v>3505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6">
        <v>7</v>
      </c>
      <c r="H107" s="6">
        <v>4953</v>
      </c>
      <c r="I107" s="6" t="s">
        <v>16</v>
      </c>
      <c r="J107" s="6">
        <v>15641773</v>
      </c>
      <c r="K107" s="6" t="s">
        <v>385</v>
      </c>
      <c r="L107" s="13" t="s">
        <v>386</v>
      </c>
      <c r="M107" s="14">
        <v>69900</v>
      </c>
      <c r="N107" s="64">
        <v>0.75</v>
      </c>
      <c r="O107" s="12">
        <f t="shared" si="2"/>
        <v>17475</v>
      </c>
      <c r="P107" s="6" t="s">
        <v>3499</v>
      </c>
    </row>
    <row r="108" spans="1:16" x14ac:dyDescent="0.25">
      <c r="A108" s="6" t="s">
        <v>3505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6">
        <v>7</v>
      </c>
      <c r="H108" s="6">
        <v>4953</v>
      </c>
      <c r="I108" s="6" t="s">
        <v>16</v>
      </c>
      <c r="J108" s="6">
        <v>16584940</v>
      </c>
      <c r="K108" s="6" t="s">
        <v>387</v>
      </c>
      <c r="L108" s="13" t="s">
        <v>388</v>
      </c>
      <c r="M108" s="14">
        <v>89900</v>
      </c>
      <c r="N108" s="64">
        <v>0.75</v>
      </c>
      <c r="O108" s="12">
        <f t="shared" si="2"/>
        <v>22475</v>
      </c>
      <c r="P108" s="6" t="s">
        <v>3499</v>
      </c>
    </row>
    <row r="109" spans="1:16" x14ac:dyDescent="0.25">
      <c r="A109" s="6" t="s">
        <v>3505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6">
        <v>7</v>
      </c>
      <c r="H109" s="6">
        <v>4953</v>
      </c>
      <c r="I109" s="6" t="s">
        <v>16</v>
      </c>
      <c r="J109" s="6">
        <v>16584904</v>
      </c>
      <c r="K109" s="6" t="s">
        <v>389</v>
      </c>
      <c r="L109" s="13" t="s">
        <v>390</v>
      </c>
      <c r="M109" s="14">
        <v>89900</v>
      </c>
      <c r="N109" s="64">
        <v>0.75</v>
      </c>
      <c r="O109" s="12">
        <f t="shared" si="2"/>
        <v>22475</v>
      </c>
      <c r="P109" s="6" t="s">
        <v>3499</v>
      </c>
    </row>
    <row r="110" spans="1:16" x14ac:dyDescent="0.25">
      <c r="A110" s="6" t="s">
        <v>3505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6">
        <v>7</v>
      </c>
      <c r="H110" s="6">
        <v>4953</v>
      </c>
      <c r="I110" s="6" t="s">
        <v>16</v>
      </c>
      <c r="J110" s="6">
        <v>16801544</v>
      </c>
      <c r="K110" s="6" t="s">
        <v>391</v>
      </c>
      <c r="L110" s="13" t="s">
        <v>392</v>
      </c>
      <c r="M110" s="14">
        <v>89900</v>
      </c>
      <c r="N110" s="64">
        <v>0.75</v>
      </c>
      <c r="O110" s="12">
        <f t="shared" si="2"/>
        <v>22475</v>
      </c>
      <c r="P110" s="6" t="s">
        <v>3499</v>
      </c>
    </row>
    <row r="111" spans="1:16" x14ac:dyDescent="0.25">
      <c r="A111" s="6" t="s">
        <v>3505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6">
        <v>7</v>
      </c>
      <c r="H111" s="6">
        <v>4953</v>
      </c>
      <c r="I111" s="6" t="s">
        <v>16</v>
      </c>
      <c r="J111" s="6">
        <v>16801553</v>
      </c>
      <c r="K111" s="6" t="s">
        <v>391</v>
      </c>
      <c r="L111" s="13" t="s">
        <v>393</v>
      </c>
      <c r="M111" s="14">
        <v>89900</v>
      </c>
      <c r="N111" s="64">
        <v>0.75</v>
      </c>
      <c r="O111" s="12">
        <f t="shared" si="2"/>
        <v>22475</v>
      </c>
      <c r="P111" s="6" t="s">
        <v>3499</v>
      </c>
    </row>
    <row r="112" spans="1:16" x14ac:dyDescent="0.25">
      <c r="A112" s="6" t="s">
        <v>3505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6">
        <v>7</v>
      </c>
      <c r="H112" s="6">
        <v>4953</v>
      </c>
      <c r="I112" s="6" t="s">
        <v>16</v>
      </c>
      <c r="J112" s="6">
        <v>16801562</v>
      </c>
      <c r="K112" s="6" t="s">
        <v>391</v>
      </c>
      <c r="L112" s="13" t="s">
        <v>394</v>
      </c>
      <c r="M112" s="14">
        <v>89900</v>
      </c>
      <c r="N112" s="64">
        <v>0.75</v>
      </c>
      <c r="O112" s="12">
        <f t="shared" si="2"/>
        <v>22475</v>
      </c>
      <c r="P112" s="6" t="s">
        <v>3499</v>
      </c>
    </row>
    <row r="113" spans="1:16" x14ac:dyDescent="0.25">
      <c r="A113" s="6" t="s">
        <v>3505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6">
        <v>7</v>
      </c>
      <c r="H113" s="6">
        <v>4953</v>
      </c>
      <c r="I113" s="6" t="s">
        <v>16</v>
      </c>
      <c r="J113" s="6">
        <v>16801571</v>
      </c>
      <c r="K113" s="6" t="s">
        <v>391</v>
      </c>
      <c r="L113" s="13" t="s">
        <v>395</v>
      </c>
      <c r="M113" s="14">
        <v>89900</v>
      </c>
      <c r="N113" s="64">
        <v>0.75</v>
      </c>
      <c r="O113" s="12">
        <f t="shared" si="2"/>
        <v>22475</v>
      </c>
      <c r="P113" s="6" t="s">
        <v>3499</v>
      </c>
    </row>
    <row r="114" spans="1:16" x14ac:dyDescent="0.25">
      <c r="A114" s="6" t="s">
        <v>3505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6">
        <v>7</v>
      </c>
      <c r="H114" s="6">
        <v>4953</v>
      </c>
      <c r="I114" s="6" t="s">
        <v>16</v>
      </c>
      <c r="J114" s="6">
        <v>16801599</v>
      </c>
      <c r="K114" s="6" t="s">
        <v>381</v>
      </c>
      <c r="L114" s="13" t="s">
        <v>396</v>
      </c>
      <c r="M114" s="14">
        <v>89900</v>
      </c>
      <c r="N114" s="64">
        <v>0.75</v>
      </c>
      <c r="O114" s="12">
        <f t="shared" si="2"/>
        <v>22475</v>
      </c>
      <c r="P114" s="6" t="s">
        <v>3499</v>
      </c>
    </row>
    <row r="115" spans="1:16" x14ac:dyDescent="0.25">
      <c r="A115" s="6" t="s">
        <v>3505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6">
        <v>7</v>
      </c>
      <c r="H115" s="6">
        <v>4953</v>
      </c>
      <c r="I115" s="6" t="s">
        <v>16</v>
      </c>
      <c r="J115" s="6">
        <v>16801624</v>
      </c>
      <c r="K115" s="6" t="s">
        <v>378</v>
      </c>
      <c r="L115" s="13" t="s">
        <v>397</v>
      </c>
      <c r="M115" s="14">
        <v>89900</v>
      </c>
      <c r="N115" s="64">
        <v>0.75</v>
      </c>
      <c r="O115" s="12">
        <f t="shared" si="2"/>
        <v>22475</v>
      </c>
      <c r="P115" s="6" t="s">
        <v>3499</v>
      </c>
    </row>
    <row r="116" spans="1:16" x14ac:dyDescent="0.25">
      <c r="A116" s="6" t="s">
        <v>3505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6">
        <v>7</v>
      </c>
      <c r="H116" s="6">
        <v>4953</v>
      </c>
      <c r="I116" s="6" t="s">
        <v>16</v>
      </c>
      <c r="J116" s="6">
        <v>16801651</v>
      </c>
      <c r="K116" s="6" t="s">
        <v>378</v>
      </c>
      <c r="L116" s="13" t="s">
        <v>398</v>
      </c>
      <c r="M116" s="14">
        <v>89900</v>
      </c>
      <c r="N116" s="64">
        <v>0.75</v>
      </c>
      <c r="O116" s="12">
        <f t="shared" si="2"/>
        <v>22475</v>
      </c>
      <c r="P116" s="6" t="s">
        <v>3499</v>
      </c>
    </row>
    <row r="117" spans="1:16" x14ac:dyDescent="0.25">
      <c r="A117" s="6" t="s">
        <v>3505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6">
        <v>7</v>
      </c>
      <c r="H117" s="6">
        <v>4953</v>
      </c>
      <c r="I117" s="6" t="s">
        <v>16</v>
      </c>
      <c r="J117" s="6">
        <v>14281146</v>
      </c>
      <c r="K117" s="6" t="s">
        <v>399</v>
      </c>
      <c r="L117" s="13" t="s">
        <v>400</v>
      </c>
      <c r="M117" s="14">
        <v>69900</v>
      </c>
      <c r="N117" s="64">
        <v>0.75</v>
      </c>
      <c r="O117" s="12">
        <f t="shared" si="2"/>
        <v>17475</v>
      </c>
      <c r="P117" s="6" t="s">
        <v>3499</v>
      </c>
    </row>
    <row r="118" spans="1:16" x14ac:dyDescent="0.25">
      <c r="A118" s="6" t="s">
        <v>3505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6">
        <v>7</v>
      </c>
      <c r="H118" s="6">
        <v>4953</v>
      </c>
      <c r="I118" s="6" t="s">
        <v>16</v>
      </c>
      <c r="J118" s="6">
        <v>14281155</v>
      </c>
      <c r="K118" s="6" t="s">
        <v>399</v>
      </c>
      <c r="L118" s="13" t="s">
        <v>401</v>
      </c>
      <c r="M118" s="14">
        <v>69900</v>
      </c>
      <c r="N118" s="64">
        <v>0.75</v>
      </c>
      <c r="O118" s="12">
        <f t="shared" si="2"/>
        <v>17475</v>
      </c>
      <c r="P118" s="6" t="s">
        <v>3499</v>
      </c>
    </row>
    <row r="119" spans="1:16" x14ac:dyDescent="0.25">
      <c r="A119" s="6" t="s">
        <v>3505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6">
        <v>7</v>
      </c>
      <c r="H119" s="6">
        <v>4953</v>
      </c>
      <c r="I119" s="6" t="s">
        <v>16</v>
      </c>
      <c r="J119" s="6">
        <v>14281164</v>
      </c>
      <c r="K119" s="6" t="s">
        <v>399</v>
      </c>
      <c r="L119" s="13" t="s">
        <v>402</v>
      </c>
      <c r="M119" s="14">
        <v>69900</v>
      </c>
      <c r="N119" s="64">
        <v>0.75</v>
      </c>
      <c r="O119" s="12">
        <f t="shared" si="2"/>
        <v>17475</v>
      </c>
      <c r="P119" s="6" t="s">
        <v>3499</v>
      </c>
    </row>
    <row r="120" spans="1:16" x14ac:dyDescent="0.25">
      <c r="A120" s="6" t="s">
        <v>3505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6">
        <v>7</v>
      </c>
      <c r="H120" s="6">
        <v>4953</v>
      </c>
      <c r="I120" s="6" t="s">
        <v>16</v>
      </c>
      <c r="J120" s="6">
        <v>14281173</v>
      </c>
      <c r="K120" s="6" t="s">
        <v>399</v>
      </c>
      <c r="L120" s="13" t="s">
        <v>403</v>
      </c>
      <c r="M120" s="14">
        <v>69900</v>
      </c>
      <c r="N120" s="64">
        <v>0.75</v>
      </c>
      <c r="O120" s="12">
        <f t="shared" si="2"/>
        <v>17475</v>
      </c>
      <c r="P120" s="6" t="s">
        <v>3499</v>
      </c>
    </row>
    <row r="121" spans="1:16" x14ac:dyDescent="0.25">
      <c r="A121" s="6" t="s">
        <v>3505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6">
        <v>7</v>
      </c>
      <c r="H121" s="6">
        <v>4953</v>
      </c>
      <c r="I121" s="6" t="s">
        <v>16</v>
      </c>
      <c r="J121" s="6">
        <v>15641764</v>
      </c>
      <c r="K121" s="6" t="s">
        <v>385</v>
      </c>
      <c r="L121" s="13" t="s">
        <v>404</v>
      </c>
      <c r="M121" s="14">
        <v>69900</v>
      </c>
      <c r="N121" s="64">
        <v>0.75</v>
      </c>
      <c r="O121" s="12">
        <f t="shared" si="2"/>
        <v>17475</v>
      </c>
      <c r="P121" s="6" t="s">
        <v>3499</v>
      </c>
    </row>
    <row r="122" spans="1:16" x14ac:dyDescent="0.25">
      <c r="A122" s="6" t="s">
        <v>3505</v>
      </c>
      <c r="B122" s="7">
        <v>46121</v>
      </c>
      <c r="C122" s="7">
        <v>46127</v>
      </c>
      <c r="D122" s="6">
        <v>3270</v>
      </c>
      <c r="E122" s="6">
        <v>336</v>
      </c>
      <c r="F122" s="6">
        <v>4</v>
      </c>
      <c r="G122" s="6">
        <v>7</v>
      </c>
      <c r="H122" s="6">
        <v>4953</v>
      </c>
      <c r="I122" s="6" t="s">
        <v>16</v>
      </c>
      <c r="J122" s="6">
        <v>15641782</v>
      </c>
      <c r="K122" s="6" t="s">
        <v>385</v>
      </c>
      <c r="L122" s="13" t="s">
        <v>405</v>
      </c>
      <c r="M122" s="14">
        <v>69900</v>
      </c>
      <c r="N122" s="64">
        <v>0.75</v>
      </c>
      <c r="O122" s="12">
        <f t="shared" si="2"/>
        <v>17475</v>
      </c>
      <c r="P122" s="6" t="s">
        <v>3499</v>
      </c>
    </row>
    <row r="123" spans="1:16" x14ac:dyDescent="0.25">
      <c r="A123" s="6" t="s">
        <v>3505</v>
      </c>
      <c r="B123" s="7">
        <v>46121</v>
      </c>
      <c r="C123" s="7">
        <v>46127</v>
      </c>
      <c r="D123" s="6">
        <v>3270</v>
      </c>
      <c r="E123" s="6">
        <v>336</v>
      </c>
      <c r="F123" s="6">
        <v>4</v>
      </c>
      <c r="G123" s="6">
        <v>7</v>
      </c>
      <c r="H123" s="6">
        <v>4953</v>
      </c>
      <c r="I123" s="6" t="s">
        <v>16</v>
      </c>
      <c r="J123" s="6">
        <v>15641791</v>
      </c>
      <c r="K123" s="6" t="s">
        <v>385</v>
      </c>
      <c r="L123" s="13" t="s">
        <v>406</v>
      </c>
      <c r="M123" s="14">
        <v>69900</v>
      </c>
      <c r="N123" s="64">
        <v>0.75</v>
      </c>
      <c r="O123" s="12">
        <f t="shared" si="2"/>
        <v>17475</v>
      </c>
      <c r="P123" s="6" t="s">
        <v>3499</v>
      </c>
    </row>
    <row r="124" spans="1:16" x14ac:dyDescent="0.25">
      <c r="A124" s="6" t="s">
        <v>3505</v>
      </c>
      <c r="B124" s="7">
        <v>46121</v>
      </c>
      <c r="C124" s="7">
        <v>46127</v>
      </c>
      <c r="D124" s="6">
        <v>3270</v>
      </c>
      <c r="E124" s="6">
        <v>336</v>
      </c>
      <c r="F124" s="6">
        <v>4</v>
      </c>
      <c r="G124" s="6">
        <v>7</v>
      </c>
      <c r="H124" s="6">
        <v>4953</v>
      </c>
      <c r="I124" s="6" t="s">
        <v>16</v>
      </c>
      <c r="J124" s="6">
        <v>16584888</v>
      </c>
      <c r="K124" s="6" t="s">
        <v>389</v>
      </c>
      <c r="L124" s="13" t="s">
        <v>407</v>
      </c>
      <c r="M124" s="14">
        <v>89900</v>
      </c>
      <c r="N124" s="64">
        <v>0.75</v>
      </c>
      <c r="O124" s="12">
        <f t="shared" si="2"/>
        <v>22475</v>
      </c>
      <c r="P124" s="6" t="s">
        <v>3499</v>
      </c>
    </row>
    <row r="125" spans="1:16" x14ac:dyDescent="0.25">
      <c r="A125" s="6" t="s">
        <v>3505</v>
      </c>
      <c r="B125" s="7">
        <v>46121</v>
      </c>
      <c r="C125" s="7">
        <v>46127</v>
      </c>
      <c r="D125" s="6">
        <v>3270</v>
      </c>
      <c r="E125" s="6">
        <v>336</v>
      </c>
      <c r="F125" s="6">
        <v>4</v>
      </c>
      <c r="G125" s="6">
        <v>7</v>
      </c>
      <c r="H125" s="6">
        <v>4953</v>
      </c>
      <c r="I125" s="6" t="s">
        <v>16</v>
      </c>
      <c r="J125" s="6">
        <v>16584897</v>
      </c>
      <c r="K125" s="6" t="s">
        <v>389</v>
      </c>
      <c r="L125" s="13" t="s">
        <v>408</v>
      </c>
      <c r="M125" s="14">
        <v>89900</v>
      </c>
      <c r="N125" s="64">
        <v>0.75</v>
      </c>
      <c r="O125" s="12">
        <f t="shared" si="2"/>
        <v>22475</v>
      </c>
      <c r="P125" s="6" t="s">
        <v>3499</v>
      </c>
    </row>
    <row r="126" spans="1:16" x14ac:dyDescent="0.25">
      <c r="A126" s="6" t="s">
        <v>3505</v>
      </c>
      <c r="B126" s="7">
        <v>46121</v>
      </c>
      <c r="C126" s="7">
        <v>46127</v>
      </c>
      <c r="D126" s="6">
        <v>3270</v>
      </c>
      <c r="E126" s="6">
        <v>336</v>
      </c>
      <c r="F126" s="6">
        <v>4</v>
      </c>
      <c r="G126" s="6">
        <v>7</v>
      </c>
      <c r="H126" s="6">
        <v>4953</v>
      </c>
      <c r="I126" s="6" t="s">
        <v>16</v>
      </c>
      <c r="J126" s="6">
        <v>16584913</v>
      </c>
      <c r="K126" s="6" t="s">
        <v>389</v>
      </c>
      <c r="L126" s="13" t="s">
        <v>409</v>
      </c>
      <c r="M126" s="14">
        <v>89900</v>
      </c>
      <c r="N126" s="64">
        <v>0.75</v>
      </c>
      <c r="O126" s="12">
        <f t="shared" si="2"/>
        <v>22475</v>
      </c>
      <c r="P126" s="6" t="s">
        <v>3499</v>
      </c>
    </row>
    <row r="127" spans="1:16" x14ac:dyDescent="0.25">
      <c r="A127" s="6" t="s">
        <v>3505</v>
      </c>
      <c r="B127" s="7">
        <v>46121</v>
      </c>
      <c r="C127" s="7">
        <v>46127</v>
      </c>
      <c r="D127" s="6">
        <v>3270</v>
      </c>
      <c r="E127" s="6">
        <v>336</v>
      </c>
      <c r="F127" s="6">
        <v>4</v>
      </c>
      <c r="G127" s="6">
        <v>7</v>
      </c>
      <c r="H127" s="6">
        <v>4953</v>
      </c>
      <c r="I127" s="6" t="s">
        <v>16</v>
      </c>
      <c r="J127" s="6">
        <v>16584922</v>
      </c>
      <c r="K127" s="6" t="s">
        <v>387</v>
      </c>
      <c r="L127" s="13" t="s">
        <v>410</v>
      </c>
      <c r="M127" s="14">
        <v>89900</v>
      </c>
      <c r="N127" s="64">
        <v>0.75</v>
      </c>
      <c r="O127" s="12">
        <f t="shared" si="2"/>
        <v>22475</v>
      </c>
      <c r="P127" s="6" t="s">
        <v>3499</v>
      </c>
    </row>
    <row r="128" spans="1:16" x14ac:dyDescent="0.25">
      <c r="A128" s="6" t="s">
        <v>3505</v>
      </c>
      <c r="B128" s="7">
        <v>46121</v>
      </c>
      <c r="C128" s="7">
        <v>46127</v>
      </c>
      <c r="D128" s="6">
        <v>3270</v>
      </c>
      <c r="E128" s="6">
        <v>336</v>
      </c>
      <c r="F128" s="6">
        <v>4</v>
      </c>
      <c r="G128" s="6">
        <v>7</v>
      </c>
      <c r="H128" s="6">
        <v>4953</v>
      </c>
      <c r="I128" s="6" t="s">
        <v>16</v>
      </c>
      <c r="J128" s="6">
        <v>16584931</v>
      </c>
      <c r="K128" s="6" t="s">
        <v>387</v>
      </c>
      <c r="L128" s="13" t="s">
        <v>411</v>
      </c>
      <c r="M128" s="14">
        <v>89900</v>
      </c>
      <c r="N128" s="64">
        <v>0.75</v>
      </c>
      <c r="O128" s="12">
        <f t="shared" si="2"/>
        <v>22475</v>
      </c>
      <c r="P128" s="6" t="s">
        <v>3499</v>
      </c>
    </row>
    <row r="129" spans="1:16" x14ac:dyDescent="0.25">
      <c r="A129" s="6" t="s">
        <v>3505</v>
      </c>
      <c r="B129" s="7">
        <v>46121</v>
      </c>
      <c r="C129" s="7">
        <v>46127</v>
      </c>
      <c r="D129" s="6">
        <v>3270</v>
      </c>
      <c r="E129" s="6">
        <v>336</v>
      </c>
      <c r="F129" s="6">
        <v>4</v>
      </c>
      <c r="G129" s="6">
        <v>7</v>
      </c>
      <c r="H129" s="6">
        <v>4953</v>
      </c>
      <c r="I129" s="6" t="s">
        <v>16</v>
      </c>
      <c r="J129" s="6">
        <v>16584959</v>
      </c>
      <c r="K129" s="6" t="s">
        <v>387</v>
      </c>
      <c r="L129" s="13" t="s">
        <v>412</v>
      </c>
      <c r="M129" s="14">
        <v>89900</v>
      </c>
      <c r="N129" s="64">
        <v>0.75</v>
      </c>
      <c r="O129" s="12">
        <f t="shared" si="2"/>
        <v>22475</v>
      </c>
      <c r="P129" s="6" t="s">
        <v>3499</v>
      </c>
    </row>
    <row r="130" spans="1:16" x14ac:dyDescent="0.25">
      <c r="A130" s="6" t="s">
        <v>3505</v>
      </c>
      <c r="B130" s="7">
        <v>46121</v>
      </c>
      <c r="C130" s="7">
        <v>46127</v>
      </c>
      <c r="D130" s="6">
        <v>3270</v>
      </c>
      <c r="E130" s="6">
        <v>336</v>
      </c>
      <c r="F130" s="6">
        <v>4</v>
      </c>
      <c r="G130" s="6">
        <v>7</v>
      </c>
      <c r="H130" s="6">
        <v>4953</v>
      </c>
      <c r="I130" s="6" t="s">
        <v>16</v>
      </c>
      <c r="J130" s="6">
        <v>16584968</v>
      </c>
      <c r="K130" s="6" t="s">
        <v>413</v>
      </c>
      <c r="L130" s="13" t="s">
        <v>414</v>
      </c>
      <c r="M130" s="14">
        <v>89900</v>
      </c>
      <c r="N130" s="64">
        <v>0.75</v>
      </c>
      <c r="O130" s="12">
        <f t="shared" si="2"/>
        <v>22475</v>
      </c>
      <c r="P130" s="6" t="s">
        <v>3499</v>
      </c>
    </row>
    <row r="131" spans="1:16" x14ac:dyDescent="0.25">
      <c r="A131" s="6" t="s">
        <v>3505</v>
      </c>
      <c r="B131" s="7">
        <v>46121</v>
      </c>
      <c r="C131" s="7">
        <v>46127</v>
      </c>
      <c r="D131" s="6">
        <v>3270</v>
      </c>
      <c r="E131" s="6">
        <v>336</v>
      </c>
      <c r="F131" s="6">
        <v>4</v>
      </c>
      <c r="G131" s="6">
        <v>7</v>
      </c>
      <c r="H131" s="6">
        <v>4953</v>
      </c>
      <c r="I131" s="6" t="s">
        <v>16</v>
      </c>
      <c r="J131" s="6">
        <v>16584977</v>
      </c>
      <c r="K131" s="6" t="s">
        <v>413</v>
      </c>
      <c r="L131" s="13" t="s">
        <v>415</v>
      </c>
      <c r="M131" s="14">
        <v>89900</v>
      </c>
      <c r="N131" s="64">
        <v>0.75</v>
      </c>
      <c r="O131" s="12">
        <f t="shared" ref="O131:O194" si="3">M131-((75*M131)/100)</f>
        <v>22475</v>
      </c>
      <c r="P131" s="6" t="s">
        <v>3499</v>
      </c>
    </row>
    <row r="132" spans="1:16" x14ac:dyDescent="0.25">
      <c r="A132" s="6" t="s">
        <v>3505</v>
      </c>
      <c r="B132" s="7">
        <v>46121</v>
      </c>
      <c r="C132" s="7">
        <v>46127</v>
      </c>
      <c r="D132" s="6">
        <v>3270</v>
      </c>
      <c r="E132" s="6">
        <v>336</v>
      </c>
      <c r="F132" s="6">
        <v>4</v>
      </c>
      <c r="G132" s="6">
        <v>7</v>
      </c>
      <c r="H132" s="6">
        <v>4953</v>
      </c>
      <c r="I132" s="6" t="s">
        <v>16</v>
      </c>
      <c r="J132" s="6">
        <v>16584986</v>
      </c>
      <c r="K132" s="6" t="s">
        <v>413</v>
      </c>
      <c r="L132" s="13" t="s">
        <v>416</v>
      </c>
      <c r="M132" s="14">
        <v>89900</v>
      </c>
      <c r="N132" s="64">
        <v>0.75</v>
      </c>
      <c r="O132" s="12">
        <f t="shared" si="3"/>
        <v>22475</v>
      </c>
      <c r="P132" s="6" t="s">
        <v>3499</v>
      </c>
    </row>
    <row r="133" spans="1:16" x14ac:dyDescent="0.25">
      <c r="A133" s="6" t="s">
        <v>3505</v>
      </c>
      <c r="B133" s="7">
        <v>46121</v>
      </c>
      <c r="C133" s="7">
        <v>46127</v>
      </c>
      <c r="D133" s="6">
        <v>3270</v>
      </c>
      <c r="E133" s="6">
        <v>336</v>
      </c>
      <c r="F133" s="6">
        <v>4</v>
      </c>
      <c r="G133" s="6">
        <v>7</v>
      </c>
      <c r="H133" s="6">
        <v>4953</v>
      </c>
      <c r="I133" s="6" t="s">
        <v>16</v>
      </c>
      <c r="J133" s="6">
        <v>16584995</v>
      </c>
      <c r="K133" s="6" t="s">
        <v>413</v>
      </c>
      <c r="L133" s="13" t="s">
        <v>417</v>
      </c>
      <c r="M133" s="14">
        <v>89900</v>
      </c>
      <c r="N133" s="64">
        <v>0.75</v>
      </c>
      <c r="O133" s="12">
        <f t="shared" si="3"/>
        <v>22475</v>
      </c>
      <c r="P133" s="6" t="s">
        <v>3499</v>
      </c>
    </row>
    <row r="134" spans="1:16" x14ac:dyDescent="0.25">
      <c r="A134" s="6" t="s">
        <v>3505</v>
      </c>
      <c r="B134" s="7">
        <v>46121</v>
      </c>
      <c r="C134" s="7">
        <v>46127</v>
      </c>
      <c r="D134" s="6">
        <v>3270</v>
      </c>
      <c r="E134" s="6">
        <v>336</v>
      </c>
      <c r="F134" s="6">
        <v>4</v>
      </c>
      <c r="G134" s="6">
        <v>7</v>
      </c>
      <c r="H134" s="6">
        <v>4953</v>
      </c>
      <c r="I134" s="6" t="s">
        <v>16</v>
      </c>
      <c r="J134" s="6">
        <v>16585001</v>
      </c>
      <c r="K134" s="6" t="s">
        <v>418</v>
      </c>
      <c r="L134" s="13" t="s">
        <v>419</v>
      </c>
      <c r="M134" s="14">
        <v>89900</v>
      </c>
      <c r="N134" s="64">
        <v>0.75</v>
      </c>
      <c r="O134" s="12">
        <f t="shared" si="3"/>
        <v>22475</v>
      </c>
      <c r="P134" s="6" t="s">
        <v>3499</v>
      </c>
    </row>
    <row r="135" spans="1:16" x14ac:dyDescent="0.25">
      <c r="A135" s="6" t="s">
        <v>3505</v>
      </c>
      <c r="B135" s="7">
        <v>46121</v>
      </c>
      <c r="C135" s="7">
        <v>46127</v>
      </c>
      <c r="D135" s="6">
        <v>3270</v>
      </c>
      <c r="E135" s="6">
        <v>336</v>
      </c>
      <c r="F135" s="6">
        <v>4</v>
      </c>
      <c r="G135" s="6">
        <v>7</v>
      </c>
      <c r="H135" s="6">
        <v>4953</v>
      </c>
      <c r="I135" s="6" t="s">
        <v>16</v>
      </c>
      <c r="J135" s="6">
        <v>16585010</v>
      </c>
      <c r="K135" s="6" t="s">
        <v>418</v>
      </c>
      <c r="L135" s="13" t="s">
        <v>420</v>
      </c>
      <c r="M135" s="14">
        <v>89900</v>
      </c>
      <c r="N135" s="64">
        <v>0.75</v>
      </c>
      <c r="O135" s="12">
        <f t="shared" si="3"/>
        <v>22475</v>
      </c>
      <c r="P135" s="6" t="s">
        <v>3499</v>
      </c>
    </row>
    <row r="136" spans="1:16" x14ac:dyDescent="0.25">
      <c r="A136" s="6" t="s">
        <v>3505</v>
      </c>
      <c r="B136" s="7">
        <v>46121</v>
      </c>
      <c r="C136" s="7">
        <v>46127</v>
      </c>
      <c r="D136" s="6">
        <v>3270</v>
      </c>
      <c r="E136" s="6">
        <v>336</v>
      </c>
      <c r="F136" s="6">
        <v>4</v>
      </c>
      <c r="G136" s="6">
        <v>7</v>
      </c>
      <c r="H136" s="6">
        <v>4953</v>
      </c>
      <c r="I136" s="6" t="s">
        <v>16</v>
      </c>
      <c r="J136" s="6">
        <v>16585029</v>
      </c>
      <c r="K136" s="6" t="s">
        <v>418</v>
      </c>
      <c r="L136" s="13" t="s">
        <v>421</v>
      </c>
      <c r="M136" s="14">
        <v>89900</v>
      </c>
      <c r="N136" s="64">
        <v>0.75</v>
      </c>
      <c r="O136" s="12">
        <f t="shared" si="3"/>
        <v>22475</v>
      </c>
      <c r="P136" s="6" t="s">
        <v>3499</v>
      </c>
    </row>
    <row r="137" spans="1:16" x14ac:dyDescent="0.25">
      <c r="A137" s="6" t="s">
        <v>3505</v>
      </c>
      <c r="B137" s="7">
        <v>46121</v>
      </c>
      <c r="C137" s="7">
        <v>46127</v>
      </c>
      <c r="D137" s="6">
        <v>3270</v>
      </c>
      <c r="E137" s="6">
        <v>336</v>
      </c>
      <c r="F137" s="6">
        <v>4</v>
      </c>
      <c r="G137" s="6">
        <v>7</v>
      </c>
      <c r="H137" s="6">
        <v>4953</v>
      </c>
      <c r="I137" s="6" t="s">
        <v>16</v>
      </c>
      <c r="J137" s="6">
        <v>16585038</v>
      </c>
      <c r="K137" s="6" t="s">
        <v>418</v>
      </c>
      <c r="L137" s="13" t="s">
        <v>422</v>
      </c>
      <c r="M137" s="14">
        <v>89900</v>
      </c>
      <c r="N137" s="64">
        <v>0.75</v>
      </c>
      <c r="O137" s="12">
        <f t="shared" si="3"/>
        <v>22475</v>
      </c>
      <c r="P137" s="6" t="s">
        <v>3499</v>
      </c>
    </row>
    <row r="138" spans="1:16" x14ac:dyDescent="0.25">
      <c r="A138" s="6" t="s">
        <v>3505</v>
      </c>
      <c r="B138" s="7">
        <v>46121</v>
      </c>
      <c r="C138" s="7">
        <v>46127</v>
      </c>
      <c r="D138" s="6">
        <v>3270</v>
      </c>
      <c r="E138" s="6">
        <v>336</v>
      </c>
      <c r="F138" s="6">
        <v>4</v>
      </c>
      <c r="G138" s="6">
        <v>7</v>
      </c>
      <c r="H138" s="6">
        <v>81684</v>
      </c>
      <c r="I138" s="6" t="s">
        <v>16</v>
      </c>
      <c r="J138" s="6">
        <v>16584833</v>
      </c>
      <c r="K138" s="6" t="s">
        <v>423</v>
      </c>
      <c r="L138" s="13" t="s">
        <v>424</v>
      </c>
      <c r="M138" s="14">
        <v>89900</v>
      </c>
      <c r="N138" s="64">
        <v>0.75</v>
      </c>
      <c r="O138" s="12">
        <f t="shared" si="3"/>
        <v>22475</v>
      </c>
      <c r="P138" s="6" t="s">
        <v>3499</v>
      </c>
    </row>
    <row r="139" spans="1:16" x14ac:dyDescent="0.25">
      <c r="A139" s="6" t="s">
        <v>3505</v>
      </c>
      <c r="B139" s="7">
        <v>46121</v>
      </c>
      <c r="C139" s="7">
        <v>46127</v>
      </c>
      <c r="D139" s="6">
        <v>3270</v>
      </c>
      <c r="E139" s="6">
        <v>336</v>
      </c>
      <c r="F139" s="6">
        <v>4</v>
      </c>
      <c r="G139" s="6">
        <v>7</v>
      </c>
      <c r="H139" s="6">
        <v>81684</v>
      </c>
      <c r="I139" s="6" t="s">
        <v>16</v>
      </c>
      <c r="J139" s="6">
        <v>16584744</v>
      </c>
      <c r="K139" s="6" t="s">
        <v>425</v>
      </c>
      <c r="L139" s="13" t="s">
        <v>426</v>
      </c>
      <c r="M139" s="14">
        <v>89900</v>
      </c>
      <c r="N139" s="64">
        <v>0.75</v>
      </c>
      <c r="O139" s="12">
        <f t="shared" si="3"/>
        <v>22475</v>
      </c>
      <c r="P139" s="6" t="s">
        <v>3499</v>
      </c>
    </row>
    <row r="140" spans="1:16" x14ac:dyDescent="0.25">
      <c r="A140" s="6" t="s">
        <v>3505</v>
      </c>
      <c r="B140" s="7">
        <v>46121</v>
      </c>
      <c r="C140" s="7">
        <v>46127</v>
      </c>
      <c r="D140" s="6">
        <v>3270</v>
      </c>
      <c r="E140" s="6">
        <v>336</v>
      </c>
      <c r="F140" s="6">
        <v>4</v>
      </c>
      <c r="G140" s="6">
        <v>7</v>
      </c>
      <c r="H140" s="6">
        <v>81684</v>
      </c>
      <c r="I140" s="6" t="s">
        <v>16</v>
      </c>
      <c r="J140" s="6">
        <v>16584860</v>
      </c>
      <c r="K140" s="6" t="s">
        <v>427</v>
      </c>
      <c r="L140" s="13" t="s">
        <v>428</v>
      </c>
      <c r="M140" s="14">
        <v>89900</v>
      </c>
      <c r="N140" s="64">
        <v>0.75</v>
      </c>
      <c r="O140" s="12">
        <f t="shared" si="3"/>
        <v>22475</v>
      </c>
      <c r="P140" s="6" t="s">
        <v>3499</v>
      </c>
    </row>
    <row r="141" spans="1:16" x14ac:dyDescent="0.25">
      <c r="A141" s="6" t="s">
        <v>3505</v>
      </c>
      <c r="B141" s="7">
        <v>46121</v>
      </c>
      <c r="C141" s="7">
        <v>46127</v>
      </c>
      <c r="D141" s="6">
        <v>3270</v>
      </c>
      <c r="E141" s="6">
        <v>336</v>
      </c>
      <c r="F141" s="6">
        <v>4</v>
      </c>
      <c r="G141" s="6">
        <v>7</v>
      </c>
      <c r="H141" s="6">
        <v>81684</v>
      </c>
      <c r="I141" s="6" t="s">
        <v>16</v>
      </c>
      <c r="J141" s="6">
        <v>16584879</v>
      </c>
      <c r="K141" s="6" t="s">
        <v>427</v>
      </c>
      <c r="L141" s="13" t="s">
        <v>429</v>
      </c>
      <c r="M141" s="14">
        <v>89900</v>
      </c>
      <c r="N141" s="64">
        <v>0.75</v>
      </c>
      <c r="O141" s="12">
        <f t="shared" si="3"/>
        <v>22475</v>
      </c>
      <c r="P141" s="6" t="s">
        <v>3499</v>
      </c>
    </row>
    <row r="142" spans="1:16" x14ac:dyDescent="0.25">
      <c r="A142" s="6" t="s">
        <v>3505</v>
      </c>
      <c r="B142" s="7">
        <v>46121</v>
      </c>
      <c r="C142" s="7">
        <v>46127</v>
      </c>
      <c r="D142" s="6">
        <v>3270</v>
      </c>
      <c r="E142" s="6">
        <v>336</v>
      </c>
      <c r="F142" s="6">
        <v>4</v>
      </c>
      <c r="G142" s="6">
        <v>7</v>
      </c>
      <c r="H142" s="6">
        <v>81684</v>
      </c>
      <c r="I142" s="6" t="s">
        <v>16</v>
      </c>
      <c r="J142" s="6">
        <v>16584708</v>
      </c>
      <c r="K142" s="6" t="s">
        <v>425</v>
      </c>
      <c r="L142" s="13" t="s">
        <v>430</v>
      </c>
      <c r="M142" s="14">
        <v>89900</v>
      </c>
      <c r="N142" s="64">
        <v>0.75</v>
      </c>
      <c r="O142" s="12">
        <f t="shared" si="3"/>
        <v>22475</v>
      </c>
      <c r="P142" s="6" t="s">
        <v>3499</v>
      </c>
    </row>
    <row r="143" spans="1:16" x14ac:dyDescent="0.25">
      <c r="A143" s="6" t="s">
        <v>3505</v>
      </c>
      <c r="B143" s="7">
        <v>46121</v>
      </c>
      <c r="C143" s="7">
        <v>46127</v>
      </c>
      <c r="D143" s="6">
        <v>3270</v>
      </c>
      <c r="E143" s="6">
        <v>336</v>
      </c>
      <c r="F143" s="6">
        <v>4</v>
      </c>
      <c r="G143" s="6">
        <v>7</v>
      </c>
      <c r="H143" s="6">
        <v>81684</v>
      </c>
      <c r="I143" s="6" t="s">
        <v>16</v>
      </c>
      <c r="J143" s="6">
        <v>16584717</v>
      </c>
      <c r="K143" s="6" t="s">
        <v>425</v>
      </c>
      <c r="L143" s="13" t="s">
        <v>431</v>
      </c>
      <c r="M143" s="14">
        <v>89900</v>
      </c>
      <c r="N143" s="64">
        <v>0.75</v>
      </c>
      <c r="O143" s="12">
        <f t="shared" si="3"/>
        <v>22475</v>
      </c>
      <c r="P143" s="6" t="s">
        <v>3499</v>
      </c>
    </row>
    <row r="144" spans="1:16" x14ac:dyDescent="0.25">
      <c r="A144" s="6" t="s">
        <v>3505</v>
      </c>
      <c r="B144" s="7">
        <v>46121</v>
      </c>
      <c r="C144" s="7">
        <v>46127</v>
      </c>
      <c r="D144" s="6">
        <v>3270</v>
      </c>
      <c r="E144" s="6">
        <v>336</v>
      </c>
      <c r="F144" s="6">
        <v>4</v>
      </c>
      <c r="G144" s="6">
        <v>7</v>
      </c>
      <c r="H144" s="6">
        <v>81684</v>
      </c>
      <c r="I144" s="6" t="s">
        <v>16</v>
      </c>
      <c r="J144" s="6">
        <v>16584726</v>
      </c>
      <c r="K144" s="6" t="s">
        <v>425</v>
      </c>
      <c r="L144" s="13" t="s">
        <v>432</v>
      </c>
      <c r="M144" s="14">
        <v>89900</v>
      </c>
      <c r="N144" s="64">
        <v>0.75</v>
      </c>
      <c r="O144" s="12">
        <f t="shared" si="3"/>
        <v>22475</v>
      </c>
      <c r="P144" s="6" t="s">
        <v>3499</v>
      </c>
    </row>
    <row r="145" spans="1:16" x14ac:dyDescent="0.25">
      <c r="A145" s="6" t="s">
        <v>3505</v>
      </c>
      <c r="B145" s="7">
        <v>46121</v>
      </c>
      <c r="C145" s="7">
        <v>46127</v>
      </c>
      <c r="D145" s="6">
        <v>3270</v>
      </c>
      <c r="E145" s="6">
        <v>336</v>
      </c>
      <c r="F145" s="6">
        <v>4</v>
      </c>
      <c r="G145" s="6">
        <v>7</v>
      </c>
      <c r="H145" s="6">
        <v>81684</v>
      </c>
      <c r="I145" s="6" t="s">
        <v>16</v>
      </c>
      <c r="J145" s="6">
        <v>16584753</v>
      </c>
      <c r="K145" s="6" t="s">
        <v>433</v>
      </c>
      <c r="L145" s="13" t="s">
        <v>434</v>
      </c>
      <c r="M145" s="14">
        <v>89900</v>
      </c>
      <c r="N145" s="64">
        <v>0.75</v>
      </c>
      <c r="O145" s="12">
        <f t="shared" si="3"/>
        <v>22475</v>
      </c>
      <c r="P145" s="6" t="s">
        <v>3499</v>
      </c>
    </row>
    <row r="146" spans="1:16" x14ac:dyDescent="0.25">
      <c r="A146" s="6" t="s">
        <v>3505</v>
      </c>
      <c r="B146" s="7">
        <v>46121</v>
      </c>
      <c r="C146" s="7">
        <v>46127</v>
      </c>
      <c r="D146" s="6">
        <v>3270</v>
      </c>
      <c r="E146" s="6">
        <v>336</v>
      </c>
      <c r="F146" s="6">
        <v>4</v>
      </c>
      <c r="G146" s="6">
        <v>7</v>
      </c>
      <c r="H146" s="6">
        <v>81684</v>
      </c>
      <c r="I146" s="6" t="s">
        <v>16</v>
      </c>
      <c r="J146" s="6">
        <v>16584762</v>
      </c>
      <c r="K146" s="6" t="s">
        <v>433</v>
      </c>
      <c r="L146" s="13" t="s">
        <v>435</v>
      </c>
      <c r="M146" s="14">
        <v>89900</v>
      </c>
      <c r="N146" s="64">
        <v>0.75</v>
      </c>
      <c r="O146" s="12">
        <f t="shared" si="3"/>
        <v>22475</v>
      </c>
      <c r="P146" s="6" t="s">
        <v>3499</v>
      </c>
    </row>
    <row r="147" spans="1:16" x14ac:dyDescent="0.25">
      <c r="A147" s="6" t="s">
        <v>3505</v>
      </c>
      <c r="B147" s="7">
        <v>46121</v>
      </c>
      <c r="C147" s="7">
        <v>46127</v>
      </c>
      <c r="D147" s="6">
        <v>3270</v>
      </c>
      <c r="E147" s="6">
        <v>336</v>
      </c>
      <c r="F147" s="6">
        <v>4</v>
      </c>
      <c r="G147" s="6">
        <v>7</v>
      </c>
      <c r="H147" s="6">
        <v>81684</v>
      </c>
      <c r="I147" s="6" t="s">
        <v>16</v>
      </c>
      <c r="J147" s="6">
        <v>16584771</v>
      </c>
      <c r="K147" s="6" t="s">
        <v>433</v>
      </c>
      <c r="L147" s="13" t="s">
        <v>436</v>
      </c>
      <c r="M147" s="14">
        <v>89900</v>
      </c>
      <c r="N147" s="64">
        <v>0.75</v>
      </c>
      <c r="O147" s="12">
        <f t="shared" si="3"/>
        <v>22475</v>
      </c>
      <c r="P147" s="6" t="s">
        <v>3499</v>
      </c>
    </row>
    <row r="148" spans="1:16" x14ac:dyDescent="0.25">
      <c r="A148" s="6" t="s">
        <v>3505</v>
      </c>
      <c r="B148" s="7">
        <v>46121</v>
      </c>
      <c r="C148" s="7">
        <v>46127</v>
      </c>
      <c r="D148" s="6">
        <v>3270</v>
      </c>
      <c r="E148" s="6">
        <v>336</v>
      </c>
      <c r="F148" s="6">
        <v>4</v>
      </c>
      <c r="G148" s="6">
        <v>7</v>
      </c>
      <c r="H148" s="6">
        <v>81684</v>
      </c>
      <c r="I148" s="6" t="s">
        <v>16</v>
      </c>
      <c r="J148" s="6">
        <v>16584780</v>
      </c>
      <c r="K148" s="6" t="s">
        <v>433</v>
      </c>
      <c r="L148" s="13" t="s">
        <v>437</v>
      </c>
      <c r="M148" s="14">
        <v>89900</v>
      </c>
      <c r="N148" s="64">
        <v>0.75</v>
      </c>
      <c r="O148" s="12">
        <f t="shared" si="3"/>
        <v>22475</v>
      </c>
      <c r="P148" s="6" t="s">
        <v>3499</v>
      </c>
    </row>
    <row r="149" spans="1:16" x14ac:dyDescent="0.25">
      <c r="A149" s="6" t="s">
        <v>3505</v>
      </c>
      <c r="B149" s="7">
        <v>46121</v>
      </c>
      <c r="C149" s="7">
        <v>46127</v>
      </c>
      <c r="D149" s="6">
        <v>3270</v>
      </c>
      <c r="E149" s="6">
        <v>336</v>
      </c>
      <c r="F149" s="6">
        <v>4</v>
      </c>
      <c r="G149" s="6">
        <v>7</v>
      </c>
      <c r="H149" s="6">
        <v>81684</v>
      </c>
      <c r="I149" s="6" t="s">
        <v>16</v>
      </c>
      <c r="J149" s="6">
        <v>16584799</v>
      </c>
      <c r="K149" s="6" t="s">
        <v>423</v>
      </c>
      <c r="L149" s="13" t="s">
        <v>438</v>
      </c>
      <c r="M149" s="14">
        <v>89900</v>
      </c>
      <c r="N149" s="64">
        <v>0.75</v>
      </c>
      <c r="O149" s="12">
        <f t="shared" si="3"/>
        <v>22475</v>
      </c>
      <c r="P149" s="6" t="s">
        <v>3499</v>
      </c>
    </row>
    <row r="150" spans="1:16" x14ac:dyDescent="0.25">
      <c r="A150" s="6" t="s">
        <v>3505</v>
      </c>
      <c r="B150" s="7">
        <v>46121</v>
      </c>
      <c r="C150" s="7">
        <v>46127</v>
      </c>
      <c r="D150" s="6">
        <v>3270</v>
      </c>
      <c r="E150" s="6">
        <v>336</v>
      </c>
      <c r="F150" s="6">
        <v>4</v>
      </c>
      <c r="G150" s="6">
        <v>7</v>
      </c>
      <c r="H150" s="6">
        <v>81684</v>
      </c>
      <c r="I150" s="6" t="s">
        <v>16</v>
      </c>
      <c r="J150" s="6">
        <v>16584815</v>
      </c>
      <c r="K150" s="6" t="s">
        <v>423</v>
      </c>
      <c r="L150" s="13" t="s">
        <v>439</v>
      </c>
      <c r="M150" s="14">
        <v>89900</v>
      </c>
      <c r="N150" s="64">
        <v>0.75</v>
      </c>
      <c r="O150" s="12">
        <f t="shared" si="3"/>
        <v>22475</v>
      </c>
      <c r="P150" s="6" t="s">
        <v>3499</v>
      </c>
    </row>
    <row r="151" spans="1:16" x14ac:dyDescent="0.25">
      <c r="A151" s="6" t="s">
        <v>3505</v>
      </c>
      <c r="B151" s="7">
        <v>46121</v>
      </c>
      <c r="C151" s="7">
        <v>46127</v>
      </c>
      <c r="D151" s="6">
        <v>3270</v>
      </c>
      <c r="E151" s="6">
        <v>336</v>
      </c>
      <c r="F151" s="6">
        <v>4</v>
      </c>
      <c r="G151" s="6">
        <v>7</v>
      </c>
      <c r="H151" s="6">
        <v>81684</v>
      </c>
      <c r="I151" s="6" t="s">
        <v>16</v>
      </c>
      <c r="J151" s="6">
        <v>16584824</v>
      </c>
      <c r="K151" s="6" t="s">
        <v>423</v>
      </c>
      <c r="L151" s="13" t="s">
        <v>440</v>
      </c>
      <c r="M151" s="14">
        <v>89900</v>
      </c>
      <c r="N151" s="64">
        <v>0.75</v>
      </c>
      <c r="O151" s="12">
        <f t="shared" si="3"/>
        <v>22475</v>
      </c>
      <c r="P151" s="6" t="s">
        <v>3499</v>
      </c>
    </row>
    <row r="152" spans="1:16" x14ac:dyDescent="0.25">
      <c r="A152" s="6" t="s">
        <v>3505</v>
      </c>
      <c r="B152" s="7">
        <v>46121</v>
      </c>
      <c r="C152" s="7">
        <v>46127</v>
      </c>
      <c r="D152" s="6">
        <v>3270</v>
      </c>
      <c r="E152" s="6">
        <v>336</v>
      </c>
      <c r="F152" s="6">
        <v>4</v>
      </c>
      <c r="G152" s="6">
        <v>7</v>
      </c>
      <c r="H152" s="6">
        <v>81684</v>
      </c>
      <c r="I152" s="6" t="s">
        <v>16</v>
      </c>
      <c r="J152" s="6">
        <v>16584842</v>
      </c>
      <c r="K152" s="6" t="s">
        <v>427</v>
      </c>
      <c r="L152" s="13" t="s">
        <v>441</v>
      </c>
      <c r="M152" s="14">
        <v>89900</v>
      </c>
      <c r="N152" s="64">
        <v>0.75</v>
      </c>
      <c r="O152" s="12">
        <f t="shared" si="3"/>
        <v>22475</v>
      </c>
      <c r="P152" s="6" t="s">
        <v>3499</v>
      </c>
    </row>
    <row r="153" spans="1:16" x14ac:dyDescent="0.25">
      <c r="A153" s="6" t="s">
        <v>3505</v>
      </c>
      <c r="B153" s="7">
        <v>46121</v>
      </c>
      <c r="C153" s="7">
        <v>46127</v>
      </c>
      <c r="D153" s="6">
        <v>3270</v>
      </c>
      <c r="E153" s="6">
        <v>336</v>
      </c>
      <c r="F153" s="6">
        <v>4</v>
      </c>
      <c r="G153" s="6">
        <v>7</v>
      </c>
      <c r="H153" s="6">
        <v>81684</v>
      </c>
      <c r="I153" s="6" t="s">
        <v>16</v>
      </c>
      <c r="J153" s="6">
        <v>16584851</v>
      </c>
      <c r="K153" s="6" t="s">
        <v>427</v>
      </c>
      <c r="L153" s="13" t="s">
        <v>442</v>
      </c>
      <c r="M153" s="14">
        <v>89900</v>
      </c>
      <c r="N153" s="64">
        <v>0.75</v>
      </c>
      <c r="O153" s="12">
        <f t="shared" si="3"/>
        <v>22475</v>
      </c>
      <c r="P153" s="6" t="s">
        <v>3499</v>
      </c>
    </row>
    <row r="154" spans="1:16" x14ac:dyDescent="0.25">
      <c r="A154" s="6" t="s">
        <v>3505</v>
      </c>
      <c r="B154" s="7">
        <v>46121</v>
      </c>
      <c r="C154" s="7">
        <v>46127</v>
      </c>
      <c r="D154" s="6">
        <v>3270</v>
      </c>
      <c r="E154" s="6">
        <v>336</v>
      </c>
      <c r="F154" s="6">
        <v>4</v>
      </c>
      <c r="G154" s="8">
        <v>7</v>
      </c>
      <c r="H154" s="8">
        <v>4953</v>
      </c>
      <c r="I154" s="8" t="s">
        <v>16</v>
      </c>
      <c r="J154" s="8">
        <v>14281100</v>
      </c>
      <c r="K154" s="8" t="s">
        <v>443</v>
      </c>
      <c r="L154" s="9" t="s">
        <v>444</v>
      </c>
      <c r="M154" s="10">
        <v>69900</v>
      </c>
      <c r="N154" s="64">
        <v>0.75</v>
      </c>
      <c r="O154" s="12">
        <f t="shared" si="3"/>
        <v>17475</v>
      </c>
      <c r="P154" s="6" t="s">
        <v>3499</v>
      </c>
    </row>
    <row r="155" spans="1:16" x14ac:dyDescent="0.25">
      <c r="A155" s="6" t="s">
        <v>3505</v>
      </c>
      <c r="B155" s="7">
        <v>46121</v>
      </c>
      <c r="C155" s="7">
        <v>46127</v>
      </c>
      <c r="D155" s="6">
        <v>3270</v>
      </c>
      <c r="E155" s="6">
        <v>336</v>
      </c>
      <c r="F155" s="6">
        <v>4</v>
      </c>
      <c r="G155" s="8">
        <v>7</v>
      </c>
      <c r="H155" s="8">
        <v>4953</v>
      </c>
      <c r="I155" s="8" t="s">
        <v>16</v>
      </c>
      <c r="J155" s="8">
        <v>14281119</v>
      </c>
      <c r="K155" s="8" t="s">
        <v>443</v>
      </c>
      <c r="L155" s="9" t="s">
        <v>445</v>
      </c>
      <c r="M155" s="10">
        <v>69900</v>
      </c>
      <c r="N155" s="64">
        <v>0.75</v>
      </c>
      <c r="O155" s="12">
        <f t="shared" si="3"/>
        <v>17475</v>
      </c>
      <c r="P155" s="6" t="s">
        <v>3499</v>
      </c>
    </row>
    <row r="156" spans="1:16" x14ac:dyDescent="0.25">
      <c r="A156" s="6" t="s">
        <v>3505</v>
      </c>
      <c r="B156" s="7">
        <v>46121</v>
      </c>
      <c r="C156" s="7">
        <v>46127</v>
      </c>
      <c r="D156" s="6">
        <v>3270</v>
      </c>
      <c r="E156" s="6">
        <v>336</v>
      </c>
      <c r="F156" s="6">
        <v>4</v>
      </c>
      <c r="G156" s="8">
        <v>7</v>
      </c>
      <c r="H156" s="8">
        <v>4953</v>
      </c>
      <c r="I156" s="8" t="s">
        <v>16</v>
      </c>
      <c r="J156" s="8">
        <v>14281128</v>
      </c>
      <c r="K156" s="8" t="s">
        <v>443</v>
      </c>
      <c r="L156" s="9" t="s">
        <v>446</v>
      </c>
      <c r="M156" s="10">
        <v>69900</v>
      </c>
      <c r="N156" s="64">
        <v>0.75</v>
      </c>
      <c r="O156" s="12">
        <f t="shared" si="3"/>
        <v>17475</v>
      </c>
      <c r="P156" s="6" t="s">
        <v>3499</v>
      </c>
    </row>
    <row r="157" spans="1:16" x14ac:dyDescent="0.25">
      <c r="A157" s="6" t="s">
        <v>3505</v>
      </c>
      <c r="B157" s="7">
        <v>46121</v>
      </c>
      <c r="C157" s="7">
        <v>46127</v>
      </c>
      <c r="D157" s="6">
        <v>3270</v>
      </c>
      <c r="E157" s="6">
        <v>336</v>
      </c>
      <c r="F157" s="6">
        <v>4</v>
      </c>
      <c r="G157" s="8">
        <v>7</v>
      </c>
      <c r="H157" s="8">
        <v>4953</v>
      </c>
      <c r="I157" s="8" t="s">
        <v>16</v>
      </c>
      <c r="J157" s="8">
        <v>14281137</v>
      </c>
      <c r="K157" s="8" t="s">
        <v>443</v>
      </c>
      <c r="L157" s="9" t="s">
        <v>447</v>
      </c>
      <c r="M157" s="10">
        <v>69900</v>
      </c>
      <c r="N157" s="64">
        <v>0.75</v>
      </c>
      <c r="O157" s="12">
        <f t="shared" si="3"/>
        <v>17475</v>
      </c>
      <c r="P157" s="6" t="s">
        <v>3499</v>
      </c>
    </row>
    <row r="158" spans="1:16" x14ac:dyDescent="0.25">
      <c r="A158" s="6" t="s">
        <v>3505</v>
      </c>
      <c r="B158" s="7">
        <v>46121</v>
      </c>
      <c r="C158" s="7">
        <v>46127</v>
      </c>
      <c r="D158" s="6">
        <v>3270</v>
      </c>
      <c r="E158" s="6">
        <v>336</v>
      </c>
      <c r="F158" s="6">
        <v>4</v>
      </c>
      <c r="G158" s="8">
        <v>7</v>
      </c>
      <c r="H158" s="8">
        <v>4953</v>
      </c>
      <c r="I158" s="8" t="s">
        <v>16</v>
      </c>
      <c r="J158" s="8">
        <v>17203260</v>
      </c>
      <c r="K158" s="8" t="s">
        <v>448</v>
      </c>
      <c r="L158" s="9" t="s">
        <v>449</v>
      </c>
      <c r="M158" s="10">
        <v>89900</v>
      </c>
      <c r="N158" s="64">
        <v>0.75</v>
      </c>
      <c r="O158" s="12">
        <f t="shared" si="3"/>
        <v>22475</v>
      </c>
      <c r="P158" s="6" t="s">
        <v>3499</v>
      </c>
    </row>
    <row r="159" spans="1:16" x14ac:dyDescent="0.25">
      <c r="A159" s="6" t="s">
        <v>3505</v>
      </c>
      <c r="B159" s="7">
        <v>46121</v>
      </c>
      <c r="C159" s="7">
        <v>46127</v>
      </c>
      <c r="D159" s="6">
        <v>3270</v>
      </c>
      <c r="E159" s="6">
        <v>336</v>
      </c>
      <c r="F159" s="6">
        <v>4</v>
      </c>
      <c r="G159" s="8">
        <v>7</v>
      </c>
      <c r="H159" s="8">
        <v>4953</v>
      </c>
      <c r="I159" s="8" t="s">
        <v>16</v>
      </c>
      <c r="J159" s="8">
        <v>17203233</v>
      </c>
      <c r="K159" s="8" t="s">
        <v>450</v>
      </c>
      <c r="L159" s="9" t="s">
        <v>451</v>
      </c>
      <c r="M159" s="10">
        <v>89900</v>
      </c>
      <c r="N159" s="64">
        <v>0.75</v>
      </c>
      <c r="O159" s="12">
        <f t="shared" si="3"/>
        <v>22475</v>
      </c>
      <c r="P159" s="6" t="s">
        <v>3499</v>
      </c>
    </row>
    <row r="160" spans="1:16" x14ac:dyDescent="0.25">
      <c r="A160" s="6" t="s">
        <v>3505</v>
      </c>
      <c r="B160" s="7">
        <v>46121</v>
      </c>
      <c r="C160" s="7">
        <v>46127</v>
      </c>
      <c r="D160" s="6">
        <v>3270</v>
      </c>
      <c r="E160" s="6">
        <v>336</v>
      </c>
      <c r="F160" s="6">
        <v>4</v>
      </c>
      <c r="G160" s="8">
        <v>7</v>
      </c>
      <c r="H160" s="8">
        <v>4953</v>
      </c>
      <c r="I160" s="8" t="s">
        <v>16</v>
      </c>
      <c r="J160" s="8">
        <v>17203180</v>
      </c>
      <c r="K160" s="8" t="s">
        <v>452</v>
      </c>
      <c r="L160" s="9" t="s">
        <v>453</v>
      </c>
      <c r="M160" s="10">
        <v>89900</v>
      </c>
      <c r="N160" s="64">
        <v>0.75</v>
      </c>
      <c r="O160" s="12">
        <f t="shared" si="3"/>
        <v>22475</v>
      </c>
      <c r="P160" s="6" t="s">
        <v>3499</v>
      </c>
    </row>
    <row r="161" spans="1:16" x14ac:dyDescent="0.25">
      <c r="A161" s="6" t="s">
        <v>3505</v>
      </c>
      <c r="B161" s="7">
        <v>46121</v>
      </c>
      <c r="C161" s="7">
        <v>46127</v>
      </c>
      <c r="D161" s="6">
        <v>3270</v>
      </c>
      <c r="E161" s="6">
        <v>336</v>
      </c>
      <c r="F161" s="6">
        <v>4</v>
      </c>
      <c r="G161" s="8">
        <v>7</v>
      </c>
      <c r="H161" s="8">
        <v>4953</v>
      </c>
      <c r="I161" s="8" t="s">
        <v>16</v>
      </c>
      <c r="J161" s="8">
        <v>17203199</v>
      </c>
      <c r="K161" s="8" t="s">
        <v>452</v>
      </c>
      <c r="L161" s="9" t="s">
        <v>454</v>
      </c>
      <c r="M161" s="10">
        <v>89900</v>
      </c>
      <c r="N161" s="64">
        <v>0.75</v>
      </c>
      <c r="O161" s="12">
        <f t="shared" si="3"/>
        <v>22475</v>
      </c>
      <c r="P161" s="6" t="s">
        <v>3499</v>
      </c>
    </row>
    <row r="162" spans="1:16" x14ac:dyDescent="0.25">
      <c r="A162" s="6" t="s">
        <v>3505</v>
      </c>
      <c r="B162" s="7">
        <v>46121</v>
      </c>
      <c r="C162" s="7">
        <v>46127</v>
      </c>
      <c r="D162" s="6">
        <v>3270</v>
      </c>
      <c r="E162" s="6">
        <v>336</v>
      </c>
      <c r="F162" s="6">
        <v>4</v>
      </c>
      <c r="G162" s="8">
        <v>7</v>
      </c>
      <c r="H162" s="8">
        <v>4953</v>
      </c>
      <c r="I162" s="8" t="s">
        <v>16</v>
      </c>
      <c r="J162" s="8">
        <v>17203206</v>
      </c>
      <c r="K162" s="8" t="s">
        <v>452</v>
      </c>
      <c r="L162" s="9" t="s">
        <v>455</v>
      </c>
      <c r="M162" s="10">
        <v>89900</v>
      </c>
      <c r="N162" s="64">
        <v>0.75</v>
      </c>
      <c r="O162" s="12">
        <f t="shared" si="3"/>
        <v>22475</v>
      </c>
      <c r="P162" s="6" t="s">
        <v>3499</v>
      </c>
    </row>
    <row r="163" spans="1:16" x14ac:dyDescent="0.25">
      <c r="A163" s="6" t="s">
        <v>3505</v>
      </c>
      <c r="B163" s="7">
        <v>46121</v>
      </c>
      <c r="C163" s="7">
        <v>46127</v>
      </c>
      <c r="D163" s="6">
        <v>3270</v>
      </c>
      <c r="E163" s="6">
        <v>336</v>
      </c>
      <c r="F163" s="6">
        <v>4</v>
      </c>
      <c r="G163" s="8">
        <v>7</v>
      </c>
      <c r="H163" s="8">
        <v>4953</v>
      </c>
      <c r="I163" s="8" t="s">
        <v>16</v>
      </c>
      <c r="J163" s="8">
        <v>17203215</v>
      </c>
      <c r="K163" s="8" t="s">
        <v>452</v>
      </c>
      <c r="L163" s="9" t="s">
        <v>456</v>
      </c>
      <c r="M163" s="10">
        <v>89900</v>
      </c>
      <c r="N163" s="64">
        <v>0.75</v>
      </c>
      <c r="O163" s="12">
        <f t="shared" si="3"/>
        <v>22475</v>
      </c>
      <c r="P163" s="6" t="s">
        <v>3499</v>
      </c>
    </row>
    <row r="164" spans="1:16" x14ac:dyDescent="0.25">
      <c r="A164" s="6" t="s">
        <v>3505</v>
      </c>
      <c r="B164" s="7">
        <v>46121</v>
      </c>
      <c r="C164" s="7">
        <v>46127</v>
      </c>
      <c r="D164" s="6">
        <v>3270</v>
      </c>
      <c r="E164" s="6">
        <v>336</v>
      </c>
      <c r="F164" s="6">
        <v>4</v>
      </c>
      <c r="G164" s="8">
        <v>7</v>
      </c>
      <c r="H164" s="8">
        <v>4953</v>
      </c>
      <c r="I164" s="8" t="s">
        <v>16</v>
      </c>
      <c r="J164" s="8">
        <v>17203224</v>
      </c>
      <c r="K164" s="8" t="s">
        <v>450</v>
      </c>
      <c r="L164" s="9" t="s">
        <v>457</v>
      </c>
      <c r="M164" s="10">
        <v>89900</v>
      </c>
      <c r="N164" s="64">
        <v>0.75</v>
      </c>
      <c r="O164" s="12">
        <f t="shared" si="3"/>
        <v>22475</v>
      </c>
      <c r="P164" s="6" t="s">
        <v>3499</v>
      </c>
    </row>
    <row r="165" spans="1:16" x14ac:dyDescent="0.25">
      <c r="A165" s="6" t="s">
        <v>3505</v>
      </c>
      <c r="B165" s="7">
        <v>46121</v>
      </c>
      <c r="C165" s="7">
        <v>46127</v>
      </c>
      <c r="D165" s="6">
        <v>3270</v>
      </c>
      <c r="E165" s="6">
        <v>336</v>
      </c>
      <c r="F165" s="6">
        <v>4</v>
      </c>
      <c r="G165" s="8">
        <v>7</v>
      </c>
      <c r="H165" s="8">
        <v>4953</v>
      </c>
      <c r="I165" s="8" t="s">
        <v>16</v>
      </c>
      <c r="J165" s="8">
        <v>17203242</v>
      </c>
      <c r="K165" s="8" t="s">
        <v>450</v>
      </c>
      <c r="L165" s="9" t="s">
        <v>458</v>
      </c>
      <c r="M165" s="10">
        <v>89900</v>
      </c>
      <c r="N165" s="64">
        <v>0.75</v>
      </c>
      <c r="O165" s="12">
        <f t="shared" si="3"/>
        <v>22475</v>
      </c>
      <c r="P165" s="6" t="s">
        <v>3499</v>
      </c>
    </row>
    <row r="166" spans="1:16" x14ac:dyDescent="0.25">
      <c r="A166" s="6" t="s">
        <v>3505</v>
      </c>
      <c r="B166" s="7">
        <v>46121</v>
      </c>
      <c r="C166" s="7">
        <v>46127</v>
      </c>
      <c r="D166" s="6">
        <v>3270</v>
      </c>
      <c r="E166" s="6">
        <v>336</v>
      </c>
      <c r="F166" s="6">
        <v>4</v>
      </c>
      <c r="G166" s="8">
        <v>7</v>
      </c>
      <c r="H166" s="8">
        <v>4953</v>
      </c>
      <c r="I166" s="8" t="s">
        <v>16</v>
      </c>
      <c r="J166" s="8">
        <v>17203251</v>
      </c>
      <c r="K166" s="8" t="s">
        <v>450</v>
      </c>
      <c r="L166" s="9" t="s">
        <v>459</v>
      </c>
      <c r="M166" s="10">
        <v>89900</v>
      </c>
      <c r="N166" s="64">
        <v>0.75</v>
      </c>
      <c r="O166" s="12">
        <f t="shared" si="3"/>
        <v>22475</v>
      </c>
      <c r="P166" s="6" t="s">
        <v>3499</v>
      </c>
    </row>
    <row r="167" spans="1:16" x14ac:dyDescent="0.25">
      <c r="A167" s="6" t="s">
        <v>3505</v>
      </c>
      <c r="B167" s="7">
        <v>46121</v>
      </c>
      <c r="C167" s="7">
        <v>46127</v>
      </c>
      <c r="D167" s="6">
        <v>3270</v>
      </c>
      <c r="E167" s="6">
        <v>336</v>
      </c>
      <c r="F167" s="6">
        <v>4</v>
      </c>
      <c r="G167" s="8">
        <v>7</v>
      </c>
      <c r="H167" s="8">
        <v>4953</v>
      </c>
      <c r="I167" s="8" t="s">
        <v>16</v>
      </c>
      <c r="J167" s="8">
        <v>17203279</v>
      </c>
      <c r="K167" s="8" t="s">
        <v>448</v>
      </c>
      <c r="L167" s="9" t="s">
        <v>460</v>
      </c>
      <c r="M167" s="10">
        <v>89900</v>
      </c>
      <c r="N167" s="64">
        <v>0.75</v>
      </c>
      <c r="O167" s="12">
        <f t="shared" si="3"/>
        <v>22475</v>
      </c>
      <c r="P167" s="6" t="s">
        <v>3499</v>
      </c>
    </row>
    <row r="168" spans="1:16" x14ac:dyDescent="0.25">
      <c r="A168" s="6" t="s">
        <v>3505</v>
      </c>
      <c r="B168" s="7">
        <v>46121</v>
      </c>
      <c r="C168" s="7">
        <v>46127</v>
      </c>
      <c r="D168" s="6">
        <v>3270</v>
      </c>
      <c r="E168" s="6">
        <v>336</v>
      </c>
      <c r="F168" s="6">
        <v>4</v>
      </c>
      <c r="G168" s="8">
        <v>7</v>
      </c>
      <c r="H168" s="8">
        <v>4953</v>
      </c>
      <c r="I168" s="8" t="s">
        <v>16</v>
      </c>
      <c r="J168" s="8">
        <v>17203288</v>
      </c>
      <c r="K168" s="8" t="s">
        <v>448</v>
      </c>
      <c r="L168" s="9" t="s">
        <v>461</v>
      </c>
      <c r="M168" s="10">
        <v>89900</v>
      </c>
      <c r="N168" s="64">
        <v>0.75</v>
      </c>
      <c r="O168" s="12">
        <f t="shared" si="3"/>
        <v>22475</v>
      </c>
      <c r="P168" s="6" t="s">
        <v>3499</v>
      </c>
    </row>
    <row r="169" spans="1:16" x14ac:dyDescent="0.25">
      <c r="A169" s="6" t="s">
        <v>3505</v>
      </c>
      <c r="B169" s="7">
        <v>46121</v>
      </c>
      <c r="C169" s="7">
        <v>46127</v>
      </c>
      <c r="D169" s="6">
        <v>3270</v>
      </c>
      <c r="E169" s="6">
        <v>336</v>
      </c>
      <c r="F169" s="6">
        <v>4</v>
      </c>
      <c r="G169" s="8">
        <v>7</v>
      </c>
      <c r="H169" s="8">
        <v>4953</v>
      </c>
      <c r="I169" s="8" t="s">
        <v>16</v>
      </c>
      <c r="J169" s="8">
        <v>17203297</v>
      </c>
      <c r="K169" s="8" t="s">
        <v>448</v>
      </c>
      <c r="L169" s="9" t="s">
        <v>462</v>
      </c>
      <c r="M169" s="10">
        <v>89900</v>
      </c>
      <c r="N169" s="64">
        <v>0.75</v>
      </c>
      <c r="O169" s="12">
        <f t="shared" si="3"/>
        <v>22475</v>
      </c>
      <c r="P169" s="6" t="s">
        <v>3499</v>
      </c>
    </row>
    <row r="170" spans="1:16" x14ac:dyDescent="0.25">
      <c r="A170" s="6" t="s">
        <v>3505</v>
      </c>
      <c r="B170" s="7">
        <v>46121</v>
      </c>
      <c r="C170" s="7">
        <v>46127</v>
      </c>
      <c r="D170" s="6">
        <v>3270</v>
      </c>
      <c r="E170" s="6">
        <v>336</v>
      </c>
      <c r="F170" s="6">
        <v>4</v>
      </c>
      <c r="G170" s="15">
        <v>7</v>
      </c>
      <c r="H170" s="15">
        <v>4953</v>
      </c>
      <c r="I170" s="15" t="s">
        <v>16</v>
      </c>
      <c r="J170" s="15">
        <v>18354346</v>
      </c>
      <c r="K170" s="15" t="s">
        <v>463</v>
      </c>
      <c r="L170" s="16" t="s">
        <v>464</v>
      </c>
      <c r="M170" s="17">
        <v>89900</v>
      </c>
      <c r="N170" s="64">
        <v>0.75</v>
      </c>
      <c r="O170" s="12">
        <f t="shared" si="3"/>
        <v>22475</v>
      </c>
      <c r="P170" s="6" t="s">
        <v>3499</v>
      </c>
    </row>
    <row r="171" spans="1:16" x14ac:dyDescent="0.25">
      <c r="A171" s="6" t="s">
        <v>3505</v>
      </c>
      <c r="B171" s="7">
        <v>46121</v>
      </c>
      <c r="C171" s="7">
        <v>46127</v>
      </c>
      <c r="D171" s="6">
        <v>3270</v>
      </c>
      <c r="E171" s="6">
        <v>336</v>
      </c>
      <c r="F171" s="6">
        <v>4</v>
      </c>
      <c r="G171" s="15">
        <v>7</v>
      </c>
      <c r="H171" s="15">
        <v>4953</v>
      </c>
      <c r="I171" s="15" t="s">
        <v>16</v>
      </c>
      <c r="J171" s="15">
        <v>18354355</v>
      </c>
      <c r="K171" s="15" t="s">
        <v>463</v>
      </c>
      <c r="L171" s="16" t="s">
        <v>465</v>
      </c>
      <c r="M171" s="17">
        <v>89900</v>
      </c>
      <c r="N171" s="64">
        <v>0.75</v>
      </c>
      <c r="O171" s="12">
        <f t="shared" si="3"/>
        <v>22475</v>
      </c>
      <c r="P171" s="6" t="s">
        <v>3499</v>
      </c>
    </row>
    <row r="172" spans="1:16" x14ac:dyDescent="0.25">
      <c r="A172" s="6" t="s">
        <v>3505</v>
      </c>
      <c r="B172" s="7">
        <v>46121</v>
      </c>
      <c r="C172" s="7">
        <v>46127</v>
      </c>
      <c r="D172" s="6">
        <v>3270</v>
      </c>
      <c r="E172" s="6">
        <v>336</v>
      </c>
      <c r="F172" s="6">
        <v>4</v>
      </c>
      <c r="G172" s="15">
        <v>7</v>
      </c>
      <c r="H172" s="15">
        <v>4953</v>
      </c>
      <c r="I172" s="15" t="s">
        <v>16</v>
      </c>
      <c r="J172" s="15">
        <v>18354364</v>
      </c>
      <c r="K172" s="15" t="s">
        <v>463</v>
      </c>
      <c r="L172" s="16" t="s">
        <v>466</v>
      </c>
      <c r="M172" s="17">
        <v>89900</v>
      </c>
      <c r="N172" s="64">
        <v>0.75</v>
      </c>
      <c r="O172" s="12">
        <f t="shared" si="3"/>
        <v>22475</v>
      </c>
      <c r="P172" s="6" t="s">
        <v>3499</v>
      </c>
    </row>
    <row r="173" spans="1:16" x14ac:dyDescent="0.25">
      <c r="A173" s="6" t="s">
        <v>3505</v>
      </c>
      <c r="B173" s="7">
        <v>46121</v>
      </c>
      <c r="C173" s="7">
        <v>46127</v>
      </c>
      <c r="D173" s="6">
        <v>3270</v>
      </c>
      <c r="E173" s="6">
        <v>336</v>
      </c>
      <c r="F173" s="6">
        <v>4</v>
      </c>
      <c r="G173" s="15">
        <v>7</v>
      </c>
      <c r="H173" s="15">
        <v>4953</v>
      </c>
      <c r="I173" s="15" t="s">
        <v>16</v>
      </c>
      <c r="J173" s="15">
        <v>18354373</v>
      </c>
      <c r="K173" s="15" t="s">
        <v>463</v>
      </c>
      <c r="L173" s="16" t="s">
        <v>467</v>
      </c>
      <c r="M173" s="17">
        <v>89900</v>
      </c>
      <c r="N173" s="64">
        <v>0.75</v>
      </c>
      <c r="O173" s="12">
        <f t="shared" si="3"/>
        <v>22475</v>
      </c>
      <c r="P173" s="6" t="s">
        <v>3499</v>
      </c>
    </row>
    <row r="174" spans="1:16" x14ac:dyDescent="0.25">
      <c r="A174" s="6" t="s">
        <v>3505</v>
      </c>
      <c r="B174" s="7">
        <v>46121</v>
      </c>
      <c r="C174" s="7">
        <v>46127</v>
      </c>
      <c r="D174" s="6">
        <v>3270</v>
      </c>
      <c r="E174" s="6">
        <v>336</v>
      </c>
      <c r="F174" s="6">
        <v>4</v>
      </c>
      <c r="G174" s="15">
        <v>7</v>
      </c>
      <c r="H174" s="15">
        <v>4953</v>
      </c>
      <c r="I174" s="15" t="s">
        <v>16</v>
      </c>
      <c r="J174" s="15">
        <v>18354382</v>
      </c>
      <c r="K174" s="15" t="s">
        <v>468</v>
      </c>
      <c r="L174" s="16" t="s">
        <v>469</v>
      </c>
      <c r="M174" s="17">
        <v>89900</v>
      </c>
      <c r="N174" s="64">
        <v>0.75</v>
      </c>
      <c r="O174" s="12">
        <f t="shared" si="3"/>
        <v>22475</v>
      </c>
      <c r="P174" s="6" t="s">
        <v>3499</v>
      </c>
    </row>
    <row r="175" spans="1:16" x14ac:dyDescent="0.25">
      <c r="A175" s="6" t="s">
        <v>3505</v>
      </c>
      <c r="B175" s="7">
        <v>46121</v>
      </c>
      <c r="C175" s="7">
        <v>46127</v>
      </c>
      <c r="D175" s="6">
        <v>3270</v>
      </c>
      <c r="E175" s="6">
        <v>336</v>
      </c>
      <c r="F175" s="6">
        <v>4</v>
      </c>
      <c r="G175" s="15">
        <v>7</v>
      </c>
      <c r="H175" s="15">
        <v>4953</v>
      </c>
      <c r="I175" s="15" t="s">
        <v>16</v>
      </c>
      <c r="J175" s="15">
        <v>18354391</v>
      </c>
      <c r="K175" s="15" t="s">
        <v>468</v>
      </c>
      <c r="L175" s="16" t="s">
        <v>470</v>
      </c>
      <c r="M175" s="17">
        <v>89900</v>
      </c>
      <c r="N175" s="64">
        <v>0.75</v>
      </c>
      <c r="O175" s="12">
        <f t="shared" si="3"/>
        <v>22475</v>
      </c>
      <c r="P175" s="6" t="s">
        <v>3499</v>
      </c>
    </row>
    <row r="176" spans="1:16" x14ac:dyDescent="0.25">
      <c r="A176" s="6" t="s">
        <v>3505</v>
      </c>
      <c r="B176" s="7">
        <v>46121</v>
      </c>
      <c r="C176" s="7">
        <v>46127</v>
      </c>
      <c r="D176" s="6">
        <v>3270</v>
      </c>
      <c r="E176" s="6">
        <v>336</v>
      </c>
      <c r="F176" s="6">
        <v>4</v>
      </c>
      <c r="G176" s="15">
        <v>7</v>
      </c>
      <c r="H176" s="15">
        <v>4953</v>
      </c>
      <c r="I176" s="15" t="s">
        <v>16</v>
      </c>
      <c r="J176" s="15">
        <v>18354417</v>
      </c>
      <c r="K176" s="15" t="s">
        <v>468</v>
      </c>
      <c r="L176" s="16" t="s">
        <v>471</v>
      </c>
      <c r="M176" s="17">
        <v>89900</v>
      </c>
      <c r="N176" s="64">
        <v>0.75</v>
      </c>
      <c r="O176" s="12">
        <f t="shared" si="3"/>
        <v>22475</v>
      </c>
      <c r="P176" s="6" t="s">
        <v>3499</v>
      </c>
    </row>
    <row r="177" spans="1:16" x14ac:dyDescent="0.25">
      <c r="A177" s="6" t="s">
        <v>3505</v>
      </c>
      <c r="B177" s="7">
        <v>46121</v>
      </c>
      <c r="C177" s="7">
        <v>46127</v>
      </c>
      <c r="D177" s="6">
        <v>3270</v>
      </c>
      <c r="E177" s="6">
        <v>336</v>
      </c>
      <c r="F177" s="6">
        <v>4</v>
      </c>
      <c r="G177" s="15">
        <v>7</v>
      </c>
      <c r="H177" s="15">
        <v>4953</v>
      </c>
      <c r="I177" s="15" t="s">
        <v>16</v>
      </c>
      <c r="J177" s="15">
        <v>18354435</v>
      </c>
      <c r="K177" s="15" t="s">
        <v>468</v>
      </c>
      <c r="L177" s="16" t="s">
        <v>472</v>
      </c>
      <c r="M177" s="17">
        <v>89900</v>
      </c>
      <c r="N177" s="64">
        <v>0.75</v>
      </c>
      <c r="O177" s="12">
        <f t="shared" si="3"/>
        <v>22475</v>
      </c>
      <c r="P177" s="6" t="s">
        <v>3499</v>
      </c>
    </row>
    <row r="178" spans="1:16" x14ac:dyDescent="0.25">
      <c r="A178" s="6" t="s">
        <v>3505</v>
      </c>
      <c r="B178" s="7">
        <v>46121</v>
      </c>
      <c r="C178" s="7">
        <v>46127</v>
      </c>
      <c r="D178" s="6">
        <v>3270</v>
      </c>
      <c r="E178" s="6">
        <v>336</v>
      </c>
      <c r="F178" s="6">
        <v>4</v>
      </c>
      <c r="G178" s="15">
        <v>7</v>
      </c>
      <c r="H178" s="15">
        <v>4953</v>
      </c>
      <c r="I178" s="15" t="s">
        <v>16</v>
      </c>
      <c r="J178" s="15">
        <v>18354444</v>
      </c>
      <c r="K178" s="15" t="s">
        <v>473</v>
      </c>
      <c r="L178" s="16" t="s">
        <v>474</v>
      </c>
      <c r="M178" s="17">
        <v>89900</v>
      </c>
      <c r="N178" s="64">
        <v>0.75</v>
      </c>
      <c r="O178" s="12">
        <f t="shared" si="3"/>
        <v>22475</v>
      </c>
      <c r="P178" s="6" t="s">
        <v>3499</v>
      </c>
    </row>
    <row r="179" spans="1:16" x14ac:dyDescent="0.25">
      <c r="A179" s="6" t="s">
        <v>3505</v>
      </c>
      <c r="B179" s="7">
        <v>46121</v>
      </c>
      <c r="C179" s="7">
        <v>46127</v>
      </c>
      <c r="D179" s="6">
        <v>3270</v>
      </c>
      <c r="E179" s="6">
        <v>336</v>
      </c>
      <c r="F179" s="6">
        <v>4</v>
      </c>
      <c r="G179" s="15">
        <v>7</v>
      </c>
      <c r="H179" s="15">
        <v>4953</v>
      </c>
      <c r="I179" s="15" t="s">
        <v>16</v>
      </c>
      <c r="J179" s="15">
        <v>18354453</v>
      </c>
      <c r="K179" s="15" t="s">
        <v>473</v>
      </c>
      <c r="L179" s="16" t="s">
        <v>475</v>
      </c>
      <c r="M179" s="17">
        <v>89900</v>
      </c>
      <c r="N179" s="64">
        <v>0.75</v>
      </c>
      <c r="O179" s="12">
        <f t="shared" si="3"/>
        <v>22475</v>
      </c>
      <c r="P179" s="6" t="s">
        <v>3499</v>
      </c>
    </row>
    <row r="180" spans="1:16" x14ac:dyDescent="0.25">
      <c r="A180" s="6" t="s">
        <v>3505</v>
      </c>
      <c r="B180" s="7">
        <v>46121</v>
      </c>
      <c r="C180" s="7">
        <v>46127</v>
      </c>
      <c r="D180" s="6">
        <v>3270</v>
      </c>
      <c r="E180" s="6">
        <v>336</v>
      </c>
      <c r="F180" s="6">
        <v>4</v>
      </c>
      <c r="G180" s="15">
        <v>7</v>
      </c>
      <c r="H180" s="15">
        <v>4953</v>
      </c>
      <c r="I180" s="15" t="s">
        <v>16</v>
      </c>
      <c r="J180" s="15">
        <v>18354462</v>
      </c>
      <c r="K180" s="15" t="s">
        <v>473</v>
      </c>
      <c r="L180" s="16" t="s">
        <v>476</v>
      </c>
      <c r="M180" s="17">
        <v>89900</v>
      </c>
      <c r="N180" s="64">
        <v>0.75</v>
      </c>
      <c r="O180" s="12">
        <f t="shared" si="3"/>
        <v>22475</v>
      </c>
      <c r="P180" s="6" t="s">
        <v>3499</v>
      </c>
    </row>
    <row r="181" spans="1:16" x14ac:dyDescent="0.25">
      <c r="A181" s="6" t="s">
        <v>3505</v>
      </c>
      <c r="B181" s="7">
        <v>46121</v>
      </c>
      <c r="C181" s="7">
        <v>46127</v>
      </c>
      <c r="D181" s="6">
        <v>3270</v>
      </c>
      <c r="E181" s="6">
        <v>336</v>
      </c>
      <c r="F181" s="6">
        <v>4</v>
      </c>
      <c r="G181" s="15">
        <v>7</v>
      </c>
      <c r="H181" s="15">
        <v>4953</v>
      </c>
      <c r="I181" s="15" t="s">
        <v>16</v>
      </c>
      <c r="J181" s="15">
        <v>18354471</v>
      </c>
      <c r="K181" s="15" t="s">
        <v>473</v>
      </c>
      <c r="L181" s="16" t="s">
        <v>477</v>
      </c>
      <c r="M181" s="17">
        <v>89900</v>
      </c>
      <c r="N181" s="64">
        <v>0.75</v>
      </c>
      <c r="O181" s="12">
        <f t="shared" si="3"/>
        <v>22475</v>
      </c>
      <c r="P181" s="6" t="s">
        <v>3499</v>
      </c>
    </row>
    <row r="182" spans="1:16" x14ac:dyDescent="0.25">
      <c r="A182" s="6" t="s">
        <v>3505</v>
      </c>
      <c r="B182" s="7">
        <v>46121</v>
      </c>
      <c r="C182" s="7">
        <v>46127</v>
      </c>
      <c r="D182" s="6">
        <v>3270</v>
      </c>
      <c r="E182" s="6">
        <v>336</v>
      </c>
      <c r="F182" s="6">
        <v>4</v>
      </c>
      <c r="G182" s="15">
        <v>7</v>
      </c>
      <c r="H182" s="15">
        <v>4953</v>
      </c>
      <c r="I182" s="15" t="s">
        <v>16</v>
      </c>
      <c r="J182" s="15">
        <v>18354560</v>
      </c>
      <c r="K182" s="15" t="s">
        <v>478</v>
      </c>
      <c r="L182" s="16" t="s">
        <v>479</v>
      </c>
      <c r="M182" s="17">
        <v>89900</v>
      </c>
      <c r="N182" s="64">
        <v>0.75</v>
      </c>
      <c r="O182" s="12">
        <f t="shared" si="3"/>
        <v>22475</v>
      </c>
      <c r="P182" s="6" t="s">
        <v>3499</v>
      </c>
    </row>
    <row r="183" spans="1:16" x14ac:dyDescent="0.25">
      <c r="A183" s="6" t="s">
        <v>3505</v>
      </c>
      <c r="B183" s="7">
        <v>46121</v>
      </c>
      <c r="C183" s="7">
        <v>46127</v>
      </c>
      <c r="D183" s="6">
        <v>3270</v>
      </c>
      <c r="E183" s="6">
        <v>336</v>
      </c>
      <c r="F183" s="6">
        <v>4</v>
      </c>
      <c r="G183" s="15">
        <v>7</v>
      </c>
      <c r="H183" s="15">
        <v>4953</v>
      </c>
      <c r="I183" s="15" t="s">
        <v>16</v>
      </c>
      <c r="J183" s="15">
        <v>18354579</v>
      </c>
      <c r="K183" s="15" t="s">
        <v>478</v>
      </c>
      <c r="L183" s="16" t="s">
        <v>480</v>
      </c>
      <c r="M183" s="17">
        <v>89900</v>
      </c>
      <c r="N183" s="64">
        <v>0.75</v>
      </c>
      <c r="O183" s="12">
        <f t="shared" si="3"/>
        <v>22475</v>
      </c>
      <c r="P183" s="6" t="s">
        <v>3499</v>
      </c>
    </row>
    <row r="184" spans="1:16" x14ac:dyDescent="0.25">
      <c r="A184" s="6" t="s">
        <v>3505</v>
      </c>
      <c r="B184" s="7">
        <v>46121</v>
      </c>
      <c r="C184" s="7">
        <v>46127</v>
      </c>
      <c r="D184" s="6">
        <v>3270</v>
      </c>
      <c r="E184" s="6">
        <v>336</v>
      </c>
      <c r="F184" s="6">
        <v>4</v>
      </c>
      <c r="G184" s="15">
        <v>7</v>
      </c>
      <c r="H184" s="15">
        <v>4953</v>
      </c>
      <c r="I184" s="15" t="s">
        <v>16</v>
      </c>
      <c r="J184" s="15">
        <v>18354588</v>
      </c>
      <c r="K184" s="15" t="s">
        <v>478</v>
      </c>
      <c r="L184" s="16" t="s">
        <v>481</v>
      </c>
      <c r="M184" s="17">
        <v>89900</v>
      </c>
      <c r="N184" s="64">
        <v>0.75</v>
      </c>
      <c r="O184" s="12">
        <f t="shared" si="3"/>
        <v>22475</v>
      </c>
      <c r="P184" s="6" t="s">
        <v>3499</v>
      </c>
    </row>
    <row r="185" spans="1:16" x14ac:dyDescent="0.25">
      <c r="A185" s="6" t="s">
        <v>3505</v>
      </c>
      <c r="B185" s="7">
        <v>46121</v>
      </c>
      <c r="C185" s="7">
        <v>46127</v>
      </c>
      <c r="D185" s="6">
        <v>3270</v>
      </c>
      <c r="E185" s="6">
        <v>336</v>
      </c>
      <c r="F185" s="6">
        <v>4</v>
      </c>
      <c r="G185" s="15">
        <v>7</v>
      </c>
      <c r="H185" s="15">
        <v>4953</v>
      </c>
      <c r="I185" s="15" t="s">
        <v>16</v>
      </c>
      <c r="J185" s="15">
        <v>18354597</v>
      </c>
      <c r="K185" s="15" t="s">
        <v>478</v>
      </c>
      <c r="L185" s="16" t="s">
        <v>482</v>
      </c>
      <c r="M185" s="17">
        <v>89900</v>
      </c>
      <c r="N185" s="64">
        <v>0.75</v>
      </c>
      <c r="O185" s="12">
        <f t="shared" si="3"/>
        <v>22475</v>
      </c>
      <c r="P185" s="6" t="s">
        <v>3499</v>
      </c>
    </row>
    <row r="186" spans="1:16" x14ac:dyDescent="0.25">
      <c r="A186" s="6" t="s">
        <v>3505</v>
      </c>
      <c r="B186" s="7">
        <v>46121</v>
      </c>
      <c r="C186" s="7">
        <v>46127</v>
      </c>
      <c r="D186" s="6">
        <v>3270</v>
      </c>
      <c r="E186" s="6">
        <v>336</v>
      </c>
      <c r="F186" s="6">
        <v>4</v>
      </c>
      <c r="G186" s="15">
        <v>7</v>
      </c>
      <c r="H186" s="15">
        <v>81684</v>
      </c>
      <c r="I186" s="15" t="s">
        <v>16</v>
      </c>
      <c r="J186" s="15">
        <v>17203064</v>
      </c>
      <c r="K186" s="15" t="s">
        <v>483</v>
      </c>
      <c r="L186" s="16" t="s">
        <v>484</v>
      </c>
      <c r="M186" s="17">
        <v>89900</v>
      </c>
      <c r="N186" s="64">
        <v>0.75</v>
      </c>
      <c r="O186" s="12">
        <f t="shared" si="3"/>
        <v>22475</v>
      </c>
      <c r="P186" s="6" t="s">
        <v>3499</v>
      </c>
    </row>
    <row r="187" spans="1:16" x14ac:dyDescent="0.25">
      <c r="A187" s="6" t="s">
        <v>3505</v>
      </c>
      <c r="B187" s="7">
        <v>46121</v>
      </c>
      <c r="C187" s="7">
        <v>46127</v>
      </c>
      <c r="D187" s="6">
        <v>3270</v>
      </c>
      <c r="E187" s="6">
        <v>336</v>
      </c>
      <c r="F187" s="6">
        <v>4</v>
      </c>
      <c r="G187" s="15">
        <v>7</v>
      </c>
      <c r="H187" s="15">
        <v>81684</v>
      </c>
      <c r="I187" s="15" t="s">
        <v>16</v>
      </c>
      <c r="J187" s="15">
        <v>17203073</v>
      </c>
      <c r="K187" s="15" t="s">
        <v>483</v>
      </c>
      <c r="L187" s="16" t="s">
        <v>485</v>
      </c>
      <c r="M187" s="17">
        <v>89900</v>
      </c>
      <c r="N187" s="64">
        <v>0.75</v>
      </c>
      <c r="O187" s="12">
        <f t="shared" si="3"/>
        <v>22475</v>
      </c>
      <c r="P187" s="6" t="s">
        <v>3499</v>
      </c>
    </row>
    <row r="188" spans="1:16" x14ac:dyDescent="0.25">
      <c r="A188" s="6" t="s">
        <v>3505</v>
      </c>
      <c r="B188" s="7">
        <v>46121</v>
      </c>
      <c r="C188" s="7">
        <v>46127</v>
      </c>
      <c r="D188" s="6">
        <v>3270</v>
      </c>
      <c r="E188" s="6">
        <v>336</v>
      </c>
      <c r="F188" s="6">
        <v>4</v>
      </c>
      <c r="G188" s="15">
        <v>7</v>
      </c>
      <c r="H188" s="15">
        <v>81684</v>
      </c>
      <c r="I188" s="15" t="s">
        <v>16</v>
      </c>
      <c r="J188" s="15">
        <v>17203082</v>
      </c>
      <c r="K188" s="15" t="s">
        <v>483</v>
      </c>
      <c r="L188" s="16" t="s">
        <v>486</v>
      </c>
      <c r="M188" s="17">
        <v>89900</v>
      </c>
      <c r="N188" s="64">
        <v>0.75</v>
      </c>
      <c r="O188" s="12">
        <f t="shared" si="3"/>
        <v>22475</v>
      </c>
      <c r="P188" s="6" t="s">
        <v>3499</v>
      </c>
    </row>
    <row r="189" spans="1:16" x14ac:dyDescent="0.25">
      <c r="A189" s="6" t="s">
        <v>3505</v>
      </c>
      <c r="B189" s="7">
        <v>46121</v>
      </c>
      <c r="C189" s="7">
        <v>46127</v>
      </c>
      <c r="D189" s="6">
        <v>3270</v>
      </c>
      <c r="E189" s="6">
        <v>336</v>
      </c>
      <c r="F189" s="6">
        <v>4</v>
      </c>
      <c r="G189" s="15">
        <v>7</v>
      </c>
      <c r="H189" s="15">
        <v>81684</v>
      </c>
      <c r="I189" s="15" t="s">
        <v>16</v>
      </c>
      <c r="J189" s="15">
        <v>17203091</v>
      </c>
      <c r="K189" s="15" t="s">
        <v>483</v>
      </c>
      <c r="L189" s="16" t="s">
        <v>487</v>
      </c>
      <c r="M189" s="17">
        <v>89900</v>
      </c>
      <c r="N189" s="64">
        <v>0.75</v>
      </c>
      <c r="O189" s="12">
        <f t="shared" si="3"/>
        <v>22475</v>
      </c>
      <c r="P189" s="6" t="s">
        <v>3499</v>
      </c>
    </row>
    <row r="190" spans="1:16" x14ac:dyDescent="0.25">
      <c r="A190" s="6" t="s">
        <v>3505</v>
      </c>
      <c r="B190" s="7">
        <v>46121</v>
      </c>
      <c r="C190" s="7">
        <v>46127</v>
      </c>
      <c r="D190" s="6">
        <v>3270</v>
      </c>
      <c r="E190" s="6">
        <v>336</v>
      </c>
      <c r="F190" s="6">
        <v>4</v>
      </c>
      <c r="G190" s="15">
        <v>7</v>
      </c>
      <c r="H190" s="15">
        <v>81684</v>
      </c>
      <c r="I190" s="15" t="s">
        <v>16</v>
      </c>
      <c r="J190" s="15">
        <v>17203108</v>
      </c>
      <c r="K190" s="15" t="s">
        <v>488</v>
      </c>
      <c r="L190" s="16" t="s">
        <v>489</v>
      </c>
      <c r="M190" s="17">
        <v>89900</v>
      </c>
      <c r="N190" s="64">
        <v>0.75</v>
      </c>
      <c r="O190" s="12">
        <f t="shared" si="3"/>
        <v>22475</v>
      </c>
      <c r="P190" s="6" t="s">
        <v>3499</v>
      </c>
    </row>
    <row r="191" spans="1:16" x14ac:dyDescent="0.25">
      <c r="A191" s="6" t="s">
        <v>3505</v>
      </c>
      <c r="B191" s="7">
        <v>46121</v>
      </c>
      <c r="C191" s="7">
        <v>46127</v>
      </c>
      <c r="D191" s="6">
        <v>3270</v>
      </c>
      <c r="E191" s="6">
        <v>336</v>
      </c>
      <c r="F191" s="6">
        <v>4</v>
      </c>
      <c r="G191" s="15">
        <v>7</v>
      </c>
      <c r="H191" s="15">
        <v>81684</v>
      </c>
      <c r="I191" s="15" t="s">
        <v>16</v>
      </c>
      <c r="J191" s="15">
        <v>17203117</v>
      </c>
      <c r="K191" s="15" t="s">
        <v>488</v>
      </c>
      <c r="L191" s="16" t="s">
        <v>490</v>
      </c>
      <c r="M191" s="17">
        <v>89900</v>
      </c>
      <c r="N191" s="64">
        <v>0.75</v>
      </c>
      <c r="O191" s="12">
        <f t="shared" si="3"/>
        <v>22475</v>
      </c>
      <c r="P191" s="6" t="s">
        <v>3499</v>
      </c>
    </row>
    <row r="192" spans="1:16" x14ac:dyDescent="0.25">
      <c r="A192" s="6" t="s">
        <v>3505</v>
      </c>
      <c r="B192" s="7">
        <v>46121</v>
      </c>
      <c r="C192" s="7">
        <v>46127</v>
      </c>
      <c r="D192" s="6">
        <v>3270</v>
      </c>
      <c r="E192" s="6">
        <v>336</v>
      </c>
      <c r="F192" s="6">
        <v>4</v>
      </c>
      <c r="G192" s="15">
        <v>7</v>
      </c>
      <c r="H192" s="15">
        <v>81684</v>
      </c>
      <c r="I192" s="15" t="s">
        <v>16</v>
      </c>
      <c r="J192" s="15">
        <v>17203126</v>
      </c>
      <c r="K192" s="15" t="s">
        <v>488</v>
      </c>
      <c r="L192" s="16" t="s">
        <v>491</v>
      </c>
      <c r="M192" s="17">
        <v>89900</v>
      </c>
      <c r="N192" s="64">
        <v>0.75</v>
      </c>
      <c r="O192" s="12">
        <f t="shared" si="3"/>
        <v>22475</v>
      </c>
      <c r="P192" s="6" t="s">
        <v>3499</v>
      </c>
    </row>
    <row r="193" spans="1:16" x14ac:dyDescent="0.25">
      <c r="A193" s="6" t="s">
        <v>3505</v>
      </c>
      <c r="B193" s="7">
        <v>46121</v>
      </c>
      <c r="C193" s="7">
        <v>46127</v>
      </c>
      <c r="D193" s="6">
        <v>3270</v>
      </c>
      <c r="E193" s="6">
        <v>336</v>
      </c>
      <c r="F193" s="6">
        <v>4</v>
      </c>
      <c r="G193" s="15">
        <v>7</v>
      </c>
      <c r="H193" s="15">
        <v>81684</v>
      </c>
      <c r="I193" s="15" t="s">
        <v>16</v>
      </c>
      <c r="J193" s="15">
        <v>17203135</v>
      </c>
      <c r="K193" s="15" t="s">
        <v>488</v>
      </c>
      <c r="L193" s="16" t="s">
        <v>492</v>
      </c>
      <c r="M193" s="17">
        <v>89900</v>
      </c>
      <c r="N193" s="64">
        <v>0.75</v>
      </c>
      <c r="O193" s="12">
        <f t="shared" si="3"/>
        <v>22475</v>
      </c>
      <c r="P193" s="6" t="s">
        <v>3499</v>
      </c>
    </row>
    <row r="194" spans="1:16" x14ac:dyDescent="0.25">
      <c r="A194" s="6" t="s">
        <v>3505</v>
      </c>
      <c r="B194" s="7">
        <v>46121</v>
      </c>
      <c r="C194" s="7">
        <v>46127</v>
      </c>
      <c r="D194" s="6">
        <v>3270</v>
      </c>
      <c r="E194" s="6">
        <v>336</v>
      </c>
      <c r="F194" s="6">
        <v>4</v>
      </c>
      <c r="G194" s="6">
        <v>7</v>
      </c>
      <c r="H194" s="6">
        <v>81684</v>
      </c>
      <c r="I194" s="15" t="s">
        <v>16</v>
      </c>
      <c r="J194" s="6">
        <v>17203144</v>
      </c>
      <c r="K194" s="6" t="s">
        <v>493</v>
      </c>
      <c r="L194" s="13" t="s">
        <v>494</v>
      </c>
      <c r="M194" s="19">
        <v>89900</v>
      </c>
      <c r="N194" s="64">
        <v>0.75</v>
      </c>
      <c r="O194" s="12">
        <f t="shared" si="3"/>
        <v>22475</v>
      </c>
      <c r="P194" s="6" t="s">
        <v>3499</v>
      </c>
    </row>
    <row r="195" spans="1:16" x14ac:dyDescent="0.25">
      <c r="A195" s="6" t="s">
        <v>3505</v>
      </c>
      <c r="B195" s="7">
        <v>46121</v>
      </c>
      <c r="C195" s="7">
        <v>46127</v>
      </c>
      <c r="D195" s="6">
        <v>3270</v>
      </c>
      <c r="E195" s="6">
        <v>336</v>
      </c>
      <c r="F195" s="6">
        <v>4</v>
      </c>
      <c r="G195" s="6">
        <v>7</v>
      </c>
      <c r="H195" s="6">
        <v>81684</v>
      </c>
      <c r="I195" s="15" t="s">
        <v>16</v>
      </c>
      <c r="J195" s="6">
        <v>17203153</v>
      </c>
      <c r="K195" s="6" t="s">
        <v>493</v>
      </c>
      <c r="L195" s="13" t="s">
        <v>495</v>
      </c>
      <c r="M195" s="19">
        <v>89900</v>
      </c>
      <c r="N195" s="64">
        <v>0.75</v>
      </c>
      <c r="O195" s="12">
        <f t="shared" ref="O195:O233" si="4">M195-((75*M195)/100)</f>
        <v>22475</v>
      </c>
      <c r="P195" s="6" t="s">
        <v>3499</v>
      </c>
    </row>
    <row r="196" spans="1:16" x14ac:dyDescent="0.25">
      <c r="A196" s="6" t="s">
        <v>3505</v>
      </c>
      <c r="B196" s="7">
        <v>46121</v>
      </c>
      <c r="C196" s="7">
        <v>46127</v>
      </c>
      <c r="D196" s="6">
        <v>3270</v>
      </c>
      <c r="E196" s="6">
        <v>336</v>
      </c>
      <c r="F196" s="6">
        <v>4</v>
      </c>
      <c r="G196" s="6">
        <v>7</v>
      </c>
      <c r="H196" s="6">
        <v>81684</v>
      </c>
      <c r="I196" s="15" t="s">
        <v>16</v>
      </c>
      <c r="J196" s="6">
        <v>17203162</v>
      </c>
      <c r="K196" s="6" t="s">
        <v>493</v>
      </c>
      <c r="L196" s="13" t="s">
        <v>496</v>
      </c>
      <c r="M196" s="19">
        <v>89900</v>
      </c>
      <c r="N196" s="64">
        <v>0.75</v>
      </c>
      <c r="O196" s="12">
        <f t="shared" si="4"/>
        <v>22475</v>
      </c>
      <c r="P196" s="6" t="s">
        <v>3499</v>
      </c>
    </row>
    <row r="197" spans="1:16" x14ac:dyDescent="0.25">
      <c r="A197" s="6" t="s">
        <v>3505</v>
      </c>
      <c r="B197" s="7">
        <v>46121</v>
      </c>
      <c r="C197" s="7">
        <v>46127</v>
      </c>
      <c r="D197" s="6">
        <v>3270</v>
      </c>
      <c r="E197" s="6">
        <v>336</v>
      </c>
      <c r="F197" s="6">
        <v>4</v>
      </c>
      <c r="G197" s="6">
        <v>7</v>
      </c>
      <c r="H197" s="6">
        <v>81684</v>
      </c>
      <c r="I197" s="15" t="s">
        <v>16</v>
      </c>
      <c r="J197" s="6">
        <v>17203171</v>
      </c>
      <c r="K197" s="6" t="s">
        <v>493</v>
      </c>
      <c r="L197" s="13" t="s">
        <v>497</v>
      </c>
      <c r="M197" s="19">
        <v>89900</v>
      </c>
      <c r="N197" s="64">
        <v>0.75</v>
      </c>
      <c r="O197" s="12">
        <f t="shared" si="4"/>
        <v>22475</v>
      </c>
      <c r="P197" s="6" t="s">
        <v>3499</v>
      </c>
    </row>
    <row r="198" spans="1:16" x14ac:dyDescent="0.25">
      <c r="A198" s="6" t="s">
        <v>3505</v>
      </c>
      <c r="B198" s="7">
        <v>46121</v>
      </c>
      <c r="C198" s="7">
        <v>46127</v>
      </c>
      <c r="D198" s="6">
        <v>3270</v>
      </c>
      <c r="E198" s="6">
        <v>336</v>
      </c>
      <c r="F198" s="6">
        <v>4</v>
      </c>
      <c r="G198" s="6">
        <v>7</v>
      </c>
      <c r="H198" s="6">
        <v>81684</v>
      </c>
      <c r="I198" s="15" t="s">
        <v>16</v>
      </c>
      <c r="J198" s="6">
        <v>18660229</v>
      </c>
      <c r="K198" s="6" t="s">
        <v>498</v>
      </c>
      <c r="L198" s="13" t="s">
        <v>499</v>
      </c>
      <c r="M198" s="19">
        <v>69900</v>
      </c>
      <c r="N198" s="64">
        <v>0.75</v>
      </c>
      <c r="O198" s="12">
        <f t="shared" si="4"/>
        <v>17475</v>
      </c>
      <c r="P198" s="6" t="s">
        <v>3499</v>
      </c>
    </row>
    <row r="199" spans="1:16" x14ac:dyDescent="0.25">
      <c r="A199" s="6" t="s">
        <v>3505</v>
      </c>
      <c r="B199" s="7">
        <v>46121</v>
      </c>
      <c r="C199" s="7">
        <v>46127</v>
      </c>
      <c r="D199" s="6">
        <v>3270</v>
      </c>
      <c r="E199" s="6">
        <v>336</v>
      </c>
      <c r="F199" s="6">
        <v>4</v>
      </c>
      <c r="G199" s="6">
        <v>7</v>
      </c>
      <c r="H199" s="6">
        <v>81684</v>
      </c>
      <c r="I199" s="15" t="s">
        <v>16</v>
      </c>
      <c r="J199" s="6">
        <v>18660238</v>
      </c>
      <c r="K199" s="6" t="s">
        <v>498</v>
      </c>
      <c r="L199" s="13" t="s">
        <v>500</v>
      </c>
      <c r="M199" s="19">
        <v>69900</v>
      </c>
      <c r="N199" s="64">
        <v>0.75</v>
      </c>
      <c r="O199" s="12">
        <f t="shared" si="4"/>
        <v>17475</v>
      </c>
      <c r="P199" s="6" t="s">
        <v>3499</v>
      </c>
    </row>
    <row r="200" spans="1:16" x14ac:dyDescent="0.25">
      <c r="A200" s="6" t="s">
        <v>3505</v>
      </c>
      <c r="B200" s="7">
        <v>46121</v>
      </c>
      <c r="C200" s="7">
        <v>46127</v>
      </c>
      <c r="D200" s="6">
        <v>3270</v>
      </c>
      <c r="E200" s="6">
        <v>336</v>
      </c>
      <c r="F200" s="6">
        <v>4</v>
      </c>
      <c r="G200" s="6">
        <v>7</v>
      </c>
      <c r="H200" s="6">
        <v>81684</v>
      </c>
      <c r="I200" s="15" t="s">
        <v>16</v>
      </c>
      <c r="J200" s="6">
        <v>18660247</v>
      </c>
      <c r="K200" s="6" t="s">
        <v>498</v>
      </c>
      <c r="L200" s="13" t="s">
        <v>501</v>
      </c>
      <c r="M200" s="19">
        <v>69900</v>
      </c>
      <c r="N200" s="64">
        <v>0.75</v>
      </c>
      <c r="O200" s="12">
        <f t="shared" si="4"/>
        <v>17475</v>
      </c>
      <c r="P200" s="6" t="s">
        <v>3499</v>
      </c>
    </row>
    <row r="201" spans="1:16" x14ac:dyDescent="0.25">
      <c r="A201" s="6" t="s">
        <v>3505</v>
      </c>
      <c r="B201" s="7">
        <v>46121</v>
      </c>
      <c r="C201" s="7">
        <v>46127</v>
      </c>
      <c r="D201" s="6">
        <v>3270</v>
      </c>
      <c r="E201" s="6">
        <v>336</v>
      </c>
      <c r="F201" s="6">
        <v>4</v>
      </c>
      <c r="G201" s="6">
        <v>7</v>
      </c>
      <c r="H201" s="6">
        <v>81684</v>
      </c>
      <c r="I201" s="15" t="s">
        <v>16</v>
      </c>
      <c r="J201" s="6">
        <v>18660256</v>
      </c>
      <c r="K201" s="6" t="s">
        <v>498</v>
      </c>
      <c r="L201" s="13" t="s">
        <v>502</v>
      </c>
      <c r="M201" s="19">
        <v>69900</v>
      </c>
      <c r="N201" s="64">
        <v>0.75</v>
      </c>
      <c r="O201" s="12">
        <f t="shared" si="4"/>
        <v>17475</v>
      </c>
      <c r="P201" s="6" t="s">
        <v>3499</v>
      </c>
    </row>
    <row r="202" spans="1:16" x14ac:dyDescent="0.25">
      <c r="A202" s="6" t="s">
        <v>3505</v>
      </c>
      <c r="B202" s="7">
        <v>46121</v>
      </c>
      <c r="C202" s="7">
        <v>46127</v>
      </c>
      <c r="D202" s="6">
        <v>3270</v>
      </c>
      <c r="E202" s="6">
        <v>336</v>
      </c>
      <c r="F202" s="6">
        <v>4</v>
      </c>
      <c r="G202" s="6">
        <v>7</v>
      </c>
      <c r="H202" s="6">
        <v>81684</v>
      </c>
      <c r="I202" s="15" t="s">
        <v>16</v>
      </c>
      <c r="J202" s="6">
        <v>18660265</v>
      </c>
      <c r="K202" s="6" t="s">
        <v>503</v>
      </c>
      <c r="L202" s="13" t="s">
        <v>504</v>
      </c>
      <c r="M202" s="19">
        <v>69900</v>
      </c>
      <c r="N202" s="64">
        <v>0.75</v>
      </c>
      <c r="O202" s="12">
        <f t="shared" si="4"/>
        <v>17475</v>
      </c>
      <c r="P202" s="6" t="s">
        <v>3499</v>
      </c>
    </row>
    <row r="203" spans="1:16" x14ac:dyDescent="0.25">
      <c r="A203" s="6" t="s">
        <v>3505</v>
      </c>
      <c r="B203" s="7">
        <v>46121</v>
      </c>
      <c r="C203" s="7">
        <v>46127</v>
      </c>
      <c r="D203" s="6">
        <v>3270</v>
      </c>
      <c r="E203" s="6">
        <v>336</v>
      </c>
      <c r="F203" s="6">
        <v>4</v>
      </c>
      <c r="G203" s="6">
        <v>7</v>
      </c>
      <c r="H203" s="6">
        <v>81684</v>
      </c>
      <c r="I203" s="15" t="s">
        <v>16</v>
      </c>
      <c r="J203" s="6">
        <v>18660274</v>
      </c>
      <c r="K203" s="6" t="s">
        <v>503</v>
      </c>
      <c r="L203" s="13" t="s">
        <v>505</v>
      </c>
      <c r="M203" s="19">
        <v>69900</v>
      </c>
      <c r="N203" s="64">
        <v>0.75</v>
      </c>
      <c r="O203" s="12">
        <f t="shared" si="4"/>
        <v>17475</v>
      </c>
      <c r="P203" s="6" t="s">
        <v>3499</v>
      </c>
    </row>
    <row r="204" spans="1:16" x14ac:dyDescent="0.25">
      <c r="A204" s="6" t="s">
        <v>3505</v>
      </c>
      <c r="B204" s="7">
        <v>46121</v>
      </c>
      <c r="C204" s="7">
        <v>46127</v>
      </c>
      <c r="D204" s="6">
        <v>3270</v>
      </c>
      <c r="E204" s="6">
        <v>336</v>
      </c>
      <c r="F204" s="6">
        <v>4</v>
      </c>
      <c r="G204" s="6">
        <v>7</v>
      </c>
      <c r="H204" s="6">
        <v>81684</v>
      </c>
      <c r="I204" s="15" t="s">
        <v>16</v>
      </c>
      <c r="J204" s="6">
        <v>18660283</v>
      </c>
      <c r="K204" s="6" t="s">
        <v>503</v>
      </c>
      <c r="L204" s="13" t="s">
        <v>506</v>
      </c>
      <c r="M204" s="19">
        <v>69900</v>
      </c>
      <c r="N204" s="64">
        <v>0.75</v>
      </c>
      <c r="O204" s="12">
        <f t="shared" si="4"/>
        <v>17475</v>
      </c>
      <c r="P204" s="6" t="s">
        <v>3499</v>
      </c>
    </row>
    <row r="205" spans="1:16" x14ac:dyDescent="0.25">
      <c r="A205" s="6" t="s">
        <v>3505</v>
      </c>
      <c r="B205" s="7">
        <v>46121</v>
      </c>
      <c r="C205" s="7">
        <v>46127</v>
      </c>
      <c r="D205" s="6">
        <v>3270</v>
      </c>
      <c r="E205" s="6">
        <v>336</v>
      </c>
      <c r="F205" s="6">
        <v>4</v>
      </c>
      <c r="G205" s="6">
        <v>7</v>
      </c>
      <c r="H205" s="6">
        <v>81684</v>
      </c>
      <c r="I205" s="15" t="s">
        <v>16</v>
      </c>
      <c r="J205" s="6">
        <v>18660292</v>
      </c>
      <c r="K205" s="6" t="s">
        <v>503</v>
      </c>
      <c r="L205" s="13" t="s">
        <v>507</v>
      </c>
      <c r="M205" s="19">
        <v>69900</v>
      </c>
      <c r="N205" s="64">
        <v>0.75</v>
      </c>
      <c r="O205" s="12">
        <f t="shared" si="4"/>
        <v>17475</v>
      </c>
      <c r="P205" s="6" t="s">
        <v>3499</v>
      </c>
    </row>
    <row r="206" spans="1:16" x14ac:dyDescent="0.25">
      <c r="A206" s="6" t="s">
        <v>3505</v>
      </c>
      <c r="B206" s="7">
        <v>46121</v>
      </c>
      <c r="C206" s="7">
        <v>46127</v>
      </c>
      <c r="D206" s="6">
        <v>3270</v>
      </c>
      <c r="E206" s="6">
        <v>336</v>
      </c>
      <c r="F206" s="6">
        <v>4</v>
      </c>
      <c r="G206" s="6">
        <v>7</v>
      </c>
      <c r="H206" s="6">
        <v>81684</v>
      </c>
      <c r="I206" s="15" t="s">
        <v>16</v>
      </c>
      <c r="J206" s="6">
        <v>18660354</v>
      </c>
      <c r="K206" s="6" t="s">
        <v>508</v>
      </c>
      <c r="L206" s="13" t="s">
        <v>509</v>
      </c>
      <c r="M206" s="19">
        <v>69900</v>
      </c>
      <c r="N206" s="64">
        <v>0.75</v>
      </c>
      <c r="O206" s="12">
        <f t="shared" si="4"/>
        <v>17475</v>
      </c>
      <c r="P206" s="6" t="s">
        <v>3499</v>
      </c>
    </row>
    <row r="207" spans="1:16" x14ac:dyDescent="0.25">
      <c r="A207" s="6" t="s">
        <v>3505</v>
      </c>
      <c r="B207" s="7">
        <v>46121</v>
      </c>
      <c r="C207" s="7">
        <v>46127</v>
      </c>
      <c r="D207" s="6">
        <v>3270</v>
      </c>
      <c r="E207" s="6">
        <v>336</v>
      </c>
      <c r="F207" s="6">
        <v>4</v>
      </c>
      <c r="G207" s="6">
        <v>7</v>
      </c>
      <c r="H207" s="6">
        <v>81684</v>
      </c>
      <c r="I207" s="15" t="s">
        <v>16</v>
      </c>
      <c r="J207" s="6">
        <v>18660363</v>
      </c>
      <c r="K207" s="6" t="s">
        <v>508</v>
      </c>
      <c r="L207" s="13" t="s">
        <v>510</v>
      </c>
      <c r="M207" s="19">
        <v>69900</v>
      </c>
      <c r="N207" s="64">
        <v>0.75</v>
      </c>
      <c r="O207" s="12">
        <f t="shared" si="4"/>
        <v>17475</v>
      </c>
      <c r="P207" s="6" t="s">
        <v>3499</v>
      </c>
    </row>
    <row r="208" spans="1:16" x14ac:dyDescent="0.25">
      <c r="A208" s="6" t="s">
        <v>3505</v>
      </c>
      <c r="B208" s="7">
        <v>46121</v>
      </c>
      <c r="C208" s="7">
        <v>46127</v>
      </c>
      <c r="D208" s="6">
        <v>3270</v>
      </c>
      <c r="E208" s="6">
        <v>336</v>
      </c>
      <c r="F208" s="6">
        <v>4</v>
      </c>
      <c r="G208" s="6">
        <v>7</v>
      </c>
      <c r="H208" s="6">
        <v>81684</v>
      </c>
      <c r="I208" s="15" t="s">
        <v>16</v>
      </c>
      <c r="J208" s="6">
        <v>18660372</v>
      </c>
      <c r="K208" s="6" t="s">
        <v>508</v>
      </c>
      <c r="L208" s="13" t="s">
        <v>511</v>
      </c>
      <c r="M208" s="19">
        <v>69900</v>
      </c>
      <c r="N208" s="64">
        <v>0.75</v>
      </c>
      <c r="O208" s="12">
        <f t="shared" si="4"/>
        <v>17475</v>
      </c>
      <c r="P208" s="6" t="s">
        <v>3499</v>
      </c>
    </row>
    <row r="209" spans="1:16" x14ac:dyDescent="0.25">
      <c r="A209" s="6" t="s">
        <v>3505</v>
      </c>
      <c r="B209" s="7">
        <v>46121</v>
      </c>
      <c r="C209" s="7">
        <v>46127</v>
      </c>
      <c r="D209" s="6">
        <v>3270</v>
      </c>
      <c r="E209" s="6">
        <v>336</v>
      </c>
      <c r="F209" s="6">
        <v>4</v>
      </c>
      <c r="G209" s="6">
        <v>7</v>
      </c>
      <c r="H209" s="6">
        <v>81684</v>
      </c>
      <c r="I209" s="15" t="s">
        <v>16</v>
      </c>
      <c r="J209" s="6">
        <v>18660381</v>
      </c>
      <c r="K209" s="6" t="s">
        <v>508</v>
      </c>
      <c r="L209" s="13" t="s">
        <v>512</v>
      </c>
      <c r="M209" s="19">
        <v>69900</v>
      </c>
      <c r="N209" s="64">
        <v>0.75</v>
      </c>
      <c r="O209" s="12">
        <f t="shared" si="4"/>
        <v>17475</v>
      </c>
      <c r="P209" s="6" t="s">
        <v>3499</v>
      </c>
    </row>
    <row r="210" spans="1:16" x14ac:dyDescent="0.25">
      <c r="A210" s="6" t="s">
        <v>3505</v>
      </c>
      <c r="B210" s="7">
        <v>46121</v>
      </c>
      <c r="C210" s="7">
        <v>46127</v>
      </c>
      <c r="D210" s="6">
        <v>3270</v>
      </c>
      <c r="E210" s="6">
        <v>336</v>
      </c>
      <c r="F210" s="6">
        <v>4</v>
      </c>
      <c r="G210" s="6">
        <v>7</v>
      </c>
      <c r="H210" s="6">
        <v>81684</v>
      </c>
      <c r="I210" s="15" t="s">
        <v>16</v>
      </c>
      <c r="J210" s="6">
        <v>18660390</v>
      </c>
      <c r="K210" s="6" t="s">
        <v>513</v>
      </c>
      <c r="L210" s="13" t="s">
        <v>514</v>
      </c>
      <c r="M210" s="19">
        <v>69900</v>
      </c>
      <c r="N210" s="64">
        <v>0.75</v>
      </c>
      <c r="O210" s="12">
        <f t="shared" si="4"/>
        <v>17475</v>
      </c>
      <c r="P210" s="6" t="s">
        <v>3499</v>
      </c>
    </row>
    <row r="211" spans="1:16" x14ac:dyDescent="0.25">
      <c r="A211" s="6" t="s">
        <v>3505</v>
      </c>
      <c r="B211" s="7">
        <v>46121</v>
      </c>
      <c r="C211" s="7">
        <v>46127</v>
      </c>
      <c r="D211" s="6">
        <v>3270</v>
      </c>
      <c r="E211" s="6">
        <v>336</v>
      </c>
      <c r="F211" s="6">
        <v>4</v>
      </c>
      <c r="G211" s="6">
        <v>7</v>
      </c>
      <c r="H211" s="6">
        <v>81684</v>
      </c>
      <c r="I211" s="15" t="s">
        <v>16</v>
      </c>
      <c r="J211" s="6">
        <v>18660407</v>
      </c>
      <c r="K211" s="6" t="s">
        <v>513</v>
      </c>
      <c r="L211" s="13" t="s">
        <v>515</v>
      </c>
      <c r="M211" s="19">
        <v>69900</v>
      </c>
      <c r="N211" s="64">
        <v>0.75</v>
      </c>
      <c r="O211" s="12">
        <f t="shared" si="4"/>
        <v>17475</v>
      </c>
      <c r="P211" s="6" t="s">
        <v>3499</v>
      </c>
    </row>
    <row r="212" spans="1:16" x14ac:dyDescent="0.25">
      <c r="A212" s="6" t="s">
        <v>3505</v>
      </c>
      <c r="B212" s="7">
        <v>46121</v>
      </c>
      <c r="C212" s="7">
        <v>46127</v>
      </c>
      <c r="D212" s="6">
        <v>3270</v>
      </c>
      <c r="E212" s="6">
        <v>336</v>
      </c>
      <c r="F212" s="6">
        <v>4</v>
      </c>
      <c r="G212" s="6">
        <v>7</v>
      </c>
      <c r="H212" s="6">
        <v>81684</v>
      </c>
      <c r="I212" s="15" t="s">
        <v>16</v>
      </c>
      <c r="J212" s="6">
        <v>18660416</v>
      </c>
      <c r="K212" s="6" t="s">
        <v>513</v>
      </c>
      <c r="L212" s="13" t="s">
        <v>516</v>
      </c>
      <c r="M212" s="19">
        <v>69900</v>
      </c>
      <c r="N212" s="64">
        <v>0.75</v>
      </c>
      <c r="O212" s="12">
        <f t="shared" si="4"/>
        <v>17475</v>
      </c>
      <c r="P212" s="6" t="s">
        <v>3499</v>
      </c>
    </row>
    <row r="213" spans="1:16" x14ac:dyDescent="0.25">
      <c r="A213" s="6" t="s">
        <v>3505</v>
      </c>
      <c r="B213" s="7">
        <v>46121</v>
      </c>
      <c r="C213" s="7">
        <v>46127</v>
      </c>
      <c r="D213" s="6">
        <v>3270</v>
      </c>
      <c r="E213" s="6">
        <v>336</v>
      </c>
      <c r="F213" s="6">
        <v>4</v>
      </c>
      <c r="G213" s="6">
        <v>7</v>
      </c>
      <c r="H213" s="6">
        <v>81684</v>
      </c>
      <c r="I213" s="15" t="s">
        <v>16</v>
      </c>
      <c r="J213" s="6">
        <v>18660425</v>
      </c>
      <c r="K213" s="6" t="s">
        <v>513</v>
      </c>
      <c r="L213" s="13" t="s">
        <v>517</v>
      </c>
      <c r="M213" s="19">
        <v>69900</v>
      </c>
      <c r="N213" s="64">
        <v>0.75</v>
      </c>
      <c r="O213" s="12">
        <f t="shared" si="4"/>
        <v>17475</v>
      </c>
      <c r="P213" s="6" t="s">
        <v>3499</v>
      </c>
    </row>
    <row r="214" spans="1:16" x14ac:dyDescent="0.25">
      <c r="A214" s="6" t="s">
        <v>3505</v>
      </c>
      <c r="B214" s="7">
        <v>46121</v>
      </c>
      <c r="C214" s="7">
        <v>46127</v>
      </c>
      <c r="D214" s="6">
        <v>3270</v>
      </c>
      <c r="E214" s="6">
        <v>336</v>
      </c>
      <c r="F214" s="6">
        <v>4</v>
      </c>
      <c r="G214" s="8">
        <v>7</v>
      </c>
      <c r="H214" s="8">
        <v>4953</v>
      </c>
      <c r="I214" s="18" t="s">
        <v>16</v>
      </c>
      <c r="J214" s="8">
        <v>18936600</v>
      </c>
      <c r="K214" s="8" t="s">
        <v>518</v>
      </c>
      <c r="L214" s="9" t="s">
        <v>519</v>
      </c>
      <c r="M214" s="10">
        <v>89900</v>
      </c>
      <c r="N214" s="64">
        <v>0.75</v>
      </c>
      <c r="O214" s="12">
        <f t="shared" si="4"/>
        <v>22475</v>
      </c>
      <c r="P214" s="6" t="s">
        <v>3499</v>
      </c>
    </row>
    <row r="215" spans="1:16" x14ac:dyDescent="0.25">
      <c r="A215" s="6" t="s">
        <v>3505</v>
      </c>
      <c r="B215" s="7">
        <v>46121</v>
      </c>
      <c r="C215" s="7">
        <v>46127</v>
      </c>
      <c r="D215" s="6">
        <v>3270</v>
      </c>
      <c r="E215" s="6">
        <v>336</v>
      </c>
      <c r="F215" s="6">
        <v>4</v>
      </c>
      <c r="G215" s="8">
        <v>7</v>
      </c>
      <c r="H215" s="8">
        <v>4953</v>
      </c>
      <c r="I215" s="18" t="s">
        <v>16</v>
      </c>
      <c r="J215" s="8">
        <v>18936619</v>
      </c>
      <c r="K215" s="8" t="s">
        <v>518</v>
      </c>
      <c r="L215" s="9" t="s">
        <v>520</v>
      </c>
      <c r="M215" s="10">
        <v>89900</v>
      </c>
      <c r="N215" s="64">
        <v>0.75</v>
      </c>
      <c r="O215" s="12">
        <f t="shared" si="4"/>
        <v>22475</v>
      </c>
      <c r="P215" s="6" t="s">
        <v>3499</v>
      </c>
    </row>
    <row r="216" spans="1:16" x14ac:dyDescent="0.25">
      <c r="A216" s="6" t="s">
        <v>3505</v>
      </c>
      <c r="B216" s="7">
        <v>46121</v>
      </c>
      <c r="C216" s="7">
        <v>46127</v>
      </c>
      <c r="D216" s="6">
        <v>3270</v>
      </c>
      <c r="E216" s="6">
        <v>336</v>
      </c>
      <c r="F216" s="6">
        <v>4</v>
      </c>
      <c r="G216" s="8">
        <v>7</v>
      </c>
      <c r="H216" s="8">
        <v>4953</v>
      </c>
      <c r="I216" s="18" t="s">
        <v>16</v>
      </c>
      <c r="J216" s="8">
        <v>18936628</v>
      </c>
      <c r="K216" s="8" t="s">
        <v>518</v>
      </c>
      <c r="L216" s="9" t="s">
        <v>521</v>
      </c>
      <c r="M216" s="10">
        <v>89900</v>
      </c>
      <c r="N216" s="64">
        <v>0.75</v>
      </c>
      <c r="O216" s="12">
        <f t="shared" si="4"/>
        <v>22475</v>
      </c>
      <c r="P216" s="6" t="s">
        <v>3499</v>
      </c>
    </row>
    <row r="217" spans="1:16" x14ac:dyDescent="0.25">
      <c r="A217" s="6" t="s">
        <v>3505</v>
      </c>
      <c r="B217" s="7">
        <v>46121</v>
      </c>
      <c r="C217" s="7">
        <v>46127</v>
      </c>
      <c r="D217" s="6">
        <v>3270</v>
      </c>
      <c r="E217" s="6">
        <v>336</v>
      </c>
      <c r="F217" s="6">
        <v>4</v>
      </c>
      <c r="G217" s="8">
        <v>7</v>
      </c>
      <c r="H217" s="8">
        <v>4953</v>
      </c>
      <c r="I217" s="18" t="s">
        <v>16</v>
      </c>
      <c r="J217" s="8">
        <v>18936637</v>
      </c>
      <c r="K217" s="8" t="s">
        <v>518</v>
      </c>
      <c r="L217" s="9" t="s">
        <v>522</v>
      </c>
      <c r="M217" s="10">
        <v>89900</v>
      </c>
      <c r="N217" s="64">
        <v>0.75</v>
      </c>
      <c r="O217" s="12">
        <f t="shared" si="4"/>
        <v>22475</v>
      </c>
      <c r="P217" s="6" t="s">
        <v>3499</v>
      </c>
    </row>
    <row r="218" spans="1:16" x14ac:dyDescent="0.25">
      <c r="A218" s="6" t="s">
        <v>3505</v>
      </c>
      <c r="B218" s="7">
        <v>46121</v>
      </c>
      <c r="C218" s="7">
        <v>46127</v>
      </c>
      <c r="D218" s="6">
        <v>3270</v>
      </c>
      <c r="E218" s="6">
        <v>336</v>
      </c>
      <c r="F218" s="6">
        <v>4</v>
      </c>
      <c r="G218" s="8">
        <v>7</v>
      </c>
      <c r="H218" s="8">
        <v>4953</v>
      </c>
      <c r="I218" s="18" t="s">
        <v>16</v>
      </c>
      <c r="J218" s="8">
        <v>18936646</v>
      </c>
      <c r="K218" s="8" t="s">
        <v>523</v>
      </c>
      <c r="L218" s="9" t="s">
        <v>524</v>
      </c>
      <c r="M218" s="10">
        <v>89900</v>
      </c>
      <c r="N218" s="64">
        <v>0.75</v>
      </c>
      <c r="O218" s="12">
        <f t="shared" si="4"/>
        <v>22475</v>
      </c>
      <c r="P218" s="6" t="s">
        <v>3499</v>
      </c>
    </row>
    <row r="219" spans="1:16" x14ac:dyDescent="0.25">
      <c r="A219" s="6" t="s">
        <v>3505</v>
      </c>
      <c r="B219" s="7">
        <v>46121</v>
      </c>
      <c r="C219" s="7">
        <v>46127</v>
      </c>
      <c r="D219" s="6">
        <v>3270</v>
      </c>
      <c r="E219" s="6">
        <v>336</v>
      </c>
      <c r="F219" s="6">
        <v>4</v>
      </c>
      <c r="G219" s="8">
        <v>7</v>
      </c>
      <c r="H219" s="8">
        <v>4953</v>
      </c>
      <c r="I219" s="18" t="s">
        <v>16</v>
      </c>
      <c r="J219" s="8">
        <v>18936655</v>
      </c>
      <c r="K219" s="8" t="s">
        <v>523</v>
      </c>
      <c r="L219" s="9" t="s">
        <v>525</v>
      </c>
      <c r="M219" s="10">
        <v>89900</v>
      </c>
      <c r="N219" s="64">
        <v>0.75</v>
      </c>
      <c r="O219" s="12">
        <f t="shared" si="4"/>
        <v>22475</v>
      </c>
      <c r="P219" s="6" t="s">
        <v>3499</v>
      </c>
    </row>
    <row r="220" spans="1:16" x14ac:dyDescent="0.25">
      <c r="A220" s="6" t="s">
        <v>3505</v>
      </c>
      <c r="B220" s="7">
        <v>46121</v>
      </c>
      <c r="C220" s="7">
        <v>46127</v>
      </c>
      <c r="D220" s="6">
        <v>3270</v>
      </c>
      <c r="E220" s="6">
        <v>336</v>
      </c>
      <c r="F220" s="6">
        <v>4</v>
      </c>
      <c r="G220" s="8">
        <v>7</v>
      </c>
      <c r="H220" s="8">
        <v>4953</v>
      </c>
      <c r="I220" s="18" t="s">
        <v>16</v>
      </c>
      <c r="J220" s="8">
        <v>18936664</v>
      </c>
      <c r="K220" s="8" t="s">
        <v>523</v>
      </c>
      <c r="L220" s="9" t="s">
        <v>526</v>
      </c>
      <c r="M220" s="10">
        <v>89900</v>
      </c>
      <c r="N220" s="64">
        <v>0.75</v>
      </c>
      <c r="O220" s="12">
        <f t="shared" si="4"/>
        <v>22475</v>
      </c>
      <c r="P220" s="6" t="s">
        <v>3499</v>
      </c>
    </row>
    <row r="221" spans="1:16" x14ac:dyDescent="0.25">
      <c r="A221" s="6" t="s">
        <v>3505</v>
      </c>
      <c r="B221" s="7">
        <v>46121</v>
      </c>
      <c r="C221" s="7">
        <v>46127</v>
      </c>
      <c r="D221" s="6">
        <v>3270</v>
      </c>
      <c r="E221" s="6">
        <v>336</v>
      </c>
      <c r="F221" s="6">
        <v>4</v>
      </c>
      <c r="G221" s="8">
        <v>7</v>
      </c>
      <c r="H221" s="8">
        <v>4953</v>
      </c>
      <c r="I221" s="18" t="s">
        <v>16</v>
      </c>
      <c r="J221" s="8">
        <v>18936673</v>
      </c>
      <c r="K221" s="8" t="s">
        <v>523</v>
      </c>
      <c r="L221" s="9" t="s">
        <v>527</v>
      </c>
      <c r="M221" s="10">
        <v>89900</v>
      </c>
      <c r="N221" s="64">
        <v>0.75</v>
      </c>
      <c r="O221" s="12">
        <f t="shared" si="4"/>
        <v>22475</v>
      </c>
      <c r="P221" s="6" t="s">
        <v>3499</v>
      </c>
    </row>
    <row r="222" spans="1:16" x14ac:dyDescent="0.25">
      <c r="A222" s="6" t="s">
        <v>3505</v>
      </c>
      <c r="B222" s="7">
        <v>46121</v>
      </c>
      <c r="C222" s="7">
        <v>46127</v>
      </c>
      <c r="D222" s="6">
        <v>3270</v>
      </c>
      <c r="E222" s="6">
        <v>336</v>
      </c>
      <c r="F222" s="6">
        <v>4</v>
      </c>
      <c r="G222" s="8">
        <v>7</v>
      </c>
      <c r="H222" s="8">
        <v>4953</v>
      </c>
      <c r="I222" s="18" t="s">
        <v>16</v>
      </c>
      <c r="J222" s="8">
        <v>18936682</v>
      </c>
      <c r="K222" s="8" t="s">
        <v>528</v>
      </c>
      <c r="L222" s="9" t="s">
        <v>529</v>
      </c>
      <c r="M222" s="10">
        <v>89900</v>
      </c>
      <c r="N222" s="64">
        <v>0.75</v>
      </c>
      <c r="O222" s="12">
        <f t="shared" si="4"/>
        <v>22475</v>
      </c>
      <c r="P222" s="6" t="s">
        <v>3499</v>
      </c>
    </row>
    <row r="223" spans="1:16" x14ac:dyDescent="0.25">
      <c r="A223" s="6" t="s">
        <v>3505</v>
      </c>
      <c r="B223" s="7">
        <v>46121</v>
      </c>
      <c r="C223" s="7">
        <v>46127</v>
      </c>
      <c r="D223" s="6">
        <v>3270</v>
      </c>
      <c r="E223" s="6">
        <v>336</v>
      </c>
      <c r="F223" s="6">
        <v>4</v>
      </c>
      <c r="G223" s="8">
        <v>7</v>
      </c>
      <c r="H223" s="8">
        <v>4953</v>
      </c>
      <c r="I223" s="18" t="s">
        <v>16</v>
      </c>
      <c r="J223" s="8">
        <v>18936691</v>
      </c>
      <c r="K223" s="8" t="s">
        <v>528</v>
      </c>
      <c r="L223" s="9" t="s">
        <v>530</v>
      </c>
      <c r="M223" s="10">
        <v>89900</v>
      </c>
      <c r="N223" s="64">
        <v>0.75</v>
      </c>
      <c r="O223" s="12">
        <f t="shared" si="4"/>
        <v>22475</v>
      </c>
      <c r="P223" s="6" t="s">
        <v>3499</v>
      </c>
    </row>
    <row r="224" spans="1:16" x14ac:dyDescent="0.25">
      <c r="A224" s="6" t="s">
        <v>3505</v>
      </c>
      <c r="B224" s="7">
        <v>46121</v>
      </c>
      <c r="C224" s="7">
        <v>46127</v>
      </c>
      <c r="D224" s="6">
        <v>3270</v>
      </c>
      <c r="E224" s="6">
        <v>336</v>
      </c>
      <c r="F224" s="6">
        <v>4</v>
      </c>
      <c r="G224" s="8">
        <v>7</v>
      </c>
      <c r="H224" s="8">
        <v>4953</v>
      </c>
      <c r="I224" s="18" t="s">
        <v>16</v>
      </c>
      <c r="J224" s="8">
        <v>18936708</v>
      </c>
      <c r="K224" s="8" t="s">
        <v>528</v>
      </c>
      <c r="L224" s="9" t="s">
        <v>531</v>
      </c>
      <c r="M224" s="10">
        <v>89900</v>
      </c>
      <c r="N224" s="64">
        <v>0.75</v>
      </c>
      <c r="O224" s="12">
        <f t="shared" si="4"/>
        <v>22475</v>
      </c>
      <c r="P224" s="6" t="s">
        <v>3499</v>
      </c>
    </row>
    <row r="225" spans="1:16" x14ac:dyDescent="0.25">
      <c r="A225" s="6" t="s">
        <v>3505</v>
      </c>
      <c r="B225" s="7">
        <v>46121</v>
      </c>
      <c r="C225" s="7">
        <v>46127</v>
      </c>
      <c r="D225" s="6">
        <v>3270</v>
      </c>
      <c r="E225" s="6">
        <v>336</v>
      </c>
      <c r="F225" s="6">
        <v>4</v>
      </c>
      <c r="G225" s="8">
        <v>7</v>
      </c>
      <c r="H225" s="8">
        <v>4953</v>
      </c>
      <c r="I225" s="18" t="s">
        <v>16</v>
      </c>
      <c r="J225" s="8">
        <v>18936717</v>
      </c>
      <c r="K225" s="8" t="s">
        <v>528</v>
      </c>
      <c r="L225" s="9" t="s">
        <v>532</v>
      </c>
      <c r="M225" s="10">
        <v>89900</v>
      </c>
      <c r="N225" s="64">
        <v>0.75</v>
      </c>
      <c r="O225" s="12">
        <f t="shared" si="4"/>
        <v>22475</v>
      </c>
      <c r="P225" s="6" t="s">
        <v>3499</v>
      </c>
    </row>
    <row r="226" spans="1:16" x14ac:dyDescent="0.25">
      <c r="A226" s="6" t="s">
        <v>3505</v>
      </c>
      <c r="B226" s="7">
        <v>46121</v>
      </c>
      <c r="C226" s="7">
        <v>46127</v>
      </c>
      <c r="D226" s="6">
        <v>3270</v>
      </c>
      <c r="E226" s="6">
        <v>336</v>
      </c>
      <c r="F226" s="6">
        <v>4</v>
      </c>
      <c r="G226" s="8">
        <v>7</v>
      </c>
      <c r="H226" s="8">
        <v>4953</v>
      </c>
      <c r="I226" s="18" t="s">
        <v>16</v>
      </c>
      <c r="J226" s="8">
        <v>18936726</v>
      </c>
      <c r="K226" s="8" t="s">
        <v>533</v>
      </c>
      <c r="L226" s="9" t="s">
        <v>534</v>
      </c>
      <c r="M226" s="10">
        <v>89900</v>
      </c>
      <c r="N226" s="64">
        <v>0.75</v>
      </c>
      <c r="O226" s="12">
        <f t="shared" si="4"/>
        <v>22475</v>
      </c>
      <c r="P226" s="6" t="s">
        <v>3499</v>
      </c>
    </row>
    <row r="227" spans="1:16" x14ac:dyDescent="0.25">
      <c r="A227" s="6" t="s">
        <v>3505</v>
      </c>
      <c r="B227" s="7">
        <v>46121</v>
      </c>
      <c r="C227" s="7">
        <v>46127</v>
      </c>
      <c r="D227" s="6">
        <v>3270</v>
      </c>
      <c r="E227" s="6">
        <v>336</v>
      </c>
      <c r="F227" s="6">
        <v>4</v>
      </c>
      <c r="G227" s="8">
        <v>7</v>
      </c>
      <c r="H227" s="8">
        <v>4953</v>
      </c>
      <c r="I227" s="18" t="s">
        <v>16</v>
      </c>
      <c r="J227" s="8">
        <v>18936735</v>
      </c>
      <c r="K227" s="8" t="s">
        <v>533</v>
      </c>
      <c r="L227" s="9" t="s">
        <v>535</v>
      </c>
      <c r="M227" s="10">
        <v>89900</v>
      </c>
      <c r="N227" s="64">
        <v>0.75</v>
      </c>
      <c r="O227" s="12">
        <f t="shared" si="4"/>
        <v>22475</v>
      </c>
      <c r="P227" s="6" t="s">
        <v>3499</v>
      </c>
    </row>
    <row r="228" spans="1:16" x14ac:dyDescent="0.25">
      <c r="A228" s="6" t="s">
        <v>3505</v>
      </c>
      <c r="B228" s="7">
        <v>46121</v>
      </c>
      <c r="C228" s="7">
        <v>46127</v>
      </c>
      <c r="D228" s="6">
        <v>3270</v>
      </c>
      <c r="E228" s="6">
        <v>336</v>
      </c>
      <c r="F228" s="6">
        <v>4</v>
      </c>
      <c r="G228" s="8">
        <v>7</v>
      </c>
      <c r="H228" s="8">
        <v>4953</v>
      </c>
      <c r="I228" s="18" t="s">
        <v>16</v>
      </c>
      <c r="J228" s="8">
        <v>18936744</v>
      </c>
      <c r="K228" s="8" t="s">
        <v>533</v>
      </c>
      <c r="L228" s="9" t="s">
        <v>536</v>
      </c>
      <c r="M228" s="10">
        <v>89900</v>
      </c>
      <c r="N228" s="64">
        <v>0.75</v>
      </c>
      <c r="O228" s="12">
        <f t="shared" si="4"/>
        <v>22475</v>
      </c>
      <c r="P228" s="6" t="s">
        <v>3499</v>
      </c>
    </row>
    <row r="229" spans="1:16" x14ac:dyDescent="0.25">
      <c r="A229" s="6" t="s">
        <v>3505</v>
      </c>
      <c r="B229" s="7">
        <v>46121</v>
      </c>
      <c r="C229" s="7">
        <v>46127</v>
      </c>
      <c r="D229" s="6">
        <v>3270</v>
      </c>
      <c r="E229" s="6">
        <v>336</v>
      </c>
      <c r="F229" s="6">
        <v>4</v>
      </c>
      <c r="G229" s="8">
        <v>7</v>
      </c>
      <c r="H229" s="8">
        <v>4953</v>
      </c>
      <c r="I229" s="18" t="s">
        <v>16</v>
      </c>
      <c r="J229" s="8">
        <v>18936753</v>
      </c>
      <c r="K229" s="8" t="s">
        <v>533</v>
      </c>
      <c r="L229" s="9" t="s">
        <v>537</v>
      </c>
      <c r="M229" s="10">
        <v>89900</v>
      </c>
      <c r="N229" s="64">
        <v>0.75</v>
      </c>
      <c r="O229" s="12">
        <f t="shared" si="4"/>
        <v>22475</v>
      </c>
      <c r="P229" s="6" t="s">
        <v>3499</v>
      </c>
    </row>
    <row r="230" spans="1:16" x14ac:dyDescent="0.25">
      <c r="A230" s="6" t="s">
        <v>3505</v>
      </c>
      <c r="B230" s="7">
        <v>46121</v>
      </c>
      <c r="C230" s="7">
        <v>46127</v>
      </c>
      <c r="D230" s="6">
        <v>3270</v>
      </c>
      <c r="E230" s="6">
        <v>336</v>
      </c>
      <c r="F230" s="6">
        <v>4</v>
      </c>
      <c r="G230" s="8">
        <v>7</v>
      </c>
      <c r="H230" s="8">
        <v>4953</v>
      </c>
      <c r="I230" s="18" t="s">
        <v>16</v>
      </c>
      <c r="J230" s="8">
        <v>18936762</v>
      </c>
      <c r="K230" s="8" t="s">
        <v>538</v>
      </c>
      <c r="L230" s="9" t="s">
        <v>539</v>
      </c>
      <c r="M230" s="10">
        <v>89900</v>
      </c>
      <c r="N230" s="64">
        <v>0.75</v>
      </c>
      <c r="O230" s="12">
        <f t="shared" si="4"/>
        <v>22475</v>
      </c>
      <c r="P230" s="6" t="s">
        <v>3499</v>
      </c>
    </row>
    <row r="231" spans="1:16" x14ac:dyDescent="0.25">
      <c r="A231" s="6" t="s">
        <v>3505</v>
      </c>
      <c r="B231" s="7">
        <v>46121</v>
      </c>
      <c r="C231" s="7">
        <v>46127</v>
      </c>
      <c r="D231" s="6">
        <v>3270</v>
      </c>
      <c r="E231" s="6">
        <v>336</v>
      </c>
      <c r="F231" s="6">
        <v>4</v>
      </c>
      <c r="G231" s="8">
        <v>7</v>
      </c>
      <c r="H231" s="8">
        <v>4953</v>
      </c>
      <c r="I231" s="18" t="s">
        <v>16</v>
      </c>
      <c r="J231" s="8">
        <v>18936771</v>
      </c>
      <c r="K231" s="8" t="s">
        <v>538</v>
      </c>
      <c r="L231" s="9" t="s">
        <v>540</v>
      </c>
      <c r="M231" s="10">
        <v>89900</v>
      </c>
      <c r="N231" s="64">
        <v>0.75</v>
      </c>
      <c r="O231" s="12">
        <f t="shared" si="4"/>
        <v>22475</v>
      </c>
      <c r="P231" s="6" t="s">
        <v>3499</v>
      </c>
    </row>
    <row r="232" spans="1:16" x14ac:dyDescent="0.25">
      <c r="A232" s="6" t="s">
        <v>3505</v>
      </c>
      <c r="B232" s="7">
        <v>46121</v>
      </c>
      <c r="C232" s="7">
        <v>46127</v>
      </c>
      <c r="D232" s="6">
        <v>3270</v>
      </c>
      <c r="E232" s="6">
        <v>336</v>
      </c>
      <c r="F232" s="6">
        <v>4</v>
      </c>
      <c r="G232" s="8">
        <v>7</v>
      </c>
      <c r="H232" s="8">
        <v>4953</v>
      </c>
      <c r="I232" s="18" t="s">
        <v>16</v>
      </c>
      <c r="J232" s="8">
        <v>18936780</v>
      </c>
      <c r="K232" s="8" t="s">
        <v>538</v>
      </c>
      <c r="L232" s="9" t="s">
        <v>541</v>
      </c>
      <c r="M232" s="10">
        <v>89900</v>
      </c>
      <c r="N232" s="64">
        <v>0.75</v>
      </c>
      <c r="O232" s="12">
        <f t="shared" si="4"/>
        <v>22475</v>
      </c>
      <c r="P232" s="6" t="s">
        <v>3499</v>
      </c>
    </row>
    <row r="233" spans="1:16" x14ac:dyDescent="0.25">
      <c r="A233" s="6" t="s">
        <v>3505</v>
      </c>
      <c r="B233" s="7">
        <v>46121</v>
      </c>
      <c r="C233" s="7">
        <v>46127</v>
      </c>
      <c r="D233" s="6">
        <v>3270</v>
      </c>
      <c r="E233" s="6">
        <v>336</v>
      </c>
      <c r="F233" s="6">
        <v>4</v>
      </c>
      <c r="G233" s="8">
        <v>7</v>
      </c>
      <c r="H233" s="8">
        <v>4953</v>
      </c>
      <c r="I233" s="18" t="s">
        <v>16</v>
      </c>
      <c r="J233" s="8">
        <v>18936799</v>
      </c>
      <c r="K233" s="8" t="s">
        <v>538</v>
      </c>
      <c r="L233" s="9" t="s">
        <v>542</v>
      </c>
      <c r="M233" s="10">
        <v>89900</v>
      </c>
      <c r="N233" s="64">
        <v>0.75</v>
      </c>
      <c r="O233" s="12">
        <f t="shared" si="4"/>
        <v>22475</v>
      </c>
      <c r="P233" s="6" t="s">
        <v>3499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1C6B2-250D-4834-BF1C-B7645CDBDF7A}">
  <sheetPr>
    <tabColor rgb="FF00B050"/>
  </sheetPr>
  <dimension ref="A1:P107"/>
  <sheetViews>
    <sheetView workbookViewId="0">
      <selection activeCell="N2" sqref="N2:P2"/>
    </sheetView>
  </sheetViews>
  <sheetFormatPr defaultRowHeight="15" x14ac:dyDescent="0.25"/>
  <cols>
    <col min="1" max="1" width="41.285156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140625" bestFit="1" customWidth="1"/>
    <col min="12" max="12" width="97.57031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3529</v>
      </c>
      <c r="B2" s="22">
        <v>46121</v>
      </c>
      <c r="C2" s="22">
        <v>46127</v>
      </c>
      <c r="D2" s="23">
        <v>3271</v>
      </c>
      <c r="E2" s="23">
        <v>336</v>
      </c>
      <c r="F2" s="23">
        <v>4</v>
      </c>
      <c r="G2" s="23">
        <v>4</v>
      </c>
      <c r="H2" s="23">
        <v>81676</v>
      </c>
      <c r="I2" s="23" t="s">
        <v>543</v>
      </c>
      <c r="J2" s="23">
        <v>75660130</v>
      </c>
      <c r="K2" s="23" t="s">
        <v>836</v>
      </c>
      <c r="L2" s="23" t="s">
        <v>837</v>
      </c>
      <c r="M2" s="24">
        <v>139900</v>
      </c>
      <c r="N2" s="62">
        <v>0.75</v>
      </c>
      <c r="O2" s="60">
        <f t="shared" ref="O2" si="0">M2-((75*M2)/100)</f>
        <v>34975</v>
      </c>
      <c r="P2" s="55" t="s">
        <v>3499</v>
      </c>
    </row>
    <row r="3" spans="1:16" x14ac:dyDescent="0.25">
      <c r="A3" s="6" t="s">
        <v>3529</v>
      </c>
      <c r="B3" s="22">
        <v>46121</v>
      </c>
      <c r="C3" s="22">
        <v>46127</v>
      </c>
      <c r="D3" s="23">
        <v>3271</v>
      </c>
      <c r="E3" s="23">
        <v>336</v>
      </c>
      <c r="F3" s="23">
        <v>4</v>
      </c>
      <c r="G3" s="23">
        <v>4</v>
      </c>
      <c r="H3" s="23">
        <v>81676</v>
      </c>
      <c r="I3" s="23" t="s">
        <v>543</v>
      </c>
      <c r="J3" s="23">
        <v>75660149</v>
      </c>
      <c r="K3" s="23" t="s">
        <v>836</v>
      </c>
      <c r="L3" s="23" t="s">
        <v>838</v>
      </c>
      <c r="M3" s="24">
        <v>139900</v>
      </c>
      <c r="N3" s="62">
        <v>0.75</v>
      </c>
      <c r="O3" s="60">
        <f t="shared" ref="O3:O66" si="1">M3-((75*M3)/100)</f>
        <v>34975</v>
      </c>
      <c r="P3" s="55" t="s">
        <v>3499</v>
      </c>
    </row>
    <row r="4" spans="1:16" x14ac:dyDescent="0.25">
      <c r="A4" s="6" t="s">
        <v>3529</v>
      </c>
      <c r="B4" s="22">
        <v>46121</v>
      </c>
      <c r="C4" s="22">
        <v>46127</v>
      </c>
      <c r="D4" s="23">
        <v>3271</v>
      </c>
      <c r="E4" s="23">
        <v>336</v>
      </c>
      <c r="F4" s="23">
        <v>4</v>
      </c>
      <c r="G4" s="23">
        <v>4</v>
      </c>
      <c r="H4" s="23">
        <v>81676</v>
      </c>
      <c r="I4" s="23" t="s">
        <v>543</v>
      </c>
      <c r="J4" s="23">
        <v>75660158</v>
      </c>
      <c r="K4" s="23" t="s">
        <v>836</v>
      </c>
      <c r="L4" s="23" t="s">
        <v>839</v>
      </c>
      <c r="M4" s="24">
        <v>139900</v>
      </c>
      <c r="N4" s="62">
        <v>0.75</v>
      </c>
      <c r="O4" s="60">
        <f t="shared" si="1"/>
        <v>34975</v>
      </c>
      <c r="P4" s="55" t="s">
        <v>3499</v>
      </c>
    </row>
    <row r="5" spans="1:16" x14ac:dyDescent="0.25">
      <c r="A5" s="6" t="s">
        <v>3529</v>
      </c>
      <c r="B5" s="22">
        <v>46121</v>
      </c>
      <c r="C5" s="22">
        <v>46127</v>
      </c>
      <c r="D5" s="23">
        <v>3271</v>
      </c>
      <c r="E5" s="23">
        <v>336</v>
      </c>
      <c r="F5" s="23">
        <v>4</v>
      </c>
      <c r="G5" s="23">
        <v>4</v>
      </c>
      <c r="H5" s="23">
        <v>81676</v>
      </c>
      <c r="I5" s="23" t="s">
        <v>543</v>
      </c>
      <c r="J5" s="23">
        <v>75660167</v>
      </c>
      <c r="K5" s="23" t="s">
        <v>836</v>
      </c>
      <c r="L5" s="23" t="s">
        <v>840</v>
      </c>
      <c r="M5" s="24">
        <v>139900</v>
      </c>
      <c r="N5" s="62">
        <v>0.75</v>
      </c>
      <c r="O5" s="60">
        <f t="shared" si="1"/>
        <v>34975</v>
      </c>
      <c r="P5" s="55" t="s">
        <v>3499</v>
      </c>
    </row>
    <row r="6" spans="1:16" x14ac:dyDescent="0.25">
      <c r="A6" s="6" t="s">
        <v>3529</v>
      </c>
      <c r="B6" s="22">
        <v>46121</v>
      </c>
      <c r="C6" s="22">
        <v>46127</v>
      </c>
      <c r="D6" s="23">
        <v>3271</v>
      </c>
      <c r="E6" s="23">
        <v>336</v>
      </c>
      <c r="F6" s="23">
        <v>4</v>
      </c>
      <c r="G6" s="23">
        <v>4</v>
      </c>
      <c r="H6" s="23">
        <v>80949</v>
      </c>
      <c r="I6" s="23" t="s">
        <v>543</v>
      </c>
      <c r="J6" s="23">
        <v>76306100</v>
      </c>
      <c r="K6" s="23" t="s">
        <v>841</v>
      </c>
      <c r="L6" s="25" t="s">
        <v>842</v>
      </c>
      <c r="M6" s="24">
        <v>139900</v>
      </c>
      <c r="N6" s="62">
        <v>0.75</v>
      </c>
      <c r="O6" s="60">
        <f t="shared" si="1"/>
        <v>34975</v>
      </c>
      <c r="P6" s="55" t="s">
        <v>3499</v>
      </c>
    </row>
    <row r="7" spans="1:16" x14ac:dyDescent="0.25">
      <c r="A7" s="6" t="s">
        <v>3529</v>
      </c>
      <c r="B7" s="22">
        <v>46121</v>
      </c>
      <c r="C7" s="22">
        <v>46127</v>
      </c>
      <c r="D7" s="23">
        <v>3271</v>
      </c>
      <c r="E7" s="23">
        <v>336</v>
      </c>
      <c r="F7" s="23">
        <v>4</v>
      </c>
      <c r="G7" s="23">
        <v>4</v>
      </c>
      <c r="H7" s="23">
        <v>80949</v>
      </c>
      <c r="I7" s="23" t="s">
        <v>543</v>
      </c>
      <c r="J7" s="23">
        <v>76306137</v>
      </c>
      <c r="K7" s="23" t="s">
        <v>841</v>
      </c>
      <c r="L7" s="25" t="s">
        <v>843</v>
      </c>
      <c r="M7" s="24">
        <v>139900</v>
      </c>
      <c r="N7" s="62">
        <v>0.75</v>
      </c>
      <c r="O7" s="60">
        <f t="shared" si="1"/>
        <v>34975</v>
      </c>
      <c r="P7" s="55" t="s">
        <v>3499</v>
      </c>
    </row>
    <row r="8" spans="1:16" x14ac:dyDescent="0.25">
      <c r="A8" s="6" t="s">
        <v>3529</v>
      </c>
      <c r="B8" s="22">
        <v>46121</v>
      </c>
      <c r="C8" s="22">
        <v>46127</v>
      </c>
      <c r="D8" s="23">
        <v>3271</v>
      </c>
      <c r="E8" s="23">
        <v>336</v>
      </c>
      <c r="F8" s="23">
        <v>4</v>
      </c>
      <c r="G8" s="23">
        <v>4</v>
      </c>
      <c r="H8" s="23">
        <v>81676</v>
      </c>
      <c r="I8" s="23" t="s">
        <v>543</v>
      </c>
      <c r="J8" s="23">
        <v>13899099</v>
      </c>
      <c r="K8" s="23" t="s">
        <v>844</v>
      </c>
      <c r="L8" s="25" t="s">
        <v>845</v>
      </c>
      <c r="M8" s="24">
        <v>139900</v>
      </c>
      <c r="N8" s="62">
        <v>0.75</v>
      </c>
      <c r="O8" s="60">
        <f t="shared" si="1"/>
        <v>34975</v>
      </c>
      <c r="P8" s="55" t="s">
        <v>3499</v>
      </c>
    </row>
    <row r="9" spans="1:16" x14ac:dyDescent="0.25">
      <c r="A9" s="6" t="s">
        <v>3529</v>
      </c>
      <c r="B9" s="22">
        <v>46121</v>
      </c>
      <c r="C9" s="22">
        <v>46127</v>
      </c>
      <c r="D9" s="23">
        <v>3271</v>
      </c>
      <c r="E9" s="23">
        <v>336</v>
      </c>
      <c r="F9" s="23">
        <v>4</v>
      </c>
      <c r="G9" s="23">
        <v>4</v>
      </c>
      <c r="H9" s="23">
        <v>81676</v>
      </c>
      <c r="I9" s="23" t="s">
        <v>543</v>
      </c>
      <c r="J9" s="23">
        <v>13899106</v>
      </c>
      <c r="K9" s="23" t="s">
        <v>844</v>
      </c>
      <c r="L9" s="25" t="s">
        <v>846</v>
      </c>
      <c r="M9" s="24">
        <v>139900</v>
      </c>
      <c r="N9" s="62">
        <v>0.75</v>
      </c>
      <c r="O9" s="60">
        <f t="shared" si="1"/>
        <v>34975</v>
      </c>
      <c r="P9" s="55" t="s">
        <v>3499</v>
      </c>
    </row>
    <row r="10" spans="1:16" x14ac:dyDescent="0.25">
      <c r="A10" s="6" t="s">
        <v>3529</v>
      </c>
      <c r="B10" s="22">
        <v>46121</v>
      </c>
      <c r="C10" s="22">
        <v>46127</v>
      </c>
      <c r="D10" s="23">
        <v>3271</v>
      </c>
      <c r="E10" s="23">
        <v>336</v>
      </c>
      <c r="F10" s="23">
        <v>4</v>
      </c>
      <c r="G10" s="23">
        <v>4</v>
      </c>
      <c r="H10" s="23">
        <v>81676</v>
      </c>
      <c r="I10" s="23" t="s">
        <v>543</v>
      </c>
      <c r="J10" s="23">
        <v>13899115</v>
      </c>
      <c r="K10" s="23" t="s">
        <v>844</v>
      </c>
      <c r="L10" s="25" t="s">
        <v>847</v>
      </c>
      <c r="M10" s="24">
        <v>139900</v>
      </c>
      <c r="N10" s="62">
        <v>0.75</v>
      </c>
      <c r="O10" s="60">
        <f t="shared" si="1"/>
        <v>34975</v>
      </c>
      <c r="P10" s="55" t="s">
        <v>3499</v>
      </c>
    </row>
    <row r="11" spans="1:16" x14ac:dyDescent="0.25">
      <c r="A11" s="6" t="s">
        <v>3529</v>
      </c>
      <c r="B11" s="22">
        <v>46121</v>
      </c>
      <c r="C11" s="22">
        <v>46127</v>
      </c>
      <c r="D11" s="23">
        <v>3271</v>
      </c>
      <c r="E11" s="23">
        <v>336</v>
      </c>
      <c r="F11" s="23">
        <v>4</v>
      </c>
      <c r="G11" s="23">
        <v>4</v>
      </c>
      <c r="H11" s="23">
        <v>81676</v>
      </c>
      <c r="I11" s="23" t="s">
        <v>543</v>
      </c>
      <c r="J11" s="23">
        <v>13899080</v>
      </c>
      <c r="K11" s="23" t="s">
        <v>844</v>
      </c>
      <c r="L11" s="25" t="s">
        <v>848</v>
      </c>
      <c r="M11" s="24">
        <v>139900</v>
      </c>
      <c r="N11" s="62">
        <v>0.75</v>
      </c>
      <c r="O11" s="60">
        <f t="shared" si="1"/>
        <v>34975</v>
      </c>
      <c r="P11" s="55" t="s">
        <v>3499</v>
      </c>
    </row>
    <row r="12" spans="1:16" x14ac:dyDescent="0.25">
      <c r="A12" s="6" t="s">
        <v>3529</v>
      </c>
      <c r="B12" s="22">
        <v>46121</v>
      </c>
      <c r="C12" s="22">
        <v>46127</v>
      </c>
      <c r="D12" s="23">
        <v>3271</v>
      </c>
      <c r="E12" s="23">
        <v>336</v>
      </c>
      <c r="F12" s="23">
        <v>4</v>
      </c>
      <c r="G12" s="23">
        <v>4</v>
      </c>
      <c r="H12" s="23">
        <v>81683</v>
      </c>
      <c r="I12" s="23" t="s">
        <v>543</v>
      </c>
      <c r="J12" s="23">
        <v>13964651</v>
      </c>
      <c r="K12" s="23" t="s">
        <v>849</v>
      </c>
      <c r="L12" s="25" t="s">
        <v>850</v>
      </c>
      <c r="M12" s="24">
        <v>229900</v>
      </c>
      <c r="N12" s="62">
        <v>0.75</v>
      </c>
      <c r="O12" s="60">
        <f t="shared" si="1"/>
        <v>57475</v>
      </c>
      <c r="P12" s="55" t="s">
        <v>3499</v>
      </c>
    </row>
    <row r="13" spans="1:16" x14ac:dyDescent="0.25">
      <c r="A13" s="6" t="s">
        <v>3529</v>
      </c>
      <c r="B13" s="22">
        <v>46121</v>
      </c>
      <c r="C13" s="22">
        <v>46127</v>
      </c>
      <c r="D13" s="23">
        <v>3271</v>
      </c>
      <c r="E13" s="23">
        <v>336</v>
      </c>
      <c r="F13" s="23">
        <v>4</v>
      </c>
      <c r="G13" s="23">
        <v>4</v>
      </c>
      <c r="H13" s="23">
        <v>81683</v>
      </c>
      <c r="I13" s="23" t="s">
        <v>543</v>
      </c>
      <c r="J13" s="23">
        <v>13964660</v>
      </c>
      <c r="K13" s="23" t="s">
        <v>849</v>
      </c>
      <c r="L13" s="25" t="s">
        <v>851</v>
      </c>
      <c r="M13" s="24">
        <v>229900</v>
      </c>
      <c r="N13" s="62">
        <v>0.75</v>
      </c>
      <c r="O13" s="60">
        <f t="shared" si="1"/>
        <v>57475</v>
      </c>
      <c r="P13" s="55" t="s">
        <v>3499</v>
      </c>
    </row>
    <row r="14" spans="1:16" x14ac:dyDescent="0.25">
      <c r="A14" s="6" t="s">
        <v>3529</v>
      </c>
      <c r="B14" s="22">
        <v>46121</v>
      </c>
      <c r="C14" s="22">
        <v>46127</v>
      </c>
      <c r="D14" s="23">
        <v>3271</v>
      </c>
      <c r="E14" s="23">
        <v>336</v>
      </c>
      <c r="F14" s="23">
        <v>4</v>
      </c>
      <c r="G14" s="23">
        <v>4</v>
      </c>
      <c r="H14" s="23">
        <v>81683</v>
      </c>
      <c r="I14" s="23" t="s">
        <v>543</v>
      </c>
      <c r="J14" s="23">
        <v>13964679</v>
      </c>
      <c r="K14" s="23" t="s">
        <v>849</v>
      </c>
      <c r="L14" s="25" t="s">
        <v>852</v>
      </c>
      <c r="M14" s="24">
        <v>229900</v>
      </c>
      <c r="N14" s="62">
        <v>0.75</v>
      </c>
      <c r="O14" s="60">
        <f t="shared" si="1"/>
        <v>57475</v>
      </c>
      <c r="P14" s="55" t="s">
        <v>3499</v>
      </c>
    </row>
    <row r="15" spans="1:16" x14ac:dyDescent="0.25">
      <c r="A15" s="6" t="s">
        <v>3529</v>
      </c>
      <c r="B15" s="22">
        <v>46121</v>
      </c>
      <c r="C15" s="22">
        <v>46127</v>
      </c>
      <c r="D15" s="23">
        <v>3271</v>
      </c>
      <c r="E15" s="23">
        <v>336</v>
      </c>
      <c r="F15" s="23">
        <v>4</v>
      </c>
      <c r="G15" s="23">
        <v>4</v>
      </c>
      <c r="H15" s="23">
        <v>81683</v>
      </c>
      <c r="I15" s="23" t="s">
        <v>543</v>
      </c>
      <c r="J15" s="23">
        <v>13964688</v>
      </c>
      <c r="K15" s="23" t="s">
        <v>849</v>
      </c>
      <c r="L15" s="25" t="s">
        <v>853</v>
      </c>
      <c r="M15" s="24">
        <v>229900</v>
      </c>
      <c r="N15" s="62">
        <v>0.75</v>
      </c>
      <c r="O15" s="60">
        <f t="shared" si="1"/>
        <v>57475</v>
      </c>
      <c r="P15" s="55" t="s">
        <v>3499</v>
      </c>
    </row>
    <row r="16" spans="1:16" x14ac:dyDescent="0.25">
      <c r="A16" s="6" t="s">
        <v>3529</v>
      </c>
      <c r="B16" s="22">
        <v>46121</v>
      </c>
      <c r="C16" s="22">
        <v>46127</v>
      </c>
      <c r="D16" s="23">
        <v>3271</v>
      </c>
      <c r="E16" s="23">
        <v>336</v>
      </c>
      <c r="F16" s="23">
        <v>4</v>
      </c>
      <c r="G16" s="23">
        <v>4</v>
      </c>
      <c r="H16" s="23">
        <v>81683</v>
      </c>
      <c r="I16" s="23" t="s">
        <v>543</v>
      </c>
      <c r="J16" s="23">
        <v>14910671</v>
      </c>
      <c r="K16" s="23" t="s">
        <v>854</v>
      </c>
      <c r="L16" s="25" t="s">
        <v>855</v>
      </c>
      <c r="M16" s="24">
        <v>129900</v>
      </c>
      <c r="N16" s="62">
        <v>0.75</v>
      </c>
      <c r="O16" s="60">
        <f t="shared" si="1"/>
        <v>32475</v>
      </c>
      <c r="P16" s="55" t="s">
        <v>3499</v>
      </c>
    </row>
    <row r="17" spans="1:16" x14ac:dyDescent="0.25">
      <c r="A17" s="6" t="s">
        <v>3529</v>
      </c>
      <c r="B17" s="22">
        <v>46121</v>
      </c>
      <c r="C17" s="22">
        <v>46127</v>
      </c>
      <c r="D17" s="23">
        <v>3271</v>
      </c>
      <c r="E17" s="23">
        <v>336</v>
      </c>
      <c r="F17" s="23">
        <v>4</v>
      </c>
      <c r="G17" s="23">
        <v>4</v>
      </c>
      <c r="H17" s="23">
        <v>81683</v>
      </c>
      <c r="I17" s="23" t="s">
        <v>543</v>
      </c>
      <c r="J17" s="23">
        <v>14910680</v>
      </c>
      <c r="K17" s="23" t="s">
        <v>854</v>
      </c>
      <c r="L17" s="25" t="s">
        <v>856</v>
      </c>
      <c r="M17" s="24">
        <v>129900</v>
      </c>
      <c r="N17" s="62">
        <v>0.75</v>
      </c>
      <c r="O17" s="60">
        <f t="shared" si="1"/>
        <v>32475</v>
      </c>
      <c r="P17" s="55" t="s">
        <v>3499</v>
      </c>
    </row>
    <row r="18" spans="1:16" x14ac:dyDescent="0.25">
      <c r="A18" s="6" t="s">
        <v>3529</v>
      </c>
      <c r="B18" s="22">
        <v>46121</v>
      </c>
      <c r="C18" s="22">
        <v>46127</v>
      </c>
      <c r="D18" s="23">
        <v>3271</v>
      </c>
      <c r="E18" s="23">
        <v>336</v>
      </c>
      <c r="F18" s="23">
        <v>4</v>
      </c>
      <c r="G18" s="23">
        <v>4</v>
      </c>
      <c r="H18" s="23">
        <v>81683</v>
      </c>
      <c r="I18" s="23" t="s">
        <v>543</v>
      </c>
      <c r="J18" s="23">
        <v>14910699</v>
      </c>
      <c r="K18" s="23" t="s">
        <v>854</v>
      </c>
      <c r="L18" s="25" t="s">
        <v>857</v>
      </c>
      <c r="M18" s="24">
        <v>129900</v>
      </c>
      <c r="N18" s="62">
        <v>0.75</v>
      </c>
      <c r="O18" s="60">
        <f t="shared" si="1"/>
        <v>32475</v>
      </c>
      <c r="P18" s="55" t="s">
        <v>3499</v>
      </c>
    </row>
    <row r="19" spans="1:16" x14ac:dyDescent="0.25">
      <c r="A19" s="6" t="s">
        <v>3529</v>
      </c>
      <c r="B19" s="22">
        <v>46121</v>
      </c>
      <c r="C19" s="22">
        <v>46127</v>
      </c>
      <c r="D19" s="23">
        <v>3271</v>
      </c>
      <c r="E19" s="23">
        <v>336</v>
      </c>
      <c r="F19" s="23">
        <v>4</v>
      </c>
      <c r="G19" s="23">
        <v>4</v>
      </c>
      <c r="H19" s="23">
        <v>81683</v>
      </c>
      <c r="I19" s="23" t="s">
        <v>543</v>
      </c>
      <c r="J19" s="23">
        <v>14910706</v>
      </c>
      <c r="K19" s="23" t="s">
        <v>854</v>
      </c>
      <c r="L19" s="25" t="s">
        <v>858</v>
      </c>
      <c r="M19" s="24">
        <v>129900</v>
      </c>
      <c r="N19" s="62">
        <v>0.75</v>
      </c>
      <c r="O19" s="60">
        <f t="shared" si="1"/>
        <v>32475</v>
      </c>
      <c r="P19" s="55" t="s">
        <v>3499</v>
      </c>
    </row>
    <row r="20" spans="1:16" x14ac:dyDescent="0.25">
      <c r="A20" s="6" t="s">
        <v>3529</v>
      </c>
      <c r="B20" s="22">
        <v>46121</v>
      </c>
      <c r="C20" s="22">
        <v>46127</v>
      </c>
      <c r="D20" s="23">
        <v>3271</v>
      </c>
      <c r="E20" s="23">
        <v>336</v>
      </c>
      <c r="F20" s="23">
        <v>4</v>
      </c>
      <c r="G20" s="23">
        <v>4</v>
      </c>
      <c r="H20" s="23">
        <v>81683</v>
      </c>
      <c r="I20" s="23" t="s">
        <v>543</v>
      </c>
      <c r="J20" s="23">
        <v>14910635</v>
      </c>
      <c r="K20" s="23" t="s">
        <v>854</v>
      </c>
      <c r="L20" s="25" t="s">
        <v>859</v>
      </c>
      <c r="M20" s="24">
        <v>129900</v>
      </c>
      <c r="N20" s="62">
        <v>0.75</v>
      </c>
      <c r="O20" s="60">
        <f t="shared" si="1"/>
        <v>32475</v>
      </c>
      <c r="P20" s="55" t="s">
        <v>3499</v>
      </c>
    </row>
    <row r="21" spans="1:16" x14ac:dyDescent="0.25">
      <c r="A21" s="6" t="s">
        <v>3529</v>
      </c>
      <c r="B21" s="22">
        <v>46121</v>
      </c>
      <c r="C21" s="22">
        <v>46127</v>
      </c>
      <c r="D21" s="23">
        <v>3271</v>
      </c>
      <c r="E21" s="23">
        <v>336</v>
      </c>
      <c r="F21" s="23">
        <v>4</v>
      </c>
      <c r="G21" s="23">
        <v>4</v>
      </c>
      <c r="H21" s="23">
        <v>81683</v>
      </c>
      <c r="I21" s="23" t="s">
        <v>543</v>
      </c>
      <c r="J21" s="23">
        <v>14910644</v>
      </c>
      <c r="K21" s="23" t="s">
        <v>854</v>
      </c>
      <c r="L21" s="25" t="s">
        <v>860</v>
      </c>
      <c r="M21" s="24">
        <v>129900</v>
      </c>
      <c r="N21" s="62">
        <v>0.75</v>
      </c>
      <c r="O21" s="60">
        <f t="shared" si="1"/>
        <v>32475</v>
      </c>
      <c r="P21" s="55" t="s">
        <v>3499</v>
      </c>
    </row>
    <row r="22" spans="1:16" x14ac:dyDescent="0.25">
      <c r="A22" s="6" t="s">
        <v>3529</v>
      </c>
      <c r="B22" s="22">
        <v>46121</v>
      </c>
      <c r="C22" s="22">
        <v>46127</v>
      </c>
      <c r="D22" s="23">
        <v>3271</v>
      </c>
      <c r="E22" s="23">
        <v>336</v>
      </c>
      <c r="F22" s="23">
        <v>4</v>
      </c>
      <c r="G22" s="23">
        <v>4</v>
      </c>
      <c r="H22" s="23">
        <v>81683</v>
      </c>
      <c r="I22" s="23" t="s">
        <v>543</v>
      </c>
      <c r="J22" s="23">
        <v>14910653</v>
      </c>
      <c r="K22" s="23" t="s">
        <v>854</v>
      </c>
      <c r="L22" s="25" t="s">
        <v>861</v>
      </c>
      <c r="M22" s="24">
        <v>129900</v>
      </c>
      <c r="N22" s="62">
        <v>0.75</v>
      </c>
      <c r="O22" s="60">
        <f t="shared" si="1"/>
        <v>32475</v>
      </c>
      <c r="P22" s="55" t="s">
        <v>3499</v>
      </c>
    </row>
    <row r="23" spans="1:16" x14ac:dyDescent="0.25">
      <c r="A23" s="6" t="s">
        <v>3529</v>
      </c>
      <c r="B23" s="22">
        <v>46121</v>
      </c>
      <c r="C23" s="22">
        <v>46127</v>
      </c>
      <c r="D23" s="23">
        <v>3271</v>
      </c>
      <c r="E23" s="23">
        <v>336</v>
      </c>
      <c r="F23" s="23">
        <v>4</v>
      </c>
      <c r="G23" s="23">
        <v>4</v>
      </c>
      <c r="H23" s="23">
        <v>81683</v>
      </c>
      <c r="I23" s="23" t="s">
        <v>543</v>
      </c>
      <c r="J23" s="23">
        <v>14910662</v>
      </c>
      <c r="K23" s="23" t="s">
        <v>854</v>
      </c>
      <c r="L23" s="25" t="s">
        <v>862</v>
      </c>
      <c r="M23" s="24">
        <v>129900</v>
      </c>
      <c r="N23" s="62">
        <v>0.75</v>
      </c>
      <c r="O23" s="60">
        <f t="shared" si="1"/>
        <v>32475</v>
      </c>
      <c r="P23" s="55" t="s">
        <v>3499</v>
      </c>
    </row>
    <row r="24" spans="1:16" x14ac:dyDescent="0.25">
      <c r="A24" s="6" t="s">
        <v>3529</v>
      </c>
      <c r="B24" s="22">
        <v>46121</v>
      </c>
      <c r="C24" s="22">
        <v>46127</v>
      </c>
      <c r="D24" s="23">
        <v>3271</v>
      </c>
      <c r="E24" s="23">
        <v>336</v>
      </c>
      <c r="F24" s="23">
        <v>4</v>
      </c>
      <c r="G24" s="23">
        <v>7</v>
      </c>
      <c r="H24" s="23">
        <v>81683</v>
      </c>
      <c r="I24" s="23" t="s">
        <v>543</v>
      </c>
      <c r="J24" s="23">
        <v>14276901</v>
      </c>
      <c r="K24" s="23" t="s">
        <v>886</v>
      </c>
      <c r="L24" s="25" t="s">
        <v>887</v>
      </c>
      <c r="M24" s="24">
        <v>199900</v>
      </c>
      <c r="N24" s="62">
        <v>0.75</v>
      </c>
      <c r="O24" s="60">
        <f t="shared" si="1"/>
        <v>49975</v>
      </c>
      <c r="P24" s="55" t="s">
        <v>3499</v>
      </c>
    </row>
    <row r="25" spans="1:16" x14ac:dyDescent="0.25">
      <c r="A25" s="6" t="s">
        <v>3529</v>
      </c>
      <c r="B25" s="22">
        <v>46121</v>
      </c>
      <c r="C25" s="22">
        <v>46127</v>
      </c>
      <c r="D25" s="23">
        <v>3271</v>
      </c>
      <c r="E25" s="23">
        <v>336</v>
      </c>
      <c r="F25" s="23">
        <v>4</v>
      </c>
      <c r="G25" s="23">
        <v>7</v>
      </c>
      <c r="H25" s="23">
        <v>81683</v>
      </c>
      <c r="I25" s="23" t="s">
        <v>543</v>
      </c>
      <c r="J25" s="23">
        <v>14276910</v>
      </c>
      <c r="K25" s="23" t="s">
        <v>886</v>
      </c>
      <c r="L25" s="25" t="s">
        <v>888</v>
      </c>
      <c r="M25" s="24">
        <v>199900</v>
      </c>
      <c r="N25" s="62">
        <v>0.75</v>
      </c>
      <c r="O25" s="60">
        <f t="shared" si="1"/>
        <v>49975</v>
      </c>
      <c r="P25" s="55" t="s">
        <v>3499</v>
      </c>
    </row>
    <row r="26" spans="1:16" x14ac:dyDescent="0.25">
      <c r="A26" s="6" t="s">
        <v>3529</v>
      </c>
      <c r="B26" s="22">
        <v>46121</v>
      </c>
      <c r="C26" s="22">
        <v>46127</v>
      </c>
      <c r="D26" s="23">
        <v>3271</v>
      </c>
      <c r="E26" s="23">
        <v>336</v>
      </c>
      <c r="F26" s="23">
        <v>4</v>
      </c>
      <c r="G26" s="23">
        <v>7</v>
      </c>
      <c r="H26" s="23">
        <v>81683</v>
      </c>
      <c r="I26" s="23" t="s">
        <v>543</v>
      </c>
      <c r="J26" s="23">
        <v>14276929</v>
      </c>
      <c r="K26" s="23" t="s">
        <v>886</v>
      </c>
      <c r="L26" s="25" t="s">
        <v>889</v>
      </c>
      <c r="M26" s="24">
        <v>199900</v>
      </c>
      <c r="N26" s="62">
        <v>0.75</v>
      </c>
      <c r="O26" s="60">
        <f t="shared" si="1"/>
        <v>49975</v>
      </c>
      <c r="P26" s="55" t="s">
        <v>3499</v>
      </c>
    </row>
    <row r="27" spans="1:16" x14ac:dyDescent="0.25">
      <c r="A27" s="6" t="s">
        <v>3529</v>
      </c>
      <c r="B27" s="22">
        <v>46121</v>
      </c>
      <c r="C27" s="22">
        <v>46127</v>
      </c>
      <c r="D27" s="23">
        <v>3271</v>
      </c>
      <c r="E27" s="23">
        <v>336</v>
      </c>
      <c r="F27" s="23">
        <v>4</v>
      </c>
      <c r="G27" s="23">
        <v>7</v>
      </c>
      <c r="H27" s="23">
        <v>81683</v>
      </c>
      <c r="I27" s="23" t="s">
        <v>543</v>
      </c>
      <c r="J27" s="23">
        <v>14276938</v>
      </c>
      <c r="K27" s="23" t="s">
        <v>886</v>
      </c>
      <c r="L27" s="25" t="s">
        <v>890</v>
      </c>
      <c r="M27" s="24">
        <v>199900</v>
      </c>
      <c r="N27" s="62">
        <v>0.75</v>
      </c>
      <c r="O27" s="60">
        <f t="shared" si="1"/>
        <v>49975</v>
      </c>
      <c r="P27" s="55" t="s">
        <v>3499</v>
      </c>
    </row>
    <row r="28" spans="1:16" x14ac:dyDescent="0.25">
      <c r="A28" s="6" t="s">
        <v>3529</v>
      </c>
      <c r="B28" s="22">
        <v>46121</v>
      </c>
      <c r="C28" s="22">
        <v>46127</v>
      </c>
      <c r="D28" s="23">
        <v>3271</v>
      </c>
      <c r="E28" s="23">
        <v>336</v>
      </c>
      <c r="F28" s="23">
        <v>4</v>
      </c>
      <c r="G28" s="23">
        <v>7</v>
      </c>
      <c r="H28" s="23">
        <v>81683</v>
      </c>
      <c r="I28" s="23" t="s">
        <v>543</v>
      </c>
      <c r="J28" s="23">
        <v>14276947</v>
      </c>
      <c r="K28" s="23" t="s">
        <v>886</v>
      </c>
      <c r="L28" s="25" t="s">
        <v>891</v>
      </c>
      <c r="M28" s="24">
        <v>199900</v>
      </c>
      <c r="N28" s="62">
        <v>0.75</v>
      </c>
      <c r="O28" s="60">
        <f t="shared" si="1"/>
        <v>49975</v>
      </c>
      <c r="P28" s="55" t="s">
        <v>3499</v>
      </c>
    </row>
    <row r="29" spans="1:16" x14ac:dyDescent="0.25">
      <c r="A29" s="6" t="s">
        <v>3529</v>
      </c>
      <c r="B29" s="22">
        <v>46121</v>
      </c>
      <c r="C29" s="22">
        <v>46127</v>
      </c>
      <c r="D29" s="23">
        <v>3271</v>
      </c>
      <c r="E29" s="23">
        <v>336</v>
      </c>
      <c r="F29" s="23">
        <v>4</v>
      </c>
      <c r="G29" s="23">
        <v>7</v>
      </c>
      <c r="H29" s="23">
        <v>81683</v>
      </c>
      <c r="I29" s="23" t="s">
        <v>543</v>
      </c>
      <c r="J29" s="23">
        <v>14276956</v>
      </c>
      <c r="K29" s="23" t="s">
        <v>886</v>
      </c>
      <c r="L29" s="25" t="s">
        <v>892</v>
      </c>
      <c r="M29" s="24">
        <v>199900</v>
      </c>
      <c r="N29" s="62">
        <v>0.75</v>
      </c>
      <c r="O29" s="60">
        <f t="shared" si="1"/>
        <v>49975</v>
      </c>
      <c r="P29" s="55" t="s">
        <v>3499</v>
      </c>
    </row>
    <row r="30" spans="1:16" x14ac:dyDescent="0.25">
      <c r="A30" s="6" t="s">
        <v>3529</v>
      </c>
      <c r="B30" s="22">
        <v>46121</v>
      </c>
      <c r="C30" s="22">
        <v>46127</v>
      </c>
      <c r="D30" s="23">
        <v>3271</v>
      </c>
      <c r="E30" s="23">
        <v>336</v>
      </c>
      <c r="F30" s="23">
        <v>4</v>
      </c>
      <c r="G30" s="23">
        <v>7</v>
      </c>
      <c r="H30" s="23">
        <v>81683</v>
      </c>
      <c r="I30" s="23" t="s">
        <v>543</v>
      </c>
      <c r="J30" s="23">
        <v>14276965</v>
      </c>
      <c r="K30" s="23" t="s">
        <v>886</v>
      </c>
      <c r="L30" s="25" t="s">
        <v>893</v>
      </c>
      <c r="M30" s="24">
        <v>199900</v>
      </c>
      <c r="N30" s="62">
        <v>0.75</v>
      </c>
      <c r="O30" s="60">
        <f t="shared" si="1"/>
        <v>49975</v>
      </c>
      <c r="P30" s="55" t="s">
        <v>3499</v>
      </c>
    </row>
    <row r="31" spans="1:16" x14ac:dyDescent="0.25">
      <c r="A31" s="6" t="s">
        <v>3529</v>
      </c>
      <c r="B31" s="22">
        <v>46121</v>
      </c>
      <c r="C31" s="22">
        <v>46127</v>
      </c>
      <c r="D31" s="23">
        <v>3271</v>
      </c>
      <c r="E31" s="23">
        <v>336</v>
      </c>
      <c r="F31" s="23">
        <v>4</v>
      </c>
      <c r="G31" s="23">
        <v>7</v>
      </c>
      <c r="H31" s="23">
        <v>81683</v>
      </c>
      <c r="I31" s="23" t="s">
        <v>543</v>
      </c>
      <c r="J31" s="23">
        <v>14276974</v>
      </c>
      <c r="K31" s="23" t="s">
        <v>886</v>
      </c>
      <c r="L31" s="25" t="s">
        <v>894</v>
      </c>
      <c r="M31" s="24">
        <v>199900</v>
      </c>
      <c r="N31" s="62">
        <v>0.75</v>
      </c>
      <c r="O31" s="60">
        <f t="shared" si="1"/>
        <v>49975</v>
      </c>
      <c r="P31" s="55" t="s">
        <v>3499</v>
      </c>
    </row>
    <row r="32" spans="1:16" x14ac:dyDescent="0.25">
      <c r="A32" s="6" t="s">
        <v>3529</v>
      </c>
      <c r="B32" s="22">
        <v>46121</v>
      </c>
      <c r="C32" s="22">
        <v>46127</v>
      </c>
      <c r="D32" s="23">
        <v>3271</v>
      </c>
      <c r="E32" s="23">
        <v>336</v>
      </c>
      <c r="F32" s="23">
        <v>4</v>
      </c>
      <c r="G32" s="23">
        <v>7</v>
      </c>
      <c r="H32" s="26">
        <v>81683</v>
      </c>
      <c r="I32" s="23" t="s">
        <v>543</v>
      </c>
      <c r="J32" s="23">
        <v>14913169</v>
      </c>
      <c r="K32" s="23" t="s">
        <v>895</v>
      </c>
      <c r="L32" s="25" t="s">
        <v>896</v>
      </c>
      <c r="M32" s="24">
        <v>199900</v>
      </c>
      <c r="N32" s="62">
        <v>0.75</v>
      </c>
      <c r="O32" s="60">
        <f t="shared" si="1"/>
        <v>49975</v>
      </c>
      <c r="P32" s="55" t="s">
        <v>3499</v>
      </c>
    </row>
    <row r="33" spans="1:16" x14ac:dyDescent="0.25">
      <c r="A33" s="6" t="s">
        <v>3529</v>
      </c>
      <c r="B33" s="22">
        <v>46121</v>
      </c>
      <c r="C33" s="22">
        <v>46127</v>
      </c>
      <c r="D33" s="23">
        <v>3271</v>
      </c>
      <c r="E33" s="23">
        <v>336</v>
      </c>
      <c r="F33" s="23">
        <v>4</v>
      </c>
      <c r="G33" s="23">
        <v>7</v>
      </c>
      <c r="H33" s="26">
        <v>81683</v>
      </c>
      <c r="I33" s="23" t="s">
        <v>543</v>
      </c>
      <c r="J33" s="23">
        <v>14913178</v>
      </c>
      <c r="K33" s="23" t="s">
        <v>895</v>
      </c>
      <c r="L33" s="25" t="s">
        <v>897</v>
      </c>
      <c r="M33" s="24">
        <v>199900</v>
      </c>
      <c r="N33" s="62">
        <v>0.75</v>
      </c>
      <c r="O33" s="60">
        <f t="shared" si="1"/>
        <v>49975</v>
      </c>
      <c r="P33" s="55" t="s">
        <v>3499</v>
      </c>
    </row>
    <row r="34" spans="1:16" x14ac:dyDescent="0.25">
      <c r="A34" s="6" t="s">
        <v>3529</v>
      </c>
      <c r="B34" s="22">
        <v>46121</v>
      </c>
      <c r="C34" s="22">
        <v>46127</v>
      </c>
      <c r="D34" s="23">
        <v>3271</v>
      </c>
      <c r="E34" s="23">
        <v>336</v>
      </c>
      <c r="F34" s="23">
        <v>4</v>
      </c>
      <c r="G34" s="23">
        <v>7</v>
      </c>
      <c r="H34" s="26">
        <v>81683</v>
      </c>
      <c r="I34" s="23" t="s">
        <v>543</v>
      </c>
      <c r="J34" s="23">
        <v>14913187</v>
      </c>
      <c r="K34" s="23" t="s">
        <v>895</v>
      </c>
      <c r="L34" s="25" t="s">
        <v>898</v>
      </c>
      <c r="M34" s="24">
        <v>199900</v>
      </c>
      <c r="N34" s="62">
        <v>0.75</v>
      </c>
      <c r="O34" s="60">
        <f t="shared" si="1"/>
        <v>49975</v>
      </c>
      <c r="P34" s="55" t="s">
        <v>3499</v>
      </c>
    </row>
    <row r="35" spans="1:16" x14ac:dyDescent="0.25">
      <c r="A35" s="6" t="s">
        <v>3529</v>
      </c>
      <c r="B35" s="22">
        <v>46121</v>
      </c>
      <c r="C35" s="22">
        <v>46127</v>
      </c>
      <c r="D35" s="23">
        <v>3271</v>
      </c>
      <c r="E35" s="23">
        <v>336</v>
      </c>
      <c r="F35" s="23">
        <v>4</v>
      </c>
      <c r="G35" s="23">
        <v>7</v>
      </c>
      <c r="H35" s="26">
        <v>81683</v>
      </c>
      <c r="I35" s="23" t="s">
        <v>543</v>
      </c>
      <c r="J35" s="23">
        <v>14913196</v>
      </c>
      <c r="K35" s="23" t="s">
        <v>895</v>
      </c>
      <c r="L35" s="25" t="s">
        <v>899</v>
      </c>
      <c r="M35" s="24">
        <v>199900</v>
      </c>
      <c r="N35" s="62">
        <v>0.75</v>
      </c>
      <c r="O35" s="60">
        <f t="shared" si="1"/>
        <v>49975</v>
      </c>
      <c r="P35" s="55" t="s">
        <v>3499</v>
      </c>
    </row>
    <row r="36" spans="1:16" x14ac:dyDescent="0.25">
      <c r="A36" s="6" t="s">
        <v>3529</v>
      </c>
      <c r="B36" s="22">
        <v>46121</v>
      </c>
      <c r="C36" s="22">
        <v>46127</v>
      </c>
      <c r="D36" s="23">
        <v>3271</v>
      </c>
      <c r="E36" s="23">
        <v>336</v>
      </c>
      <c r="F36" s="23">
        <v>4</v>
      </c>
      <c r="G36" s="23">
        <v>7</v>
      </c>
      <c r="H36" s="26">
        <v>81683</v>
      </c>
      <c r="I36" s="23" t="s">
        <v>543</v>
      </c>
      <c r="J36" s="23">
        <v>14913203</v>
      </c>
      <c r="K36" s="23" t="s">
        <v>895</v>
      </c>
      <c r="L36" s="25" t="s">
        <v>900</v>
      </c>
      <c r="M36" s="24">
        <v>199900</v>
      </c>
      <c r="N36" s="62">
        <v>0.75</v>
      </c>
      <c r="O36" s="60">
        <f t="shared" si="1"/>
        <v>49975</v>
      </c>
      <c r="P36" s="55" t="s">
        <v>3499</v>
      </c>
    </row>
    <row r="37" spans="1:16" x14ac:dyDescent="0.25">
      <c r="A37" s="6" t="s">
        <v>3529</v>
      </c>
      <c r="B37" s="22">
        <v>46121</v>
      </c>
      <c r="C37" s="22">
        <v>46127</v>
      </c>
      <c r="D37" s="23">
        <v>3271</v>
      </c>
      <c r="E37" s="23">
        <v>336</v>
      </c>
      <c r="F37" s="23">
        <v>4</v>
      </c>
      <c r="G37" s="23">
        <v>7</v>
      </c>
      <c r="H37" s="26">
        <v>81683</v>
      </c>
      <c r="I37" s="23" t="s">
        <v>543</v>
      </c>
      <c r="J37" s="23">
        <v>14913212</v>
      </c>
      <c r="K37" s="23" t="s">
        <v>895</v>
      </c>
      <c r="L37" s="25" t="s">
        <v>901</v>
      </c>
      <c r="M37" s="24">
        <v>199900</v>
      </c>
      <c r="N37" s="62">
        <v>0.75</v>
      </c>
      <c r="O37" s="60">
        <f t="shared" si="1"/>
        <v>49975</v>
      </c>
      <c r="P37" s="55" t="s">
        <v>3499</v>
      </c>
    </row>
    <row r="38" spans="1:16" x14ac:dyDescent="0.25">
      <c r="A38" s="6" t="s">
        <v>3529</v>
      </c>
      <c r="B38" s="22">
        <v>46121</v>
      </c>
      <c r="C38" s="22">
        <v>46127</v>
      </c>
      <c r="D38" s="23">
        <v>3271</v>
      </c>
      <c r="E38" s="23">
        <v>336</v>
      </c>
      <c r="F38" s="23">
        <v>4</v>
      </c>
      <c r="G38" s="23">
        <v>7</v>
      </c>
      <c r="H38" s="26">
        <v>81683</v>
      </c>
      <c r="I38" s="23" t="s">
        <v>543</v>
      </c>
      <c r="J38" s="23">
        <v>14913221</v>
      </c>
      <c r="K38" s="23" t="s">
        <v>895</v>
      </c>
      <c r="L38" s="25" t="s">
        <v>902</v>
      </c>
      <c r="M38" s="24">
        <v>199900</v>
      </c>
      <c r="N38" s="62">
        <v>0.75</v>
      </c>
      <c r="O38" s="60">
        <f t="shared" si="1"/>
        <v>49975</v>
      </c>
      <c r="P38" s="55" t="s">
        <v>3499</v>
      </c>
    </row>
    <row r="39" spans="1:16" x14ac:dyDescent="0.25">
      <c r="A39" s="6" t="s">
        <v>3529</v>
      </c>
      <c r="B39" s="22">
        <v>46121</v>
      </c>
      <c r="C39" s="22">
        <v>46127</v>
      </c>
      <c r="D39" s="23">
        <v>3271</v>
      </c>
      <c r="E39" s="23">
        <v>336</v>
      </c>
      <c r="F39" s="23">
        <v>4</v>
      </c>
      <c r="G39" s="23">
        <v>7</v>
      </c>
      <c r="H39" s="26">
        <v>81683</v>
      </c>
      <c r="I39" s="23" t="s">
        <v>543</v>
      </c>
      <c r="J39" s="23">
        <v>14913230</v>
      </c>
      <c r="K39" s="23" t="s">
        <v>895</v>
      </c>
      <c r="L39" s="25" t="s">
        <v>903</v>
      </c>
      <c r="M39" s="24">
        <v>199900</v>
      </c>
      <c r="N39" s="62">
        <v>0.75</v>
      </c>
      <c r="O39" s="60">
        <f t="shared" si="1"/>
        <v>49975</v>
      </c>
      <c r="P39" s="55" t="s">
        <v>3499</v>
      </c>
    </row>
    <row r="40" spans="1:16" x14ac:dyDescent="0.25">
      <c r="A40" s="6" t="s">
        <v>3529</v>
      </c>
      <c r="B40" s="22">
        <v>46121</v>
      </c>
      <c r="C40" s="22">
        <v>46127</v>
      </c>
      <c r="D40" s="23">
        <v>3271</v>
      </c>
      <c r="E40" s="23">
        <v>336</v>
      </c>
      <c r="F40" s="23">
        <v>4</v>
      </c>
      <c r="G40" s="23">
        <v>7</v>
      </c>
      <c r="H40" s="23">
        <v>81683</v>
      </c>
      <c r="I40" s="23" t="s">
        <v>543</v>
      </c>
      <c r="J40" s="23">
        <v>14913249</v>
      </c>
      <c r="K40" s="23" t="s">
        <v>904</v>
      </c>
      <c r="L40" s="25" t="s">
        <v>905</v>
      </c>
      <c r="M40" s="24">
        <v>199900</v>
      </c>
      <c r="N40" s="62">
        <v>0.75</v>
      </c>
      <c r="O40" s="60">
        <f t="shared" si="1"/>
        <v>49975</v>
      </c>
      <c r="P40" s="55" t="s">
        <v>3499</v>
      </c>
    </row>
    <row r="41" spans="1:16" x14ac:dyDescent="0.25">
      <c r="A41" s="6" t="s">
        <v>3529</v>
      </c>
      <c r="B41" s="22">
        <v>46121</v>
      </c>
      <c r="C41" s="22">
        <v>46127</v>
      </c>
      <c r="D41" s="23">
        <v>3271</v>
      </c>
      <c r="E41" s="23">
        <v>336</v>
      </c>
      <c r="F41" s="23">
        <v>4</v>
      </c>
      <c r="G41" s="23">
        <v>7</v>
      </c>
      <c r="H41" s="23">
        <v>81683</v>
      </c>
      <c r="I41" s="23" t="s">
        <v>543</v>
      </c>
      <c r="J41" s="23">
        <v>14913258</v>
      </c>
      <c r="K41" s="23" t="s">
        <v>904</v>
      </c>
      <c r="L41" s="25" t="s">
        <v>906</v>
      </c>
      <c r="M41" s="24">
        <v>199900</v>
      </c>
      <c r="N41" s="62">
        <v>0.75</v>
      </c>
      <c r="O41" s="60">
        <f t="shared" si="1"/>
        <v>49975</v>
      </c>
      <c r="P41" s="55" t="s">
        <v>3499</v>
      </c>
    </row>
    <row r="42" spans="1:16" x14ac:dyDescent="0.25">
      <c r="A42" s="6" t="s">
        <v>3529</v>
      </c>
      <c r="B42" s="22">
        <v>46121</v>
      </c>
      <c r="C42" s="22">
        <v>46127</v>
      </c>
      <c r="D42" s="23">
        <v>3271</v>
      </c>
      <c r="E42" s="23">
        <v>336</v>
      </c>
      <c r="F42" s="23">
        <v>4</v>
      </c>
      <c r="G42" s="23">
        <v>7</v>
      </c>
      <c r="H42" s="23">
        <v>81683</v>
      </c>
      <c r="I42" s="23" t="s">
        <v>543</v>
      </c>
      <c r="J42" s="23">
        <v>14913267</v>
      </c>
      <c r="K42" s="23" t="s">
        <v>904</v>
      </c>
      <c r="L42" s="25" t="s">
        <v>907</v>
      </c>
      <c r="M42" s="24">
        <v>199900</v>
      </c>
      <c r="N42" s="62">
        <v>0.75</v>
      </c>
      <c r="O42" s="60">
        <f t="shared" si="1"/>
        <v>49975</v>
      </c>
      <c r="P42" s="55" t="s">
        <v>3499</v>
      </c>
    </row>
    <row r="43" spans="1:16" x14ac:dyDescent="0.25">
      <c r="A43" s="6" t="s">
        <v>3529</v>
      </c>
      <c r="B43" s="22">
        <v>46121</v>
      </c>
      <c r="C43" s="22">
        <v>46127</v>
      </c>
      <c r="D43" s="23">
        <v>3271</v>
      </c>
      <c r="E43" s="23">
        <v>336</v>
      </c>
      <c r="F43" s="23">
        <v>4</v>
      </c>
      <c r="G43" s="23">
        <v>7</v>
      </c>
      <c r="H43" s="23">
        <v>81683</v>
      </c>
      <c r="I43" s="23" t="s">
        <v>543</v>
      </c>
      <c r="J43" s="23">
        <v>14913276</v>
      </c>
      <c r="K43" s="23" t="s">
        <v>904</v>
      </c>
      <c r="L43" s="25" t="s">
        <v>908</v>
      </c>
      <c r="M43" s="24">
        <v>199900</v>
      </c>
      <c r="N43" s="62">
        <v>0.75</v>
      </c>
      <c r="O43" s="60">
        <f t="shared" si="1"/>
        <v>49975</v>
      </c>
      <c r="P43" s="55" t="s">
        <v>3499</v>
      </c>
    </row>
    <row r="44" spans="1:16" x14ac:dyDescent="0.25">
      <c r="A44" s="6" t="s">
        <v>3529</v>
      </c>
      <c r="B44" s="22">
        <v>46121</v>
      </c>
      <c r="C44" s="22">
        <v>46127</v>
      </c>
      <c r="D44" s="23">
        <v>3271</v>
      </c>
      <c r="E44" s="23">
        <v>336</v>
      </c>
      <c r="F44" s="23">
        <v>4</v>
      </c>
      <c r="G44" s="23">
        <v>7</v>
      </c>
      <c r="H44" s="23">
        <v>81683</v>
      </c>
      <c r="I44" s="23" t="s">
        <v>543</v>
      </c>
      <c r="J44" s="23">
        <v>14913285</v>
      </c>
      <c r="K44" s="23" t="s">
        <v>904</v>
      </c>
      <c r="L44" s="25" t="s">
        <v>909</v>
      </c>
      <c r="M44" s="24">
        <v>199900</v>
      </c>
      <c r="N44" s="62">
        <v>0.75</v>
      </c>
      <c r="O44" s="60">
        <f t="shared" si="1"/>
        <v>49975</v>
      </c>
      <c r="P44" s="55" t="s">
        <v>3499</v>
      </c>
    </row>
    <row r="45" spans="1:16" x14ac:dyDescent="0.25">
      <c r="A45" s="6" t="s">
        <v>3529</v>
      </c>
      <c r="B45" s="22">
        <v>46121</v>
      </c>
      <c r="C45" s="22">
        <v>46127</v>
      </c>
      <c r="D45" s="23">
        <v>3271</v>
      </c>
      <c r="E45" s="23">
        <v>336</v>
      </c>
      <c r="F45" s="23">
        <v>4</v>
      </c>
      <c r="G45" s="23">
        <v>7</v>
      </c>
      <c r="H45" s="23">
        <v>81683</v>
      </c>
      <c r="I45" s="23" t="s">
        <v>543</v>
      </c>
      <c r="J45" s="23">
        <v>14913294</v>
      </c>
      <c r="K45" s="23" t="s">
        <v>904</v>
      </c>
      <c r="L45" s="25" t="s">
        <v>910</v>
      </c>
      <c r="M45" s="24">
        <v>199900</v>
      </c>
      <c r="N45" s="62">
        <v>0.75</v>
      </c>
      <c r="O45" s="60">
        <f t="shared" si="1"/>
        <v>49975</v>
      </c>
      <c r="P45" s="55" t="s">
        <v>3499</v>
      </c>
    </row>
    <row r="46" spans="1:16" x14ac:dyDescent="0.25">
      <c r="A46" s="6" t="s">
        <v>3529</v>
      </c>
      <c r="B46" s="22">
        <v>46121</v>
      </c>
      <c r="C46" s="22">
        <v>46127</v>
      </c>
      <c r="D46" s="23">
        <v>3271</v>
      </c>
      <c r="E46" s="23">
        <v>336</v>
      </c>
      <c r="F46" s="23">
        <v>4</v>
      </c>
      <c r="G46" s="23">
        <v>7</v>
      </c>
      <c r="H46" s="23">
        <v>81683</v>
      </c>
      <c r="I46" s="23" t="s">
        <v>543</v>
      </c>
      <c r="J46" s="23">
        <v>14913301</v>
      </c>
      <c r="K46" s="23" t="s">
        <v>904</v>
      </c>
      <c r="L46" s="25" t="s">
        <v>911</v>
      </c>
      <c r="M46" s="24">
        <v>199900</v>
      </c>
      <c r="N46" s="62">
        <v>0.75</v>
      </c>
      <c r="O46" s="60">
        <f t="shared" si="1"/>
        <v>49975</v>
      </c>
      <c r="P46" s="55" t="s">
        <v>3499</v>
      </c>
    </row>
    <row r="47" spans="1:16" x14ac:dyDescent="0.25">
      <c r="A47" s="6" t="s">
        <v>3529</v>
      </c>
      <c r="B47" s="22">
        <v>46121</v>
      </c>
      <c r="C47" s="22">
        <v>46127</v>
      </c>
      <c r="D47" s="23">
        <v>3271</v>
      </c>
      <c r="E47" s="23">
        <v>336</v>
      </c>
      <c r="F47" s="23">
        <v>4</v>
      </c>
      <c r="G47" s="23">
        <v>7</v>
      </c>
      <c r="H47" s="23">
        <v>81683</v>
      </c>
      <c r="I47" s="23" t="s">
        <v>543</v>
      </c>
      <c r="J47" s="23">
        <v>14913310</v>
      </c>
      <c r="K47" s="23" t="s">
        <v>904</v>
      </c>
      <c r="L47" s="25" t="s">
        <v>912</v>
      </c>
      <c r="M47" s="24">
        <v>199900</v>
      </c>
      <c r="N47" s="62">
        <v>0.75</v>
      </c>
      <c r="O47" s="60">
        <f t="shared" si="1"/>
        <v>49975</v>
      </c>
      <c r="P47" s="55" t="s">
        <v>3499</v>
      </c>
    </row>
    <row r="48" spans="1:16" x14ac:dyDescent="0.25">
      <c r="A48" s="6" t="s">
        <v>3529</v>
      </c>
      <c r="B48" s="22">
        <v>46121</v>
      </c>
      <c r="C48" s="22">
        <v>46127</v>
      </c>
      <c r="D48" s="23">
        <v>3271</v>
      </c>
      <c r="E48" s="23">
        <v>336</v>
      </c>
      <c r="F48" s="23">
        <v>4</v>
      </c>
      <c r="G48" s="23">
        <v>7</v>
      </c>
      <c r="H48" s="23">
        <v>81683</v>
      </c>
      <c r="I48" s="23" t="s">
        <v>543</v>
      </c>
      <c r="J48" s="23">
        <v>14913329</v>
      </c>
      <c r="K48" s="23" t="s">
        <v>913</v>
      </c>
      <c r="L48" s="25" t="s">
        <v>914</v>
      </c>
      <c r="M48" s="24">
        <v>199900</v>
      </c>
      <c r="N48" s="62">
        <v>0.75</v>
      </c>
      <c r="O48" s="60">
        <f t="shared" si="1"/>
        <v>49975</v>
      </c>
      <c r="P48" s="55" t="s">
        <v>3499</v>
      </c>
    </row>
    <row r="49" spans="1:16" x14ac:dyDescent="0.25">
      <c r="A49" s="6" t="s">
        <v>3529</v>
      </c>
      <c r="B49" s="22">
        <v>46121</v>
      </c>
      <c r="C49" s="22">
        <v>46127</v>
      </c>
      <c r="D49" s="23">
        <v>3271</v>
      </c>
      <c r="E49" s="23">
        <v>336</v>
      </c>
      <c r="F49" s="23">
        <v>4</v>
      </c>
      <c r="G49" s="23">
        <v>7</v>
      </c>
      <c r="H49" s="23">
        <v>81683</v>
      </c>
      <c r="I49" s="23" t="s">
        <v>543</v>
      </c>
      <c r="J49" s="23">
        <v>14913338</v>
      </c>
      <c r="K49" s="23" t="s">
        <v>913</v>
      </c>
      <c r="L49" s="25" t="s">
        <v>915</v>
      </c>
      <c r="M49" s="24">
        <v>199900</v>
      </c>
      <c r="N49" s="62">
        <v>0.75</v>
      </c>
      <c r="O49" s="60">
        <f t="shared" si="1"/>
        <v>49975</v>
      </c>
      <c r="P49" s="55" t="s">
        <v>3499</v>
      </c>
    </row>
    <row r="50" spans="1:16" x14ac:dyDescent="0.25">
      <c r="A50" s="6" t="s">
        <v>3529</v>
      </c>
      <c r="B50" s="22">
        <v>46121</v>
      </c>
      <c r="C50" s="22">
        <v>46127</v>
      </c>
      <c r="D50" s="23">
        <v>3271</v>
      </c>
      <c r="E50" s="23">
        <v>336</v>
      </c>
      <c r="F50" s="23">
        <v>4</v>
      </c>
      <c r="G50" s="23">
        <v>7</v>
      </c>
      <c r="H50" s="23">
        <v>81683</v>
      </c>
      <c r="I50" s="23" t="s">
        <v>543</v>
      </c>
      <c r="J50" s="23">
        <v>14913347</v>
      </c>
      <c r="K50" s="23" t="s">
        <v>913</v>
      </c>
      <c r="L50" s="25" t="s">
        <v>916</v>
      </c>
      <c r="M50" s="24">
        <v>199900</v>
      </c>
      <c r="N50" s="62">
        <v>0.75</v>
      </c>
      <c r="O50" s="60">
        <f t="shared" si="1"/>
        <v>49975</v>
      </c>
      <c r="P50" s="55" t="s">
        <v>3499</v>
      </c>
    </row>
    <row r="51" spans="1:16" x14ac:dyDescent="0.25">
      <c r="A51" s="6" t="s">
        <v>3529</v>
      </c>
      <c r="B51" s="22">
        <v>46121</v>
      </c>
      <c r="C51" s="22">
        <v>46127</v>
      </c>
      <c r="D51" s="23">
        <v>3271</v>
      </c>
      <c r="E51" s="23">
        <v>336</v>
      </c>
      <c r="F51" s="23">
        <v>4</v>
      </c>
      <c r="G51" s="23">
        <v>7</v>
      </c>
      <c r="H51" s="23">
        <v>81683</v>
      </c>
      <c r="I51" s="23" t="s">
        <v>543</v>
      </c>
      <c r="J51" s="23">
        <v>14913356</v>
      </c>
      <c r="K51" s="23" t="s">
        <v>913</v>
      </c>
      <c r="L51" s="25" t="s">
        <v>917</v>
      </c>
      <c r="M51" s="24">
        <v>199900</v>
      </c>
      <c r="N51" s="62">
        <v>0.75</v>
      </c>
      <c r="O51" s="60">
        <f t="shared" si="1"/>
        <v>49975</v>
      </c>
      <c r="P51" s="55" t="s">
        <v>3499</v>
      </c>
    </row>
    <row r="52" spans="1:16" x14ac:dyDescent="0.25">
      <c r="A52" s="6" t="s">
        <v>3529</v>
      </c>
      <c r="B52" s="22">
        <v>46121</v>
      </c>
      <c r="C52" s="22">
        <v>46127</v>
      </c>
      <c r="D52" s="23">
        <v>3271</v>
      </c>
      <c r="E52" s="23">
        <v>336</v>
      </c>
      <c r="F52" s="23">
        <v>4</v>
      </c>
      <c r="G52" s="23">
        <v>7</v>
      </c>
      <c r="H52" s="23">
        <v>81683</v>
      </c>
      <c r="I52" s="23" t="s">
        <v>543</v>
      </c>
      <c r="J52" s="23">
        <v>14913365</v>
      </c>
      <c r="K52" s="23" t="s">
        <v>913</v>
      </c>
      <c r="L52" s="25" t="s">
        <v>918</v>
      </c>
      <c r="M52" s="24">
        <v>199900</v>
      </c>
      <c r="N52" s="62">
        <v>0.75</v>
      </c>
      <c r="O52" s="60">
        <f t="shared" si="1"/>
        <v>49975</v>
      </c>
      <c r="P52" s="55" t="s">
        <v>3499</v>
      </c>
    </row>
    <row r="53" spans="1:16" x14ac:dyDescent="0.25">
      <c r="A53" s="6" t="s">
        <v>3529</v>
      </c>
      <c r="B53" s="22">
        <v>46121</v>
      </c>
      <c r="C53" s="22">
        <v>46127</v>
      </c>
      <c r="D53" s="23">
        <v>3271</v>
      </c>
      <c r="E53" s="23">
        <v>336</v>
      </c>
      <c r="F53" s="23">
        <v>4</v>
      </c>
      <c r="G53" s="23">
        <v>7</v>
      </c>
      <c r="H53" s="23">
        <v>81683</v>
      </c>
      <c r="I53" s="23" t="s">
        <v>543</v>
      </c>
      <c r="J53" s="23">
        <v>14913374</v>
      </c>
      <c r="K53" s="23" t="s">
        <v>913</v>
      </c>
      <c r="L53" s="25" t="s">
        <v>919</v>
      </c>
      <c r="M53" s="24">
        <v>199900</v>
      </c>
      <c r="N53" s="62">
        <v>0.75</v>
      </c>
      <c r="O53" s="60">
        <f t="shared" si="1"/>
        <v>49975</v>
      </c>
      <c r="P53" s="55" t="s">
        <v>3499</v>
      </c>
    </row>
    <row r="54" spans="1:16" x14ac:dyDescent="0.25">
      <c r="A54" s="6" t="s">
        <v>3529</v>
      </c>
      <c r="B54" s="22">
        <v>46121</v>
      </c>
      <c r="C54" s="22">
        <v>46127</v>
      </c>
      <c r="D54" s="23">
        <v>3271</v>
      </c>
      <c r="E54" s="23">
        <v>336</v>
      </c>
      <c r="F54" s="23">
        <v>4</v>
      </c>
      <c r="G54" s="23">
        <v>7</v>
      </c>
      <c r="H54" s="23">
        <v>81683</v>
      </c>
      <c r="I54" s="23" t="s">
        <v>543</v>
      </c>
      <c r="J54" s="23">
        <v>14913383</v>
      </c>
      <c r="K54" s="23" t="s">
        <v>913</v>
      </c>
      <c r="L54" s="25" t="s">
        <v>920</v>
      </c>
      <c r="M54" s="24">
        <v>199900</v>
      </c>
      <c r="N54" s="62">
        <v>0.75</v>
      </c>
      <c r="O54" s="60">
        <f t="shared" si="1"/>
        <v>49975</v>
      </c>
      <c r="P54" s="55" t="s">
        <v>3499</v>
      </c>
    </row>
    <row r="55" spans="1:16" x14ac:dyDescent="0.25">
      <c r="A55" s="6" t="s">
        <v>3529</v>
      </c>
      <c r="B55" s="22">
        <v>46121</v>
      </c>
      <c r="C55" s="22">
        <v>46127</v>
      </c>
      <c r="D55" s="23">
        <v>3271</v>
      </c>
      <c r="E55" s="23">
        <v>336</v>
      </c>
      <c r="F55" s="23">
        <v>4</v>
      </c>
      <c r="G55" s="23">
        <v>7</v>
      </c>
      <c r="H55" s="23">
        <v>81683</v>
      </c>
      <c r="I55" s="23" t="s">
        <v>543</v>
      </c>
      <c r="J55" s="23">
        <v>14913392</v>
      </c>
      <c r="K55" s="23" t="s">
        <v>913</v>
      </c>
      <c r="L55" s="25" t="s">
        <v>921</v>
      </c>
      <c r="M55" s="24">
        <v>199900</v>
      </c>
      <c r="N55" s="62">
        <v>0.75</v>
      </c>
      <c r="O55" s="60">
        <f t="shared" si="1"/>
        <v>49975</v>
      </c>
      <c r="P55" s="55" t="s">
        <v>3499</v>
      </c>
    </row>
    <row r="56" spans="1:16" x14ac:dyDescent="0.25">
      <c r="A56" s="6" t="s">
        <v>3529</v>
      </c>
      <c r="B56" s="22">
        <v>46121</v>
      </c>
      <c r="C56" s="22">
        <v>46127</v>
      </c>
      <c r="D56" s="23">
        <v>3271</v>
      </c>
      <c r="E56" s="23">
        <v>336</v>
      </c>
      <c r="F56" s="23">
        <v>4</v>
      </c>
      <c r="G56" s="23">
        <v>7</v>
      </c>
      <c r="H56" s="23">
        <v>81683</v>
      </c>
      <c r="I56" s="23" t="s">
        <v>543</v>
      </c>
      <c r="J56" s="23">
        <v>14913409</v>
      </c>
      <c r="K56" s="23" t="s">
        <v>922</v>
      </c>
      <c r="L56" s="25" t="s">
        <v>923</v>
      </c>
      <c r="M56" s="24">
        <v>199900</v>
      </c>
      <c r="N56" s="62">
        <v>0.75</v>
      </c>
      <c r="O56" s="60">
        <f t="shared" si="1"/>
        <v>49975</v>
      </c>
      <c r="P56" s="55" t="s">
        <v>3499</v>
      </c>
    </row>
    <row r="57" spans="1:16" x14ac:dyDescent="0.25">
      <c r="A57" s="6" t="s">
        <v>3529</v>
      </c>
      <c r="B57" s="22">
        <v>46121</v>
      </c>
      <c r="C57" s="22">
        <v>46127</v>
      </c>
      <c r="D57" s="23">
        <v>3271</v>
      </c>
      <c r="E57" s="23">
        <v>336</v>
      </c>
      <c r="F57" s="23">
        <v>4</v>
      </c>
      <c r="G57" s="23">
        <v>7</v>
      </c>
      <c r="H57" s="23">
        <v>81683</v>
      </c>
      <c r="I57" s="23" t="s">
        <v>543</v>
      </c>
      <c r="J57" s="23">
        <v>14913418</v>
      </c>
      <c r="K57" s="23" t="s">
        <v>922</v>
      </c>
      <c r="L57" s="25" t="s">
        <v>924</v>
      </c>
      <c r="M57" s="24">
        <v>199900</v>
      </c>
      <c r="N57" s="62">
        <v>0.75</v>
      </c>
      <c r="O57" s="60">
        <f t="shared" si="1"/>
        <v>49975</v>
      </c>
      <c r="P57" s="55" t="s">
        <v>3499</v>
      </c>
    </row>
    <row r="58" spans="1:16" x14ac:dyDescent="0.25">
      <c r="A58" s="6" t="s">
        <v>3529</v>
      </c>
      <c r="B58" s="22">
        <v>46121</v>
      </c>
      <c r="C58" s="22">
        <v>46127</v>
      </c>
      <c r="D58" s="23">
        <v>3271</v>
      </c>
      <c r="E58" s="23">
        <v>336</v>
      </c>
      <c r="F58" s="23">
        <v>4</v>
      </c>
      <c r="G58" s="23">
        <v>7</v>
      </c>
      <c r="H58" s="23">
        <v>81683</v>
      </c>
      <c r="I58" s="23" t="s">
        <v>543</v>
      </c>
      <c r="J58" s="23">
        <v>14913427</v>
      </c>
      <c r="K58" s="23" t="s">
        <v>922</v>
      </c>
      <c r="L58" s="25" t="s">
        <v>925</v>
      </c>
      <c r="M58" s="24">
        <v>199900</v>
      </c>
      <c r="N58" s="62">
        <v>0.75</v>
      </c>
      <c r="O58" s="60">
        <f t="shared" si="1"/>
        <v>49975</v>
      </c>
      <c r="P58" s="55" t="s">
        <v>3499</v>
      </c>
    </row>
    <row r="59" spans="1:16" x14ac:dyDescent="0.25">
      <c r="A59" s="6" t="s">
        <v>3529</v>
      </c>
      <c r="B59" s="22">
        <v>46121</v>
      </c>
      <c r="C59" s="22">
        <v>46127</v>
      </c>
      <c r="D59" s="23">
        <v>3271</v>
      </c>
      <c r="E59" s="23">
        <v>336</v>
      </c>
      <c r="F59" s="23">
        <v>4</v>
      </c>
      <c r="G59" s="23">
        <v>7</v>
      </c>
      <c r="H59" s="23">
        <v>81683</v>
      </c>
      <c r="I59" s="23" t="s">
        <v>543</v>
      </c>
      <c r="J59" s="23">
        <v>14913436</v>
      </c>
      <c r="K59" s="23" t="s">
        <v>922</v>
      </c>
      <c r="L59" s="25" t="s">
        <v>926</v>
      </c>
      <c r="M59" s="24">
        <v>199900</v>
      </c>
      <c r="N59" s="62">
        <v>0.75</v>
      </c>
      <c r="O59" s="60">
        <f t="shared" si="1"/>
        <v>49975</v>
      </c>
      <c r="P59" s="55" t="s">
        <v>3499</v>
      </c>
    </row>
    <row r="60" spans="1:16" x14ac:dyDescent="0.25">
      <c r="A60" s="6" t="s">
        <v>3529</v>
      </c>
      <c r="B60" s="22">
        <v>46121</v>
      </c>
      <c r="C60" s="22">
        <v>46127</v>
      </c>
      <c r="D60" s="23">
        <v>3271</v>
      </c>
      <c r="E60" s="23">
        <v>336</v>
      </c>
      <c r="F60" s="23">
        <v>4</v>
      </c>
      <c r="G60" s="23">
        <v>7</v>
      </c>
      <c r="H60" s="23">
        <v>81683</v>
      </c>
      <c r="I60" s="23" t="s">
        <v>543</v>
      </c>
      <c r="J60" s="23">
        <v>14913445</v>
      </c>
      <c r="K60" s="23" t="s">
        <v>922</v>
      </c>
      <c r="L60" s="25" t="s">
        <v>927</v>
      </c>
      <c r="M60" s="24">
        <v>199900</v>
      </c>
      <c r="N60" s="62">
        <v>0.75</v>
      </c>
      <c r="O60" s="60">
        <f t="shared" si="1"/>
        <v>49975</v>
      </c>
      <c r="P60" s="55" t="s">
        <v>3499</v>
      </c>
    </row>
    <row r="61" spans="1:16" x14ac:dyDescent="0.25">
      <c r="A61" s="6" t="s">
        <v>3529</v>
      </c>
      <c r="B61" s="22">
        <v>46121</v>
      </c>
      <c r="C61" s="22">
        <v>46127</v>
      </c>
      <c r="D61" s="23">
        <v>3271</v>
      </c>
      <c r="E61" s="23">
        <v>336</v>
      </c>
      <c r="F61" s="23">
        <v>4</v>
      </c>
      <c r="G61" s="23">
        <v>7</v>
      </c>
      <c r="H61" s="23">
        <v>81683</v>
      </c>
      <c r="I61" s="23" t="s">
        <v>543</v>
      </c>
      <c r="J61" s="23">
        <v>14913454</v>
      </c>
      <c r="K61" s="23" t="s">
        <v>922</v>
      </c>
      <c r="L61" s="25" t="s">
        <v>928</v>
      </c>
      <c r="M61" s="24">
        <v>199900</v>
      </c>
      <c r="N61" s="62">
        <v>0.75</v>
      </c>
      <c r="O61" s="60">
        <f t="shared" si="1"/>
        <v>49975</v>
      </c>
      <c r="P61" s="55" t="s">
        <v>3499</v>
      </c>
    </row>
    <row r="62" spans="1:16" x14ac:dyDescent="0.25">
      <c r="A62" s="6" t="s">
        <v>3529</v>
      </c>
      <c r="B62" s="22">
        <v>46121</v>
      </c>
      <c r="C62" s="22">
        <v>46127</v>
      </c>
      <c r="D62" s="23">
        <v>3271</v>
      </c>
      <c r="E62" s="23">
        <v>336</v>
      </c>
      <c r="F62" s="23">
        <v>4</v>
      </c>
      <c r="G62" s="23">
        <v>7</v>
      </c>
      <c r="H62" s="23">
        <v>81683</v>
      </c>
      <c r="I62" s="23" t="s">
        <v>543</v>
      </c>
      <c r="J62" s="23">
        <v>14913463</v>
      </c>
      <c r="K62" s="23" t="s">
        <v>922</v>
      </c>
      <c r="L62" s="25" t="s">
        <v>929</v>
      </c>
      <c r="M62" s="24">
        <v>199900</v>
      </c>
      <c r="N62" s="62">
        <v>0.75</v>
      </c>
      <c r="O62" s="60">
        <f t="shared" si="1"/>
        <v>49975</v>
      </c>
      <c r="P62" s="55" t="s">
        <v>3499</v>
      </c>
    </row>
    <row r="63" spans="1:16" x14ac:dyDescent="0.25">
      <c r="A63" s="6" t="s">
        <v>3529</v>
      </c>
      <c r="B63" s="22">
        <v>46121</v>
      </c>
      <c r="C63" s="22">
        <v>46127</v>
      </c>
      <c r="D63" s="23">
        <v>3271</v>
      </c>
      <c r="E63" s="23">
        <v>336</v>
      </c>
      <c r="F63" s="23">
        <v>4</v>
      </c>
      <c r="G63" s="23">
        <v>7</v>
      </c>
      <c r="H63" s="23">
        <v>81683</v>
      </c>
      <c r="I63" s="23" t="s">
        <v>543</v>
      </c>
      <c r="J63" s="23">
        <v>14913472</v>
      </c>
      <c r="K63" s="23" t="s">
        <v>922</v>
      </c>
      <c r="L63" s="25" t="s">
        <v>930</v>
      </c>
      <c r="M63" s="24">
        <v>199900</v>
      </c>
      <c r="N63" s="62">
        <v>0.75</v>
      </c>
      <c r="O63" s="60">
        <f t="shared" si="1"/>
        <v>49975</v>
      </c>
      <c r="P63" s="55" t="s">
        <v>3499</v>
      </c>
    </row>
    <row r="64" spans="1:16" x14ac:dyDescent="0.25">
      <c r="A64" s="6" t="s">
        <v>3529</v>
      </c>
      <c r="B64" s="22">
        <v>46121</v>
      </c>
      <c r="C64" s="22">
        <v>46127</v>
      </c>
      <c r="D64" s="23">
        <v>3271</v>
      </c>
      <c r="E64" s="23">
        <v>336</v>
      </c>
      <c r="F64" s="23">
        <v>4</v>
      </c>
      <c r="G64" s="23">
        <v>7</v>
      </c>
      <c r="H64" s="23">
        <v>81683</v>
      </c>
      <c r="I64" s="23" t="s">
        <v>543</v>
      </c>
      <c r="J64" s="23">
        <v>14913481</v>
      </c>
      <c r="K64" s="23" t="s">
        <v>931</v>
      </c>
      <c r="L64" s="25" t="s">
        <v>932</v>
      </c>
      <c r="M64" s="24">
        <v>199900</v>
      </c>
      <c r="N64" s="62">
        <v>0.75</v>
      </c>
      <c r="O64" s="60">
        <f t="shared" si="1"/>
        <v>49975</v>
      </c>
      <c r="P64" s="55" t="s">
        <v>3499</v>
      </c>
    </row>
    <row r="65" spans="1:16" x14ac:dyDescent="0.25">
      <c r="A65" s="6" t="s">
        <v>3529</v>
      </c>
      <c r="B65" s="22">
        <v>46121</v>
      </c>
      <c r="C65" s="22">
        <v>46127</v>
      </c>
      <c r="D65" s="23">
        <v>3271</v>
      </c>
      <c r="E65" s="23">
        <v>336</v>
      </c>
      <c r="F65" s="23">
        <v>4</v>
      </c>
      <c r="G65" s="23">
        <v>7</v>
      </c>
      <c r="H65" s="23">
        <v>81683</v>
      </c>
      <c r="I65" s="23" t="s">
        <v>543</v>
      </c>
      <c r="J65" s="23">
        <v>14913490</v>
      </c>
      <c r="K65" s="23" t="s">
        <v>931</v>
      </c>
      <c r="L65" s="25" t="s">
        <v>933</v>
      </c>
      <c r="M65" s="24">
        <v>199900</v>
      </c>
      <c r="N65" s="62">
        <v>0.75</v>
      </c>
      <c r="O65" s="60">
        <f t="shared" si="1"/>
        <v>49975</v>
      </c>
      <c r="P65" s="55" t="s">
        <v>3499</v>
      </c>
    </row>
    <row r="66" spans="1:16" x14ac:dyDescent="0.25">
      <c r="A66" s="6" t="s">
        <v>3529</v>
      </c>
      <c r="B66" s="22">
        <v>46121</v>
      </c>
      <c r="C66" s="22">
        <v>46127</v>
      </c>
      <c r="D66" s="23">
        <v>3271</v>
      </c>
      <c r="E66" s="23">
        <v>336</v>
      </c>
      <c r="F66" s="23">
        <v>4</v>
      </c>
      <c r="G66" s="23">
        <v>7</v>
      </c>
      <c r="H66" s="23">
        <v>81683</v>
      </c>
      <c r="I66" s="23" t="s">
        <v>543</v>
      </c>
      <c r="J66" s="23">
        <v>14913507</v>
      </c>
      <c r="K66" s="23" t="s">
        <v>931</v>
      </c>
      <c r="L66" s="25" t="s">
        <v>934</v>
      </c>
      <c r="M66" s="24">
        <v>199900</v>
      </c>
      <c r="N66" s="62">
        <v>0.75</v>
      </c>
      <c r="O66" s="60">
        <f t="shared" si="1"/>
        <v>49975</v>
      </c>
      <c r="P66" s="55" t="s">
        <v>3499</v>
      </c>
    </row>
    <row r="67" spans="1:16" x14ac:dyDescent="0.25">
      <c r="A67" s="6" t="s">
        <v>3529</v>
      </c>
      <c r="B67" s="22">
        <v>46121</v>
      </c>
      <c r="C67" s="22">
        <v>46127</v>
      </c>
      <c r="D67" s="23">
        <v>3271</v>
      </c>
      <c r="E67" s="23">
        <v>336</v>
      </c>
      <c r="F67" s="23">
        <v>4</v>
      </c>
      <c r="G67" s="23">
        <v>7</v>
      </c>
      <c r="H67" s="23">
        <v>81683</v>
      </c>
      <c r="I67" s="23" t="s">
        <v>543</v>
      </c>
      <c r="J67" s="23">
        <v>14913516</v>
      </c>
      <c r="K67" s="23" t="s">
        <v>931</v>
      </c>
      <c r="L67" s="25" t="s">
        <v>935</v>
      </c>
      <c r="M67" s="24">
        <v>199900</v>
      </c>
      <c r="N67" s="62">
        <v>0.75</v>
      </c>
      <c r="O67" s="60">
        <f t="shared" ref="O67:O107" si="2">M67-((75*M67)/100)</f>
        <v>49975</v>
      </c>
      <c r="P67" s="55" t="s">
        <v>3499</v>
      </c>
    </row>
    <row r="68" spans="1:16" x14ac:dyDescent="0.25">
      <c r="A68" s="6" t="s">
        <v>3529</v>
      </c>
      <c r="B68" s="22">
        <v>46121</v>
      </c>
      <c r="C68" s="22">
        <v>46127</v>
      </c>
      <c r="D68" s="23">
        <v>3271</v>
      </c>
      <c r="E68" s="23">
        <v>336</v>
      </c>
      <c r="F68" s="23">
        <v>4</v>
      </c>
      <c r="G68" s="23">
        <v>7</v>
      </c>
      <c r="H68" s="23">
        <v>81683</v>
      </c>
      <c r="I68" s="23" t="s">
        <v>543</v>
      </c>
      <c r="J68" s="23">
        <v>14913525</v>
      </c>
      <c r="K68" s="23" t="s">
        <v>931</v>
      </c>
      <c r="L68" s="25" t="s">
        <v>936</v>
      </c>
      <c r="M68" s="24">
        <v>199900</v>
      </c>
      <c r="N68" s="62">
        <v>0.75</v>
      </c>
      <c r="O68" s="60">
        <f t="shared" si="2"/>
        <v>49975</v>
      </c>
      <c r="P68" s="55" t="s">
        <v>3499</v>
      </c>
    </row>
    <row r="69" spans="1:16" x14ac:dyDescent="0.25">
      <c r="A69" s="6" t="s">
        <v>3529</v>
      </c>
      <c r="B69" s="22">
        <v>46121</v>
      </c>
      <c r="C69" s="22">
        <v>46127</v>
      </c>
      <c r="D69" s="23">
        <v>3271</v>
      </c>
      <c r="E69" s="23">
        <v>336</v>
      </c>
      <c r="F69" s="23">
        <v>4</v>
      </c>
      <c r="G69" s="23">
        <v>7</v>
      </c>
      <c r="H69" s="23">
        <v>81683</v>
      </c>
      <c r="I69" s="23" t="s">
        <v>543</v>
      </c>
      <c r="J69" s="23">
        <v>14913534</v>
      </c>
      <c r="K69" s="23" t="s">
        <v>931</v>
      </c>
      <c r="L69" s="25" t="s">
        <v>937</v>
      </c>
      <c r="M69" s="24">
        <v>199900</v>
      </c>
      <c r="N69" s="62">
        <v>0.75</v>
      </c>
      <c r="O69" s="60">
        <f t="shared" si="2"/>
        <v>49975</v>
      </c>
      <c r="P69" s="55" t="s">
        <v>3499</v>
      </c>
    </row>
    <row r="70" spans="1:16" x14ac:dyDescent="0.25">
      <c r="A70" s="6" t="s">
        <v>3529</v>
      </c>
      <c r="B70" s="22">
        <v>46121</v>
      </c>
      <c r="C70" s="22">
        <v>46127</v>
      </c>
      <c r="D70" s="23">
        <v>3271</v>
      </c>
      <c r="E70" s="23">
        <v>336</v>
      </c>
      <c r="F70" s="23">
        <v>4</v>
      </c>
      <c r="G70" s="23">
        <v>7</v>
      </c>
      <c r="H70" s="23">
        <v>81683</v>
      </c>
      <c r="I70" s="23" t="s">
        <v>543</v>
      </c>
      <c r="J70" s="23">
        <v>14913543</v>
      </c>
      <c r="K70" s="23" t="s">
        <v>931</v>
      </c>
      <c r="L70" s="25" t="s">
        <v>938</v>
      </c>
      <c r="M70" s="24">
        <v>199900</v>
      </c>
      <c r="N70" s="62">
        <v>0.75</v>
      </c>
      <c r="O70" s="60">
        <f t="shared" si="2"/>
        <v>49975</v>
      </c>
      <c r="P70" s="55" t="s">
        <v>3499</v>
      </c>
    </row>
    <row r="71" spans="1:16" x14ac:dyDescent="0.25">
      <c r="A71" s="6" t="s">
        <v>3529</v>
      </c>
      <c r="B71" s="22">
        <v>46121</v>
      </c>
      <c r="C71" s="22">
        <v>46127</v>
      </c>
      <c r="D71" s="23">
        <v>3271</v>
      </c>
      <c r="E71" s="23">
        <v>336</v>
      </c>
      <c r="F71" s="23">
        <v>4</v>
      </c>
      <c r="G71" s="23">
        <v>7</v>
      </c>
      <c r="H71" s="23">
        <v>81683</v>
      </c>
      <c r="I71" s="23" t="s">
        <v>543</v>
      </c>
      <c r="J71" s="23">
        <v>14913552</v>
      </c>
      <c r="K71" s="23" t="s">
        <v>931</v>
      </c>
      <c r="L71" s="25" t="s">
        <v>939</v>
      </c>
      <c r="M71" s="24">
        <v>199900</v>
      </c>
      <c r="N71" s="62">
        <v>0.75</v>
      </c>
      <c r="O71" s="60">
        <f t="shared" si="2"/>
        <v>49975</v>
      </c>
      <c r="P71" s="55" t="s">
        <v>3499</v>
      </c>
    </row>
    <row r="72" spans="1:16" x14ac:dyDescent="0.25">
      <c r="A72" s="6" t="s">
        <v>3529</v>
      </c>
      <c r="B72" s="22">
        <v>46121</v>
      </c>
      <c r="C72" s="22">
        <v>46127</v>
      </c>
      <c r="D72" s="23">
        <v>3271</v>
      </c>
      <c r="E72" s="23">
        <v>336</v>
      </c>
      <c r="F72" s="23">
        <v>4</v>
      </c>
      <c r="G72" s="23">
        <v>7</v>
      </c>
      <c r="H72" s="23">
        <v>81683</v>
      </c>
      <c r="I72" s="23" t="s">
        <v>543</v>
      </c>
      <c r="J72" s="23">
        <v>15199716</v>
      </c>
      <c r="K72" s="23" t="s">
        <v>940</v>
      </c>
      <c r="L72" s="25" t="s">
        <v>941</v>
      </c>
      <c r="M72" s="24">
        <v>199900</v>
      </c>
      <c r="N72" s="62">
        <v>0.75</v>
      </c>
      <c r="O72" s="60">
        <f t="shared" si="2"/>
        <v>49975</v>
      </c>
      <c r="P72" s="55" t="s">
        <v>3499</v>
      </c>
    </row>
    <row r="73" spans="1:16" x14ac:dyDescent="0.25">
      <c r="A73" s="6" t="s">
        <v>3529</v>
      </c>
      <c r="B73" s="22">
        <v>46121</v>
      </c>
      <c r="C73" s="22">
        <v>46127</v>
      </c>
      <c r="D73" s="23">
        <v>3271</v>
      </c>
      <c r="E73" s="23">
        <v>336</v>
      </c>
      <c r="F73" s="23">
        <v>4</v>
      </c>
      <c r="G73" s="23">
        <v>7</v>
      </c>
      <c r="H73" s="23">
        <v>81683</v>
      </c>
      <c r="I73" s="23" t="s">
        <v>543</v>
      </c>
      <c r="J73" s="23">
        <v>15199725</v>
      </c>
      <c r="K73" s="23" t="s">
        <v>940</v>
      </c>
      <c r="L73" s="25" t="s">
        <v>942</v>
      </c>
      <c r="M73" s="24">
        <v>199900</v>
      </c>
      <c r="N73" s="62">
        <v>0.75</v>
      </c>
      <c r="O73" s="60">
        <f t="shared" si="2"/>
        <v>49975</v>
      </c>
      <c r="P73" s="55" t="s">
        <v>3499</v>
      </c>
    </row>
    <row r="74" spans="1:16" x14ac:dyDescent="0.25">
      <c r="A74" s="6" t="s">
        <v>3529</v>
      </c>
      <c r="B74" s="22">
        <v>46121</v>
      </c>
      <c r="C74" s="22">
        <v>46127</v>
      </c>
      <c r="D74" s="23">
        <v>3271</v>
      </c>
      <c r="E74" s="23">
        <v>336</v>
      </c>
      <c r="F74" s="23">
        <v>4</v>
      </c>
      <c r="G74" s="23">
        <v>7</v>
      </c>
      <c r="H74" s="23">
        <v>81683</v>
      </c>
      <c r="I74" s="23" t="s">
        <v>543</v>
      </c>
      <c r="J74" s="23">
        <v>15199734</v>
      </c>
      <c r="K74" s="23" t="s">
        <v>940</v>
      </c>
      <c r="L74" s="25" t="s">
        <v>943</v>
      </c>
      <c r="M74" s="24">
        <v>199900</v>
      </c>
      <c r="N74" s="62">
        <v>0.75</v>
      </c>
      <c r="O74" s="60">
        <f t="shared" si="2"/>
        <v>49975</v>
      </c>
      <c r="P74" s="55" t="s">
        <v>3499</v>
      </c>
    </row>
    <row r="75" spans="1:16" x14ac:dyDescent="0.25">
      <c r="A75" s="6" t="s">
        <v>3529</v>
      </c>
      <c r="B75" s="22">
        <v>46121</v>
      </c>
      <c r="C75" s="22">
        <v>46127</v>
      </c>
      <c r="D75" s="23">
        <v>3271</v>
      </c>
      <c r="E75" s="23">
        <v>336</v>
      </c>
      <c r="F75" s="23">
        <v>4</v>
      </c>
      <c r="G75" s="23">
        <v>7</v>
      </c>
      <c r="H75" s="23">
        <v>81683</v>
      </c>
      <c r="I75" s="23" t="s">
        <v>543</v>
      </c>
      <c r="J75" s="23">
        <v>15200436</v>
      </c>
      <c r="K75" s="23" t="s">
        <v>940</v>
      </c>
      <c r="L75" s="25" t="s">
        <v>944</v>
      </c>
      <c r="M75" s="24">
        <v>199900</v>
      </c>
      <c r="N75" s="62">
        <v>0.75</v>
      </c>
      <c r="O75" s="60">
        <f t="shared" si="2"/>
        <v>49975</v>
      </c>
      <c r="P75" s="55" t="s">
        <v>3499</v>
      </c>
    </row>
    <row r="76" spans="1:16" x14ac:dyDescent="0.25">
      <c r="A76" s="6" t="s">
        <v>3529</v>
      </c>
      <c r="B76" s="22">
        <v>46121</v>
      </c>
      <c r="C76" s="22">
        <v>46127</v>
      </c>
      <c r="D76" s="23">
        <v>3271</v>
      </c>
      <c r="E76" s="23">
        <v>336</v>
      </c>
      <c r="F76" s="23">
        <v>4</v>
      </c>
      <c r="G76" s="23">
        <v>7</v>
      </c>
      <c r="H76" s="23">
        <v>81683</v>
      </c>
      <c r="I76" s="23" t="s">
        <v>543</v>
      </c>
      <c r="J76" s="23">
        <v>15200445</v>
      </c>
      <c r="K76" s="23" t="s">
        <v>940</v>
      </c>
      <c r="L76" s="25" t="s">
        <v>945</v>
      </c>
      <c r="M76" s="24">
        <v>199900</v>
      </c>
      <c r="N76" s="62">
        <v>0.75</v>
      </c>
      <c r="O76" s="60">
        <f t="shared" si="2"/>
        <v>49975</v>
      </c>
      <c r="P76" s="55" t="s">
        <v>3499</v>
      </c>
    </row>
    <row r="77" spans="1:16" x14ac:dyDescent="0.25">
      <c r="A77" s="6" t="s">
        <v>3529</v>
      </c>
      <c r="B77" s="22">
        <v>46121</v>
      </c>
      <c r="C77" s="22">
        <v>46127</v>
      </c>
      <c r="D77" s="23">
        <v>3271</v>
      </c>
      <c r="E77" s="23">
        <v>336</v>
      </c>
      <c r="F77" s="23">
        <v>4</v>
      </c>
      <c r="G77" s="23">
        <v>7</v>
      </c>
      <c r="H77" s="23">
        <v>81683</v>
      </c>
      <c r="I77" s="23" t="s">
        <v>543</v>
      </c>
      <c r="J77" s="23">
        <v>15200454</v>
      </c>
      <c r="K77" s="23" t="s">
        <v>940</v>
      </c>
      <c r="L77" s="25" t="s">
        <v>946</v>
      </c>
      <c r="M77" s="24">
        <v>199900</v>
      </c>
      <c r="N77" s="62">
        <v>0.75</v>
      </c>
      <c r="O77" s="60">
        <f t="shared" si="2"/>
        <v>49975</v>
      </c>
      <c r="P77" s="55" t="s">
        <v>3499</v>
      </c>
    </row>
    <row r="78" spans="1:16" x14ac:dyDescent="0.25">
      <c r="A78" s="6" t="s">
        <v>3529</v>
      </c>
      <c r="B78" s="22">
        <v>46121</v>
      </c>
      <c r="C78" s="22">
        <v>46127</v>
      </c>
      <c r="D78" s="23">
        <v>3271</v>
      </c>
      <c r="E78" s="23">
        <v>336</v>
      </c>
      <c r="F78" s="23">
        <v>4</v>
      </c>
      <c r="G78" s="23">
        <v>7</v>
      </c>
      <c r="H78" s="23">
        <v>81683</v>
      </c>
      <c r="I78" s="23" t="s">
        <v>543</v>
      </c>
      <c r="J78" s="23">
        <v>15199707</v>
      </c>
      <c r="K78" s="23" t="s">
        <v>940</v>
      </c>
      <c r="L78" s="25" t="s">
        <v>947</v>
      </c>
      <c r="M78" s="24">
        <v>199900</v>
      </c>
      <c r="N78" s="62">
        <v>0.75</v>
      </c>
      <c r="O78" s="60">
        <f t="shared" si="2"/>
        <v>49975</v>
      </c>
      <c r="P78" s="55" t="s">
        <v>3499</v>
      </c>
    </row>
    <row r="79" spans="1:16" x14ac:dyDescent="0.25">
      <c r="A79" s="6" t="s">
        <v>3529</v>
      </c>
      <c r="B79" s="22">
        <v>46121</v>
      </c>
      <c r="C79" s="22">
        <v>46127</v>
      </c>
      <c r="D79" s="23">
        <v>3271</v>
      </c>
      <c r="E79" s="23">
        <v>336</v>
      </c>
      <c r="F79" s="23">
        <v>4</v>
      </c>
      <c r="G79" s="23">
        <v>7</v>
      </c>
      <c r="H79" s="23">
        <v>81683</v>
      </c>
      <c r="I79" s="23" t="s">
        <v>543</v>
      </c>
      <c r="J79" s="23">
        <v>15200427</v>
      </c>
      <c r="K79" s="23" t="s">
        <v>940</v>
      </c>
      <c r="L79" s="25" t="s">
        <v>948</v>
      </c>
      <c r="M79" s="24">
        <v>199900</v>
      </c>
      <c r="N79" s="62">
        <v>0.75</v>
      </c>
      <c r="O79" s="60">
        <f t="shared" si="2"/>
        <v>49975</v>
      </c>
      <c r="P79" s="55" t="s">
        <v>3499</v>
      </c>
    </row>
    <row r="80" spans="1:16" x14ac:dyDescent="0.25">
      <c r="A80" s="6" t="s">
        <v>3529</v>
      </c>
      <c r="B80" s="22">
        <v>46121</v>
      </c>
      <c r="C80" s="22">
        <v>46127</v>
      </c>
      <c r="D80" s="23">
        <v>3271</v>
      </c>
      <c r="E80" s="23">
        <v>336</v>
      </c>
      <c r="F80" s="23">
        <v>4</v>
      </c>
      <c r="G80" s="23">
        <v>7</v>
      </c>
      <c r="H80" s="23">
        <v>81683</v>
      </c>
      <c r="I80" s="23" t="s">
        <v>543</v>
      </c>
      <c r="J80" s="23">
        <v>15199798</v>
      </c>
      <c r="K80" s="23" t="s">
        <v>949</v>
      </c>
      <c r="L80" s="25" t="s">
        <v>950</v>
      </c>
      <c r="M80" s="24">
        <v>199900</v>
      </c>
      <c r="N80" s="62">
        <v>0.75</v>
      </c>
      <c r="O80" s="60">
        <f t="shared" si="2"/>
        <v>49975</v>
      </c>
      <c r="P80" s="55" t="s">
        <v>3499</v>
      </c>
    </row>
    <row r="81" spans="1:16" x14ac:dyDescent="0.25">
      <c r="A81" s="6" t="s">
        <v>3529</v>
      </c>
      <c r="B81" s="22">
        <v>46121</v>
      </c>
      <c r="C81" s="22">
        <v>46127</v>
      </c>
      <c r="D81" s="23">
        <v>3271</v>
      </c>
      <c r="E81" s="23">
        <v>336</v>
      </c>
      <c r="F81" s="23">
        <v>4</v>
      </c>
      <c r="G81" s="23">
        <v>7</v>
      </c>
      <c r="H81" s="23">
        <v>81683</v>
      </c>
      <c r="I81" s="23" t="s">
        <v>543</v>
      </c>
      <c r="J81" s="23">
        <v>15199805</v>
      </c>
      <c r="K81" s="23" t="s">
        <v>949</v>
      </c>
      <c r="L81" s="25" t="s">
        <v>951</v>
      </c>
      <c r="M81" s="24">
        <v>199900</v>
      </c>
      <c r="N81" s="62">
        <v>0.75</v>
      </c>
      <c r="O81" s="60">
        <f t="shared" si="2"/>
        <v>49975</v>
      </c>
      <c r="P81" s="55" t="s">
        <v>3499</v>
      </c>
    </row>
    <row r="82" spans="1:16" x14ac:dyDescent="0.25">
      <c r="A82" s="6" t="s">
        <v>3529</v>
      </c>
      <c r="B82" s="22">
        <v>46121</v>
      </c>
      <c r="C82" s="22">
        <v>46127</v>
      </c>
      <c r="D82" s="23">
        <v>3271</v>
      </c>
      <c r="E82" s="23">
        <v>336</v>
      </c>
      <c r="F82" s="23">
        <v>4</v>
      </c>
      <c r="G82" s="23">
        <v>7</v>
      </c>
      <c r="H82" s="23">
        <v>81683</v>
      </c>
      <c r="I82" s="23" t="s">
        <v>543</v>
      </c>
      <c r="J82" s="23">
        <v>15199814</v>
      </c>
      <c r="K82" s="23" t="s">
        <v>949</v>
      </c>
      <c r="L82" s="25" t="s">
        <v>952</v>
      </c>
      <c r="M82" s="24">
        <v>199900</v>
      </c>
      <c r="N82" s="62">
        <v>0.75</v>
      </c>
      <c r="O82" s="60">
        <f t="shared" si="2"/>
        <v>49975</v>
      </c>
      <c r="P82" s="55" t="s">
        <v>3499</v>
      </c>
    </row>
    <row r="83" spans="1:16" x14ac:dyDescent="0.25">
      <c r="A83" s="6" t="s">
        <v>3529</v>
      </c>
      <c r="B83" s="22">
        <v>46121</v>
      </c>
      <c r="C83" s="22">
        <v>46127</v>
      </c>
      <c r="D83" s="23">
        <v>3271</v>
      </c>
      <c r="E83" s="23">
        <v>336</v>
      </c>
      <c r="F83" s="23">
        <v>4</v>
      </c>
      <c r="G83" s="23">
        <v>7</v>
      </c>
      <c r="H83" s="23">
        <v>81683</v>
      </c>
      <c r="I83" s="23" t="s">
        <v>543</v>
      </c>
      <c r="J83" s="23">
        <v>15199789</v>
      </c>
      <c r="K83" s="23" t="s">
        <v>949</v>
      </c>
      <c r="L83" s="25" t="s">
        <v>953</v>
      </c>
      <c r="M83" s="24">
        <v>199900</v>
      </c>
      <c r="N83" s="62">
        <v>0.75</v>
      </c>
      <c r="O83" s="60">
        <f t="shared" si="2"/>
        <v>49975</v>
      </c>
      <c r="P83" s="55" t="s">
        <v>3499</v>
      </c>
    </row>
    <row r="84" spans="1:16" x14ac:dyDescent="0.25">
      <c r="A84" s="6" t="s">
        <v>3529</v>
      </c>
      <c r="B84" s="7">
        <v>46121</v>
      </c>
      <c r="C84" s="7">
        <v>46127</v>
      </c>
      <c r="D84" s="27">
        <v>3271</v>
      </c>
      <c r="E84" s="6">
        <v>336</v>
      </c>
      <c r="F84" s="6">
        <v>4</v>
      </c>
      <c r="G84" s="6">
        <v>4</v>
      </c>
      <c r="H84" s="6">
        <v>81683</v>
      </c>
      <c r="I84" s="27" t="s">
        <v>543</v>
      </c>
      <c r="J84" s="27">
        <v>79382424</v>
      </c>
      <c r="K84" s="15" t="s">
        <v>954</v>
      </c>
      <c r="L84" s="27" t="s">
        <v>955</v>
      </c>
      <c r="M84" s="19">
        <v>229900</v>
      </c>
      <c r="N84" s="62">
        <v>0.75</v>
      </c>
      <c r="O84" s="60">
        <f t="shared" si="2"/>
        <v>57475</v>
      </c>
      <c r="P84" s="55" t="s">
        <v>3499</v>
      </c>
    </row>
    <row r="85" spans="1:16" x14ac:dyDescent="0.25">
      <c r="A85" s="6" t="s">
        <v>3529</v>
      </c>
      <c r="B85" s="7">
        <v>46121</v>
      </c>
      <c r="C85" s="7">
        <v>46127</v>
      </c>
      <c r="D85" s="27">
        <v>3271</v>
      </c>
      <c r="E85" s="6">
        <v>336</v>
      </c>
      <c r="F85" s="6">
        <v>4</v>
      </c>
      <c r="G85" s="6">
        <v>4</v>
      </c>
      <c r="H85" s="6">
        <v>81683</v>
      </c>
      <c r="I85" s="27" t="s">
        <v>543</v>
      </c>
      <c r="J85" s="27">
        <v>79382433</v>
      </c>
      <c r="K85" s="15" t="s">
        <v>954</v>
      </c>
      <c r="L85" s="27" t="s">
        <v>956</v>
      </c>
      <c r="M85" s="19">
        <v>229900</v>
      </c>
      <c r="N85" s="62">
        <v>0.75</v>
      </c>
      <c r="O85" s="60">
        <f t="shared" si="2"/>
        <v>57475</v>
      </c>
      <c r="P85" s="55" t="s">
        <v>3499</v>
      </c>
    </row>
    <row r="86" spans="1:16" x14ac:dyDescent="0.25">
      <c r="A86" s="6" t="s">
        <v>3529</v>
      </c>
      <c r="B86" s="7">
        <v>46121</v>
      </c>
      <c r="C86" s="7">
        <v>46127</v>
      </c>
      <c r="D86" s="27">
        <v>3271</v>
      </c>
      <c r="E86" s="6">
        <v>336</v>
      </c>
      <c r="F86" s="6">
        <v>4</v>
      </c>
      <c r="G86" s="6">
        <v>4</v>
      </c>
      <c r="H86" s="6">
        <v>81683</v>
      </c>
      <c r="I86" s="27" t="s">
        <v>543</v>
      </c>
      <c r="J86" s="27">
        <v>79382442</v>
      </c>
      <c r="K86" s="15" t="s">
        <v>954</v>
      </c>
      <c r="L86" s="27" t="s">
        <v>957</v>
      </c>
      <c r="M86" s="19">
        <v>229900</v>
      </c>
      <c r="N86" s="62">
        <v>0.75</v>
      </c>
      <c r="O86" s="60">
        <f t="shared" si="2"/>
        <v>57475</v>
      </c>
      <c r="P86" s="55" t="s">
        <v>3499</v>
      </c>
    </row>
    <row r="87" spans="1:16" x14ac:dyDescent="0.25">
      <c r="A87" s="6" t="s">
        <v>3529</v>
      </c>
      <c r="B87" s="7">
        <v>46121</v>
      </c>
      <c r="C87" s="7">
        <v>46127</v>
      </c>
      <c r="D87" s="27">
        <v>3271</v>
      </c>
      <c r="E87" s="6">
        <v>336</v>
      </c>
      <c r="F87" s="6">
        <v>4</v>
      </c>
      <c r="G87" s="6">
        <v>4</v>
      </c>
      <c r="H87" s="6">
        <v>81683</v>
      </c>
      <c r="I87" s="27" t="s">
        <v>543</v>
      </c>
      <c r="J87" s="27">
        <v>79382451</v>
      </c>
      <c r="K87" s="15" t="s">
        <v>954</v>
      </c>
      <c r="L87" s="27" t="s">
        <v>958</v>
      </c>
      <c r="M87" s="19">
        <v>229900</v>
      </c>
      <c r="N87" s="62">
        <v>0.75</v>
      </c>
      <c r="O87" s="60">
        <f t="shared" si="2"/>
        <v>57475</v>
      </c>
      <c r="P87" s="55" t="s">
        <v>3499</v>
      </c>
    </row>
    <row r="88" spans="1:16" x14ac:dyDescent="0.25">
      <c r="A88" s="6" t="s">
        <v>3529</v>
      </c>
      <c r="B88" s="7">
        <v>46121</v>
      </c>
      <c r="C88" s="7">
        <v>46127</v>
      </c>
      <c r="D88" s="27">
        <v>3271</v>
      </c>
      <c r="E88" s="6">
        <v>336</v>
      </c>
      <c r="F88" s="6">
        <v>4</v>
      </c>
      <c r="G88" s="6">
        <v>4</v>
      </c>
      <c r="H88" s="6">
        <v>81683</v>
      </c>
      <c r="I88" s="27" t="s">
        <v>543</v>
      </c>
      <c r="J88" s="27">
        <v>79382460</v>
      </c>
      <c r="K88" s="15" t="s">
        <v>959</v>
      </c>
      <c r="L88" s="27" t="s">
        <v>960</v>
      </c>
      <c r="M88" s="19">
        <v>229900</v>
      </c>
      <c r="N88" s="62">
        <v>0.75</v>
      </c>
      <c r="O88" s="60">
        <f t="shared" si="2"/>
        <v>57475</v>
      </c>
      <c r="P88" s="55" t="s">
        <v>3499</v>
      </c>
    </row>
    <row r="89" spans="1:16" x14ac:dyDescent="0.25">
      <c r="A89" s="6" t="s">
        <v>3529</v>
      </c>
      <c r="B89" s="7">
        <v>46121</v>
      </c>
      <c r="C89" s="7">
        <v>46127</v>
      </c>
      <c r="D89" s="27">
        <v>3271</v>
      </c>
      <c r="E89" s="6">
        <v>336</v>
      </c>
      <c r="F89" s="6">
        <v>4</v>
      </c>
      <c r="G89" s="6">
        <v>4</v>
      </c>
      <c r="H89" s="6">
        <v>81683</v>
      </c>
      <c r="I89" s="27" t="s">
        <v>543</v>
      </c>
      <c r="J89" s="27">
        <v>79382479</v>
      </c>
      <c r="K89" s="15" t="s">
        <v>959</v>
      </c>
      <c r="L89" s="27" t="s">
        <v>961</v>
      </c>
      <c r="M89" s="19">
        <v>229900</v>
      </c>
      <c r="N89" s="62">
        <v>0.75</v>
      </c>
      <c r="O89" s="60">
        <f t="shared" si="2"/>
        <v>57475</v>
      </c>
      <c r="P89" s="55" t="s">
        <v>3499</v>
      </c>
    </row>
    <row r="90" spans="1:16" x14ac:dyDescent="0.25">
      <c r="A90" s="6" t="s">
        <v>3529</v>
      </c>
      <c r="B90" s="7">
        <v>46121</v>
      </c>
      <c r="C90" s="7">
        <v>46127</v>
      </c>
      <c r="D90" s="27">
        <v>3271</v>
      </c>
      <c r="E90" s="6">
        <v>336</v>
      </c>
      <c r="F90" s="6">
        <v>4</v>
      </c>
      <c r="G90" s="6">
        <v>4</v>
      </c>
      <c r="H90" s="6">
        <v>81683</v>
      </c>
      <c r="I90" s="27" t="s">
        <v>543</v>
      </c>
      <c r="J90" s="27">
        <v>79382488</v>
      </c>
      <c r="K90" s="15" t="s">
        <v>959</v>
      </c>
      <c r="L90" s="27" t="s">
        <v>962</v>
      </c>
      <c r="M90" s="19">
        <v>229900</v>
      </c>
      <c r="N90" s="62">
        <v>0.75</v>
      </c>
      <c r="O90" s="60">
        <f t="shared" si="2"/>
        <v>57475</v>
      </c>
      <c r="P90" s="55" t="s">
        <v>3499</v>
      </c>
    </row>
    <row r="91" spans="1:16" x14ac:dyDescent="0.25">
      <c r="A91" s="6" t="s">
        <v>3529</v>
      </c>
      <c r="B91" s="7">
        <v>46121</v>
      </c>
      <c r="C91" s="7">
        <v>46127</v>
      </c>
      <c r="D91" s="27">
        <v>3271</v>
      </c>
      <c r="E91" s="6">
        <v>336</v>
      </c>
      <c r="F91" s="6">
        <v>4</v>
      </c>
      <c r="G91" s="6">
        <v>4</v>
      </c>
      <c r="H91" s="6">
        <v>81683</v>
      </c>
      <c r="I91" s="27" t="s">
        <v>543</v>
      </c>
      <c r="J91" s="27">
        <v>79382497</v>
      </c>
      <c r="K91" s="15" t="s">
        <v>959</v>
      </c>
      <c r="L91" s="27" t="s">
        <v>963</v>
      </c>
      <c r="M91" s="19">
        <v>229900</v>
      </c>
      <c r="N91" s="62">
        <v>0.75</v>
      </c>
      <c r="O91" s="60">
        <f t="shared" si="2"/>
        <v>57475</v>
      </c>
      <c r="P91" s="55" t="s">
        <v>3499</v>
      </c>
    </row>
    <row r="92" spans="1:16" x14ac:dyDescent="0.25">
      <c r="A92" s="6" t="s">
        <v>3529</v>
      </c>
      <c r="B92" s="7">
        <v>46121</v>
      </c>
      <c r="C92" s="7">
        <v>46127</v>
      </c>
      <c r="D92" s="27">
        <v>3271</v>
      </c>
      <c r="E92" s="6">
        <v>336</v>
      </c>
      <c r="F92" s="6">
        <v>4</v>
      </c>
      <c r="G92" s="6">
        <v>4</v>
      </c>
      <c r="H92" s="15">
        <v>81683</v>
      </c>
      <c r="I92" s="27" t="s">
        <v>543</v>
      </c>
      <c r="J92" s="27">
        <v>14910715</v>
      </c>
      <c r="K92" s="15" t="s">
        <v>964</v>
      </c>
      <c r="L92" s="27" t="s">
        <v>965</v>
      </c>
      <c r="M92" s="19">
        <v>129900</v>
      </c>
      <c r="N92" s="62">
        <v>0.75</v>
      </c>
      <c r="O92" s="60">
        <f t="shared" si="2"/>
        <v>32475</v>
      </c>
      <c r="P92" s="55" t="s">
        <v>3499</v>
      </c>
    </row>
    <row r="93" spans="1:16" x14ac:dyDescent="0.25">
      <c r="A93" s="6" t="s">
        <v>3529</v>
      </c>
      <c r="B93" s="7">
        <v>46121</v>
      </c>
      <c r="C93" s="7">
        <v>46127</v>
      </c>
      <c r="D93" s="27">
        <v>3271</v>
      </c>
      <c r="E93" s="6">
        <v>336</v>
      </c>
      <c r="F93" s="6">
        <v>4</v>
      </c>
      <c r="G93" s="6">
        <v>4</v>
      </c>
      <c r="H93" s="15">
        <v>81683</v>
      </c>
      <c r="I93" s="27" t="s">
        <v>543</v>
      </c>
      <c r="J93" s="27">
        <v>14910724</v>
      </c>
      <c r="K93" s="15" t="s">
        <v>964</v>
      </c>
      <c r="L93" s="27" t="s">
        <v>966</v>
      </c>
      <c r="M93" s="19">
        <v>129900</v>
      </c>
      <c r="N93" s="62">
        <v>0.75</v>
      </c>
      <c r="O93" s="60">
        <f t="shared" si="2"/>
        <v>32475</v>
      </c>
      <c r="P93" s="55" t="s">
        <v>3499</v>
      </c>
    </row>
    <row r="94" spans="1:16" x14ac:dyDescent="0.25">
      <c r="A94" s="6" t="s">
        <v>3529</v>
      </c>
      <c r="B94" s="7">
        <v>46121</v>
      </c>
      <c r="C94" s="7">
        <v>46127</v>
      </c>
      <c r="D94" s="27">
        <v>3271</v>
      </c>
      <c r="E94" s="6">
        <v>336</v>
      </c>
      <c r="F94" s="6">
        <v>4</v>
      </c>
      <c r="G94" s="6">
        <v>4</v>
      </c>
      <c r="H94" s="15">
        <v>81683</v>
      </c>
      <c r="I94" s="27" t="s">
        <v>543</v>
      </c>
      <c r="J94" s="27">
        <v>14910733</v>
      </c>
      <c r="K94" s="15" t="s">
        <v>964</v>
      </c>
      <c r="L94" s="27" t="s">
        <v>967</v>
      </c>
      <c r="M94" s="19">
        <v>129900</v>
      </c>
      <c r="N94" s="62">
        <v>0.75</v>
      </c>
      <c r="O94" s="60">
        <f t="shared" si="2"/>
        <v>32475</v>
      </c>
      <c r="P94" s="55" t="s">
        <v>3499</v>
      </c>
    </row>
    <row r="95" spans="1:16" x14ac:dyDescent="0.25">
      <c r="A95" s="6" t="s">
        <v>3529</v>
      </c>
      <c r="B95" s="7">
        <v>46121</v>
      </c>
      <c r="C95" s="7">
        <v>46127</v>
      </c>
      <c r="D95" s="27">
        <v>3271</v>
      </c>
      <c r="E95" s="6">
        <v>336</v>
      </c>
      <c r="F95" s="6">
        <v>4</v>
      </c>
      <c r="G95" s="6">
        <v>4</v>
      </c>
      <c r="H95" s="15">
        <v>81683</v>
      </c>
      <c r="I95" s="27" t="s">
        <v>543</v>
      </c>
      <c r="J95" s="27">
        <v>14910742</v>
      </c>
      <c r="K95" s="15" t="s">
        <v>964</v>
      </c>
      <c r="L95" s="27" t="s">
        <v>968</v>
      </c>
      <c r="M95" s="19">
        <v>129900</v>
      </c>
      <c r="N95" s="62">
        <v>0.75</v>
      </c>
      <c r="O95" s="60">
        <f t="shared" si="2"/>
        <v>32475</v>
      </c>
      <c r="P95" s="55" t="s">
        <v>3499</v>
      </c>
    </row>
    <row r="96" spans="1:16" x14ac:dyDescent="0.25">
      <c r="A96" s="6" t="s">
        <v>3529</v>
      </c>
      <c r="B96" s="7">
        <v>46121</v>
      </c>
      <c r="C96" s="7">
        <v>46127</v>
      </c>
      <c r="D96" s="27">
        <v>3271</v>
      </c>
      <c r="E96" s="6">
        <v>336</v>
      </c>
      <c r="F96" s="6">
        <v>4</v>
      </c>
      <c r="G96" s="6">
        <v>4</v>
      </c>
      <c r="H96" s="15">
        <v>81683</v>
      </c>
      <c r="I96" s="27" t="s">
        <v>543</v>
      </c>
      <c r="J96" s="27">
        <v>14910751</v>
      </c>
      <c r="K96" s="15" t="s">
        <v>964</v>
      </c>
      <c r="L96" s="27" t="s">
        <v>969</v>
      </c>
      <c r="M96" s="19">
        <v>129900</v>
      </c>
      <c r="N96" s="62">
        <v>0.75</v>
      </c>
      <c r="O96" s="60">
        <f t="shared" si="2"/>
        <v>32475</v>
      </c>
      <c r="P96" s="55" t="s">
        <v>3499</v>
      </c>
    </row>
    <row r="97" spans="1:16" x14ac:dyDescent="0.25">
      <c r="A97" s="6" t="s">
        <v>3529</v>
      </c>
      <c r="B97" s="7">
        <v>46121</v>
      </c>
      <c r="C97" s="7">
        <v>46127</v>
      </c>
      <c r="D97" s="27">
        <v>3271</v>
      </c>
      <c r="E97" s="6">
        <v>336</v>
      </c>
      <c r="F97" s="6">
        <v>4</v>
      </c>
      <c r="G97" s="6">
        <v>4</v>
      </c>
      <c r="H97" s="15">
        <v>81683</v>
      </c>
      <c r="I97" s="27" t="s">
        <v>543</v>
      </c>
      <c r="J97" s="27">
        <v>14910760</v>
      </c>
      <c r="K97" s="15" t="s">
        <v>964</v>
      </c>
      <c r="L97" s="27" t="s">
        <v>970</v>
      </c>
      <c r="M97" s="19">
        <v>129900</v>
      </c>
      <c r="N97" s="62">
        <v>0.75</v>
      </c>
      <c r="O97" s="60">
        <f t="shared" si="2"/>
        <v>32475</v>
      </c>
      <c r="P97" s="55" t="s">
        <v>3499</v>
      </c>
    </row>
    <row r="98" spans="1:16" x14ac:dyDescent="0.25">
      <c r="A98" s="6" t="s">
        <v>3529</v>
      </c>
      <c r="B98" s="7">
        <v>46121</v>
      </c>
      <c r="C98" s="7">
        <v>46127</v>
      </c>
      <c r="D98" s="27">
        <v>3271</v>
      </c>
      <c r="E98" s="6">
        <v>336</v>
      </c>
      <c r="F98" s="6">
        <v>4</v>
      </c>
      <c r="G98" s="6">
        <v>4</v>
      </c>
      <c r="H98" s="15">
        <v>81683</v>
      </c>
      <c r="I98" s="27" t="s">
        <v>543</v>
      </c>
      <c r="J98" s="27">
        <v>14910779</v>
      </c>
      <c r="K98" s="15" t="s">
        <v>964</v>
      </c>
      <c r="L98" s="27" t="s">
        <v>971</v>
      </c>
      <c r="M98" s="19">
        <v>129900</v>
      </c>
      <c r="N98" s="62">
        <v>0.75</v>
      </c>
      <c r="O98" s="60">
        <f t="shared" si="2"/>
        <v>32475</v>
      </c>
      <c r="P98" s="55" t="s">
        <v>3499</v>
      </c>
    </row>
    <row r="99" spans="1:16" x14ac:dyDescent="0.25">
      <c r="A99" s="6" t="s">
        <v>3529</v>
      </c>
      <c r="B99" s="7">
        <v>46121</v>
      </c>
      <c r="C99" s="7">
        <v>46127</v>
      </c>
      <c r="D99" s="27">
        <v>3271</v>
      </c>
      <c r="E99" s="6">
        <v>336</v>
      </c>
      <c r="F99" s="6">
        <v>4</v>
      </c>
      <c r="G99" s="6">
        <v>4</v>
      </c>
      <c r="H99" s="15">
        <v>81683</v>
      </c>
      <c r="I99" s="27" t="s">
        <v>543</v>
      </c>
      <c r="J99" s="27">
        <v>14910788</v>
      </c>
      <c r="K99" s="15" t="s">
        <v>964</v>
      </c>
      <c r="L99" s="27" t="s">
        <v>972</v>
      </c>
      <c r="M99" s="19">
        <v>129900</v>
      </c>
      <c r="N99" s="62">
        <v>0.75</v>
      </c>
      <c r="O99" s="60">
        <f t="shared" si="2"/>
        <v>32475</v>
      </c>
      <c r="P99" s="55" t="s">
        <v>3499</v>
      </c>
    </row>
    <row r="100" spans="1:16" x14ac:dyDescent="0.25">
      <c r="A100" s="6" t="s">
        <v>3529</v>
      </c>
      <c r="B100" s="7">
        <v>46121</v>
      </c>
      <c r="C100" s="7">
        <v>46127</v>
      </c>
      <c r="D100" s="27">
        <v>3271</v>
      </c>
      <c r="E100" s="6">
        <v>336</v>
      </c>
      <c r="F100" s="15">
        <v>4</v>
      </c>
      <c r="G100" s="6">
        <v>4</v>
      </c>
      <c r="H100" s="15">
        <v>81684</v>
      </c>
      <c r="I100" s="27" t="s">
        <v>543</v>
      </c>
      <c r="J100" s="27">
        <v>17018630</v>
      </c>
      <c r="K100" s="15" t="s">
        <v>973</v>
      </c>
      <c r="L100" s="27" t="s">
        <v>974</v>
      </c>
      <c r="M100" s="19">
        <v>139900</v>
      </c>
      <c r="N100" s="62">
        <v>0.75</v>
      </c>
      <c r="O100" s="60">
        <f t="shared" si="2"/>
        <v>34975</v>
      </c>
      <c r="P100" s="55" t="s">
        <v>3499</v>
      </c>
    </row>
    <row r="101" spans="1:16" x14ac:dyDescent="0.25">
      <c r="A101" s="6" t="s">
        <v>3529</v>
      </c>
      <c r="B101" s="7">
        <v>46121</v>
      </c>
      <c r="C101" s="7">
        <v>46127</v>
      </c>
      <c r="D101" s="27">
        <v>3271</v>
      </c>
      <c r="E101" s="6">
        <v>336</v>
      </c>
      <c r="F101" s="15">
        <v>4</v>
      </c>
      <c r="G101" s="6">
        <v>4</v>
      </c>
      <c r="H101" s="15">
        <v>81684</v>
      </c>
      <c r="I101" s="27" t="s">
        <v>543</v>
      </c>
      <c r="J101" s="27">
        <v>17018649</v>
      </c>
      <c r="K101" s="15" t="s">
        <v>973</v>
      </c>
      <c r="L101" s="27" t="s">
        <v>975</v>
      </c>
      <c r="M101" s="19">
        <v>139900</v>
      </c>
      <c r="N101" s="62">
        <v>0.75</v>
      </c>
      <c r="O101" s="60">
        <f t="shared" si="2"/>
        <v>34975</v>
      </c>
      <c r="P101" s="55" t="s">
        <v>3499</v>
      </c>
    </row>
    <row r="102" spans="1:16" x14ac:dyDescent="0.25">
      <c r="A102" s="6" t="s">
        <v>3529</v>
      </c>
      <c r="B102" s="7">
        <v>46121</v>
      </c>
      <c r="C102" s="7">
        <v>46127</v>
      </c>
      <c r="D102" s="27">
        <v>3271</v>
      </c>
      <c r="E102" s="6">
        <v>336</v>
      </c>
      <c r="F102" s="15">
        <v>4</v>
      </c>
      <c r="G102" s="6">
        <v>4</v>
      </c>
      <c r="H102" s="15">
        <v>81684</v>
      </c>
      <c r="I102" s="27" t="s">
        <v>543</v>
      </c>
      <c r="J102" s="27">
        <v>17018658</v>
      </c>
      <c r="K102" s="15" t="s">
        <v>973</v>
      </c>
      <c r="L102" s="27" t="s">
        <v>976</v>
      </c>
      <c r="M102" s="19">
        <v>139900</v>
      </c>
      <c r="N102" s="62">
        <v>0.75</v>
      </c>
      <c r="O102" s="60">
        <f t="shared" si="2"/>
        <v>34975</v>
      </c>
      <c r="P102" s="55" t="s">
        <v>3499</v>
      </c>
    </row>
    <row r="103" spans="1:16" x14ac:dyDescent="0.25">
      <c r="A103" s="6" t="s">
        <v>3529</v>
      </c>
      <c r="B103" s="7">
        <v>46121</v>
      </c>
      <c r="C103" s="7">
        <v>46127</v>
      </c>
      <c r="D103" s="27">
        <v>3271</v>
      </c>
      <c r="E103" s="6">
        <v>336</v>
      </c>
      <c r="F103" s="15">
        <v>4</v>
      </c>
      <c r="G103" s="6">
        <v>4</v>
      </c>
      <c r="H103" s="15">
        <v>81684</v>
      </c>
      <c r="I103" s="27" t="s">
        <v>543</v>
      </c>
      <c r="J103" s="27">
        <v>17018667</v>
      </c>
      <c r="K103" s="15" t="s">
        <v>973</v>
      </c>
      <c r="L103" s="27" t="s">
        <v>977</v>
      </c>
      <c r="M103" s="19">
        <v>139900</v>
      </c>
      <c r="N103" s="62">
        <v>0.75</v>
      </c>
      <c r="O103" s="60">
        <f t="shared" si="2"/>
        <v>34975</v>
      </c>
      <c r="P103" s="55" t="s">
        <v>3499</v>
      </c>
    </row>
    <row r="104" spans="1:16" x14ac:dyDescent="0.25">
      <c r="A104" s="6" t="s">
        <v>3529</v>
      </c>
      <c r="B104" s="7">
        <v>46121</v>
      </c>
      <c r="C104" s="7">
        <v>46127</v>
      </c>
      <c r="D104" s="27">
        <v>3271</v>
      </c>
      <c r="E104" s="6">
        <v>336</v>
      </c>
      <c r="F104" s="15">
        <v>4</v>
      </c>
      <c r="G104" s="6">
        <v>4</v>
      </c>
      <c r="H104" s="15">
        <v>81684</v>
      </c>
      <c r="I104" s="27" t="s">
        <v>543</v>
      </c>
      <c r="J104" s="27">
        <v>17018676</v>
      </c>
      <c r="K104" s="15" t="s">
        <v>973</v>
      </c>
      <c r="L104" s="27" t="s">
        <v>978</v>
      </c>
      <c r="M104" s="19">
        <v>139900</v>
      </c>
      <c r="N104" s="62">
        <v>0.75</v>
      </c>
      <c r="O104" s="60">
        <f t="shared" si="2"/>
        <v>34975</v>
      </c>
      <c r="P104" s="55" t="s">
        <v>3499</v>
      </c>
    </row>
    <row r="105" spans="1:16" x14ac:dyDescent="0.25">
      <c r="A105" s="6" t="s">
        <v>3529</v>
      </c>
      <c r="B105" s="7">
        <v>46121</v>
      </c>
      <c r="C105" s="7">
        <v>46127</v>
      </c>
      <c r="D105" s="27">
        <v>3271</v>
      </c>
      <c r="E105" s="6">
        <v>336</v>
      </c>
      <c r="F105" s="15">
        <v>4</v>
      </c>
      <c r="G105" s="6">
        <v>4</v>
      </c>
      <c r="H105" s="15">
        <v>81684</v>
      </c>
      <c r="I105" s="27" t="s">
        <v>543</v>
      </c>
      <c r="J105" s="27">
        <v>17018685</v>
      </c>
      <c r="K105" s="15" t="s">
        <v>973</v>
      </c>
      <c r="L105" s="27" t="s">
        <v>979</v>
      </c>
      <c r="M105" s="19">
        <v>139900</v>
      </c>
      <c r="N105" s="62">
        <v>0.75</v>
      </c>
      <c r="O105" s="60">
        <f t="shared" si="2"/>
        <v>34975</v>
      </c>
      <c r="P105" s="55" t="s">
        <v>3499</v>
      </c>
    </row>
    <row r="106" spans="1:16" x14ac:dyDescent="0.25">
      <c r="A106" s="6" t="s">
        <v>3529</v>
      </c>
      <c r="B106" s="7">
        <v>46121</v>
      </c>
      <c r="C106" s="7">
        <v>46127</v>
      </c>
      <c r="D106" s="27">
        <v>3271</v>
      </c>
      <c r="E106" s="6">
        <v>336</v>
      </c>
      <c r="F106" s="15">
        <v>4</v>
      </c>
      <c r="G106" s="6">
        <v>4</v>
      </c>
      <c r="H106" s="15">
        <v>81684</v>
      </c>
      <c r="I106" s="27" t="s">
        <v>543</v>
      </c>
      <c r="J106" s="27">
        <v>17018694</v>
      </c>
      <c r="K106" s="15" t="s">
        <v>973</v>
      </c>
      <c r="L106" s="27" t="s">
        <v>980</v>
      </c>
      <c r="M106" s="19">
        <v>139900</v>
      </c>
      <c r="N106" s="62">
        <v>0.75</v>
      </c>
      <c r="O106" s="60">
        <f t="shared" si="2"/>
        <v>34975</v>
      </c>
      <c r="P106" s="55" t="s">
        <v>3499</v>
      </c>
    </row>
    <row r="107" spans="1:16" x14ac:dyDescent="0.25">
      <c r="A107" s="6" t="s">
        <v>3529</v>
      </c>
      <c r="B107" s="7">
        <v>46121</v>
      </c>
      <c r="C107" s="7">
        <v>46127</v>
      </c>
      <c r="D107" s="27">
        <v>3271</v>
      </c>
      <c r="E107" s="6">
        <v>336</v>
      </c>
      <c r="F107" s="15">
        <v>4</v>
      </c>
      <c r="G107" s="6">
        <v>4</v>
      </c>
      <c r="H107" s="15">
        <v>81684</v>
      </c>
      <c r="I107" s="27" t="s">
        <v>543</v>
      </c>
      <c r="J107" s="27">
        <v>17018701</v>
      </c>
      <c r="K107" s="15" t="s">
        <v>973</v>
      </c>
      <c r="L107" s="27" t="s">
        <v>981</v>
      </c>
      <c r="M107" s="19">
        <v>139900</v>
      </c>
      <c r="N107" s="62">
        <v>0.75</v>
      </c>
      <c r="O107" s="60">
        <f t="shared" si="2"/>
        <v>34975</v>
      </c>
      <c r="P107" s="55" t="s">
        <v>3499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9584-1678-4A49-9567-79B04E8B0EA1}">
  <sheetPr>
    <tabColor rgb="FF00B050"/>
  </sheetPr>
  <dimension ref="A1:P263"/>
  <sheetViews>
    <sheetView topLeftCell="A244" workbookViewId="0">
      <selection activeCell="N260" sqref="N260"/>
    </sheetView>
  </sheetViews>
  <sheetFormatPr defaultRowHeight="15" x14ac:dyDescent="0.25"/>
  <cols>
    <col min="1" max="1" width="30.8554687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140625" bestFit="1" customWidth="1"/>
    <col min="12" max="12" width="97.57031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3504</v>
      </c>
      <c r="B2" s="7">
        <v>46121</v>
      </c>
      <c r="C2" s="7">
        <v>46127</v>
      </c>
      <c r="D2" s="6">
        <v>3271</v>
      </c>
      <c r="E2" s="6">
        <v>336</v>
      </c>
      <c r="F2" s="6">
        <v>4</v>
      </c>
      <c r="G2" s="15">
        <v>6</v>
      </c>
      <c r="H2" s="15">
        <v>81684</v>
      </c>
      <c r="I2" s="6" t="s">
        <v>543</v>
      </c>
      <c r="J2" s="15">
        <v>14917227</v>
      </c>
      <c r="K2" s="15" t="s">
        <v>544</v>
      </c>
      <c r="L2" s="15" t="s">
        <v>545</v>
      </c>
      <c r="M2" s="20">
        <v>219900</v>
      </c>
      <c r="N2" s="64">
        <v>0.75</v>
      </c>
      <c r="O2" s="12">
        <f t="shared" ref="O2" si="0">M2-((75*M2)/100)</f>
        <v>54975</v>
      </c>
      <c r="P2" s="6" t="s">
        <v>3499</v>
      </c>
    </row>
    <row r="3" spans="1:16" x14ac:dyDescent="0.25">
      <c r="A3" s="6" t="s">
        <v>3504</v>
      </c>
      <c r="B3" s="7">
        <v>46121</v>
      </c>
      <c r="C3" s="7">
        <v>46127</v>
      </c>
      <c r="D3" s="6">
        <v>3271</v>
      </c>
      <c r="E3" s="6">
        <v>336</v>
      </c>
      <c r="F3" s="6">
        <v>4</v>
      </c>
      <c r="G3" s="15">
        <v>6</v>
      </c>
      <c r="H3" s="15">
        <v>81684</v>
      </c>
      <c r="I3" s="6" t="s">
        <v>543</v>
      </c>
      <c r="J3" s="15">
        <v>14917236</v>
      </c>
      <c r="K3" s="15" t="s">
        <v>544</v>
      </c>
      <c r="L3" s="15" t="s">
        <v>546</v>
      </c>
      <c r="M3" s="20">
        <v>219900</v>
      </c>
      <c r="N3" s="64">
        <v>0.75</v>
      </c>
      <c r="O3" s="12">
        <f t="shared" ref="O3:O66" si="1">M3-((75*M3)/100)</f>
        <v>54975</v>
      </c>
      <c r="P3" s="6" t="s">
        <v>3499</v>
      </c>
    </row>
    <row r="4" spans="1:16" x14ac:dyDescent="0.25">
      <c r="A4" s="6" t="s">
        <v>3504</v>
      </c>
      <c r="B4" s="7">
        <v>46121</v>
      </c>
      <c r="C4" s="7">
        <v>46127</v>
      </c>
      <c r="D4" s="6">
        <v>3271</v>
      </c>
      <c r="E4" s="6">
        <v>336</v>
      </c>
      <c r="F4" s="6">
        <v>4</v>
      </c>
      <c r="G4" s="15">
        <v>6</v>
      </c>
      <c r="H4" s="15">
        <v>81684</v>
      </c>
      <c r="I4" s="6" t="s">
        <v>543</v>
      </c>
      <c r="J4" s="15">
        <v>14917245</v>
      </c>
      <c r="K4" s="15" t="s">
        <v>547</v>
      </c>
      <c r="L4" s="15" t="s">
        <v>548</v>
      </c>
      <c r="M4" s="20">
        <v>219900</v>
      </c>
      <c r="N4" s="64">
        <v>0.75</v>
      </c>
      <c r="O4" s="12">
        <f t="shared" si="1"/>
        <v>54975</v>
      </c>
      <c r="P4" s="6" t="s">
        <v>3499</v>
      </c>
    </row>
    <row r="5" spans="1:16" x14ac:dyDescent="0.25">
      <c r="A5" s="6" t="s">
        <v>3504</v>
      </c>
      <c r="B5" s="7">
        <v>46121</v>
      </c>
      <c r="C5" s="7">
        <v>46127</v>
      </c>
      <c r="D5" s="6">
        <v>3271</v>
      </c>
      <c r="E5" s="6">
        <v>336</v>
      </c>
      <c r="F5" s="6">
        <v>4</v>
      </c>
      <c r="G5" s="15">
        <v>6</v>
      </c>
      <c r="H5" s="15">
        <v>81676</v>
      </c>
      <c r="I5" s="6" t="s">
        <v>543</v>
      </c>
      <c r="J5" s="15">
        <v>14917254</v>
      </c>
      <c r="K5" s="15" t="s">
        <v>547</v>
      </c>
      <c r="L5" s="15" t="s">
        <v>549</v>
      </c>
      <c r="M5" s="20">
        <v>219900</v>
      </c>
      <c r="N5" s="64">
        <v>0.75</v>
      </c>
      <c r="O5" s="12">
        <f t="shared" si="1"/>
        <v>54975</v>
      </c>
      <c r="P5" s="6" t="s">
        <v>3499</v>
      </c>
    </row>
    <row r="6" spans="1:16" x14ac:dyDescent="0.25">
      <c r="A6" s="6" t="s">
        <v>3504</v>
      </c>
      <c r="B6" s="7">
        <v>46121</v>
      </c>
      <c r="C6" s="7">
        <v>46127</v>
      </c>
      <c r="D6" s="6">
        <v>3271</v>
      </c>
      <c r="E6" s="6">
        <v>336</v>
      </c>
      <c r="F6" s="6">
        <v>4</v>
      </c>
      <c r="G6" s="15">
        <v>6</v>
      </c>
      <c r="H6" s="15">
        <v>81676</v>
      </c>
      <c r="I6" s="6" t="s">
        <v>543</v>
      </c>
      <c r="J6" s="15">
        <v>14917263</v>
      </c>
      <c r="K6" s="15" t="s">
        <v>547</v>
      </c>
      <c r="L6" s="15" t="s">
        <v>550</v>
      </c>
      <c r="M6" s="20">
        <v>219900</v>
      </c>
      <c r="N6" s="64">
        <v>0.75</v>
      </c>
      <c r="O6" s="12">
        <f t="shared" si="1"/>
        <v>54975</v>
      </c>
      <c r="P6" s="6" t="s">
        <v>3499</v>
      </c>
    </row>
    <row r="7" spans="1:16" x14ac:dyDescent="0.25">
      <c r="A7" s="6" t="s">
        <v>3504</v>
      </c>
      <c r="B7" s="7">
        <v>46121</v>
      </c>
      <c r="C7" s="7">
        <v>46127</v>
      </c>
      <c r="D7" s="6">
        <v>3271</v>
      </c>
      <c r="E7" s="6">
        <v>336</v>
      </c>
      <c r="F7" s="6">
        <v>4</v>
      </c>
      <c r="G7" s="15">
        <v>6</v>
      </c>
      <c r="H7" s="15">
        <v>81676</v>
      </c>
      <c r="I7" s="6" t="s">
        <v>543</v>
      </c>
      <c r="J7" s="15">
        <v>14917272</v>
      </c>
      <c r="K7" s="15" t="s">
        <v>547</v>
      </c>
      <c r="L7" s="15" t="s">
        <v>551</v>
      </c>
      <c r="M7" s="20">
        <v>219900</v>
      </c>
      <c r="N7" s="64">
        <v>0.75</v>
      </c>
      <c r="O7" s="12">
        <f t="shared" si="1"/>
        <v>54975</v>
      </c>
      <c r="P7" s="6" t="s">
        <v>3499</v>
      </c>
    </row>
    <row r="8" spans="1:16" x14ac:dyDescent="0.25">
      <c r="A8" s="6" t="s">
        <v>3504</v>
      </c>
      <c r="B8" s="7">
        <v>46121</v>
      </c>
      <c r="C8" s="7">
        <v>46127</v>
      </c>
      <c r="D8" s="6">
        <v>3271</v>
      </c>
      <c r="E8" s="6">
        <v>336</v>
      </c>
      <c r="F8" s="6">
        <v>4</v>
      </c>
      <c r="G8" s="15">
        <v>6</v>
      </c>
      <c r="H8" s="15">
        <v>81676</v>
      </c>
      <c r="I8" s="6" t="s">
        <v>543</v>
      </c>
      <c r="J8" s="15">
        <v>14917281</v>
      </c>
      <c r="K8" s="15" t="s">
        <v>552</v>
      </c>
      <c r="L8" s="15" t="s">
        <v>553</v>
      </c>
      <c r="M8" s="20">
        <v>219900</v>
      </c>
      <c r="N8" s="64">
        <v>0.75</v>
      </c>
      <c r="O8" s="12">
        <f t="shared" si="1"/>
        <v>54975</v>
      </c>
      <c r="P8" s="6" t="s">
        <v>3499</v>
      </c>
    </row>
    <row r="9" spans="1:16" x14ac:dyDescent="0.25">
      <c r="A9" s="6" t="s">
        <v>3504</v>
      </c>
      <c r="B9" s="7">
        <v>46121</v>
      </c>
      <c r="C9" s="7">
        <v>46127</v>
      </c>
      <c r="D9" s="6">
        <v>3271</v>
      </c>
      <c r="E9" s="6">
        <v>336</v>
      </c>
      <c r="F9" s="6">
        <v>4</v>
      </c>
      <c r="G9" s="15">
        <v>6</v>
      </c>
      <c r="H9" s="15">
        <v>81676</v>
      </c>
      <c r="I9" s="6" t="s">
        <v>543</v>
      </c>
      <c r="J9" s="15">
        <v>14917290</v>
      </c>
      <c r="K9" s="15" t="s">
        <v>552</v>
      </c>
      <c r="L9" s="15" t="s">
        <v>554</v>
      </c>
      <c r="M9" s="20">
        <v>219900</v>
      </c>
      <c r="N9" s="64">
        <v>0.75</v>
      </c>
      <c r="O9" s="12">
        <f t="shared" si="1"/>
        <v>54975</v>
      </c>
      <c r="P9" s="6" t="s">
        <v>3499</v>
      </c>
    </row>
    <row r="10" spans="1:16" x14ac:dyDescent="0.25">
      <c r="A10" s="6" t="s">
        <v>3504</v>
      </c>
      <c r="B10" s="7">
        <v>46121</v>
      </c>
      <c r="C10" s="7">
        <v>46127</v>
      </c>
      <c r="D10" s="6">
        <v>3271</v>
      </c>
      <c r="E10" s="6">
        <v>336</v>
      </c>
      <c r="F10" s="6">
        <v>4</v>
      </c>
      <c r="G10" s="15">
        <v>6</v>
      </c>
      <c r="H10" s="15">
        <v>81676</v>
      </c>
      <c r="I10" s="6" t="s">
        <v>543</v>
      </c>
      <c r="J10" s="15">
        <v>14917307</v>
      </c>
      <c r="K10" s="15" t="s">
        <v>552</v>
      </c>
      <c r="L10" s="15" t="s">
        <v>555</v>
      </c>
      <c r="M10" s="20">
        <v>219900</v>
      </c>
      <c r="N10" s="64">
        <v>0.75</v>
      </c>
      <c r="O10" s="12">
        <f t="shared" si="1"/>
        <v>54975</v>
      </c>
      <c r="P10" s="6" t="s">
        <v>3499</v>
      </c>
    </row>
    <row r="11" spans="1:16" x14ac:dyDescent="0.25">
      <c r="A11" s="6" t="s">
        <v>3504</v>
      </c>
      <c r="B11" s="7">
        <v>46121</v>
      </c>
      <c r="C11" s="7">
        <v>46127</v>
      </c>
      <c r="D11" s="6">
        <v>3271</v>
      </c>
      <c r="E11" s="6">
        <v>336</v>
      </c>
      <c r="F11" s="6">
        <v>4</v>
      </c>
      <c r="G11" s="15">
        <v>6</v>
      </c>
      <c r="H11" s="15">
        <v>81676</v>
      </c>
      <c r="I11" s="6" t="s">
        <v>543</v>
      </c>
      <c r="J11" s="15">
        <v>14917316</v>
      </c>
      <c r="K11" s="15" t="s">
        <v>552</v>
      </c>
      <c r="L11" s="15" t="s">
        <v>556</v>
      </c>
      <c r="M11" s="20">
        <v>219900</v>
      </c>
      <c r="N11" s="64">
        <v>0.75</v>
      </c>
      <c r="O11" s="12">
        <f t="shared" si="1"/>
        <v>54975</v>
      </c>
      <c r="P11" s="6" t="s">
        <v>3499</v>
      </c>
    </row>
    <row r="12" spans="1:16" x14ac:dyDescent="0.25">
      <c r="A12" s="6" t="s">
        <v>3504</v>
      </c>
      <c r="B12" s="7">
        <v>46121</v>
      </c>
      <c r="C12" s="7">
        <v>46127</v>
      </c>
      <c r="D12" s="6">
        <v>3271</v>
      </c>
      <c r="E12" s="6">
        <v>336</v>
      </c>
      <c r="F12" s="6">
        <v>4</v>
      </c>
      <c r="G12" s="15">
        <v>6</v>
      </c>
      <c r="H12" s="15">
        <v>81676</v>
      </c>
      <c r="I12" s="6" t="s">
        <v>543</v>
      </c>
      <c r="J12" s="15">
        <v>14917325</v>
      </c>
      <c r="K12" s="15" t="s">
        <v>557</v>
      </c>
      <c r="L12" s="15" t="s">
        <v>558</v>
      </c>
      <c r="M12" s="20">
        <v>219900</v>
      </c>
      <c r="N12" s="64">
        <v>0.75</v>
      </c>
      <c r="O12" s="12">
        <f t="shared" si="1"/>
        <v>54975</v>
      </c>
      <c r="P12" s="6" t="s">
        <v>3499</v>
      </c>
    </row>
    <row r="13" spans="1:16" x14ac:dyDescent="0.25">
      <c r="A13" s="6" t="s">
        <v>3504</v>
      </c>
      <c r="B13" s="7">
        <v>46121</v>
      </c>
      <c r="C13" s="7">
        <v>46127</v>
      </c>
      <c r="D13" s="6">
        <v>3271</v>
      </c>
      <c r="E13" s="6">
        <v>336</v>
      </c>
      <c r="F13" s="6">
        <v>4</v>
      </c>
      <c r="G13" s="15">
        <v>6</v>
      </c>
      <c r="H13" s="15">
        <v>4953</v>
      </c>
      <c r="I13" s="6" t="s">
        <v>543</v>
      </c>
      <c r="J13" s="15">
        <v>14917334</v>
      </c>
      <c r="K13" s="15" t="s">
        <v>557</v>
      </c>
      <c r="L13" s="15" t="s">
        <v>559</v>
      </c>
      <c r="M13" s="20">
        <v>219900</v>
      </c>
      <c r="N13" s="64">
        <v>0.75</v>
      </c>
      <c r="O13" s="12">
        <f t="shared" si="1"/>
        <v>54975</v>
      </c>
      <c r="P13" s="6" t="s">
        <v>3499</v>
      </c>
    </row>
    <row r="14" spans="1:16" x14ac:dyDescent="0.25">
      <c r="A14" s="6" t="s">
        <v>3504</v>
      </c>
      <c r="B14" s="7">
        <v>46121</v>
      </c>
      <c r="C14" s="7">
        <v>46127</v>
      </c>
      <c r="D14" s="6">
        <v>3271</v>
      </c>
      <c r="E14" s="6">
        <v>336</v>
      </c>
      <c r="F14" s="6">
        <v>4</v>
      </c>
      <c r="G14" s="15">
        <v>6</v>
      </c>
      <c r="H14" s="15">
        <v>4953</v>
      </c>
      <c r="I14" s="6" t="s">
        <v>543</v>
      </c>
      <c r="J14" s="15">
        <v>14917343</v>
      </c>
      <c r="K14" s="15" t="s">
        <v>557</v>
      </c>
      <c r="L14" s="15" t="s">
        <v>560</v>
      </c>
      <c r="M14" s="20">
        <v>219900</v>
      </c>
      <c r="N14" s="64">
        <v>0.75</v>
      </c>
      <c r="O14" s="12">
        <f t="shared" si="1"/>
        <v>54975</v>
      </c>
      <c r="P14" s="6" t="s">
        <v>3499</v>
      </c>
    </row>
    <row r="15" spans="1:16" x14ac:dyDescent="0.25">
      <c r="A15" s="6" t="s">
        <v>3504</v>
      </c>
      <c r="B15" s="7">
        <v>46121</v>
      </c>
      <c r="C15" s="7">
        <v>46127</v>
      </c>
      <c r="D15" s="6">
        <v>3271</v>
      </c>
      <c r="E15" s="6">
        <v>336</v>
      </c>
      <c r="F15" s="6">
        <v>4</v>
      </c>
      <c r="G15" s="15">
        <v>6</v>
      </c>
      <c r="H15" s="15">
        <v>4953</v>
      </c>
      <c r="I15" s="6" t="s">
        <v>543</v>
      </c>
      <c r="J15" s="15">
        <v>14917352</v>
      </c>
      <c r="K15" s="15" t="s">
        <v>557</v>
      </c>
      <c r="L15" s="15" t="s">
        <v>561</v>
      </c>
      <c r="M15" s="20">
        <v>219900</v>
      </c>
      <c r="N15" s="64">
        <v>0.75</v>
      </c>
      <c r="O15" s="12">
        <f t="shared" si="1"/>
        <v>54975</v>
      </c>
      <c r="P15" s="6" t="s">
        <v>3499</v>
      </c>
    </row>
    <row r="16" spans="1:16" x14ac:dyDescent="0.25">
      <c r="A16" s="6" t="s">
        <v>3504</v>
      </c>
      <c r="B16" s="7">
        <v>46121</v>
      </c>
      <c r="C16" s="7">
        <v>46127</v>
      </c>
      <c r="D16" s="6">
        <v>3271</v>
      </c>
      <c r="E16" s="6">
        <v>336</v>
      </c>
      <c r="F16" s="6">
        <v>4</v>
      </c>
      <c r="G16" s="15">
        <v>6</v>
      </c>
      <c r="H16" s="15">
        <v>4953</v>
      </c>
      <c r="I16" s="6" t="s">
        <v>543</v>
      </c>
      <c r="J16" s="15">
        <v>14918280</v>
      </c>
      <c r="K16" s="15" t="s">
        <v>562</v>
      </c>
      <c r="L16" s="15" t="s">
        <v>563</v>
      </c>
      <c r="M16" s="20">
        <v>219900</v>
      </c>
      <c r="N16" s="64">
        <v>0.75</v>
      </c>
      <c r="O16" s="12">
        <f t="shared" si="1"/>
        <v>54975</v>
      </c>
      <c r="P16" s="6" t="s">
        <v>3499</v>
      </c>
    </row>
    <row r="17" spans="1:16" x14ac:dyDescent="0.25">
      <c r="A17" s="6" t="s">
        <v>3504</v>
      </c>
      <c r="B17" s="7">
        <v>46121</v>
      </c>
      <c r="C17" s="7">
        <v>46127</v>
      </c>
      <c r="D17" s="6">
        <v>3271</v>
      </c>
      <c r="E17" s="6">
        <v>336</v>
      </c>
      <c r="F17" s="6">
        <v>4</v>
      </c>
      <c r="G17" s="15">
        <v>6</v>
      </c>
      <c r="H17" s="15">
        <v>4953</v>
      </c>
      <c r="I17" s="6" t="s">
        <v>543</v>
      </c>
      <c r="J17" s="15">
        <v>14918324</v>
      </c>
      <c r="K17" s="15" t="s">
        <v>562</v>
      </c>
      <c r="L17" s="15" t="s">
        <v>564</v>
      </c>
      <c r="M17" s="20">
        <v>219900</v>
      </c>
      <c r="N17" s="64">
        <v>0.75</v>
      </c>
      <c r="O17" s="12">
        <f t="shared" si="1"/>
        <v>54975</v>
      </c>
      <c r="P17" s="6" t="s">
        <v>3499</v>
      </c>
    </row>
    <row r="18" spans="1:16" x14ac:dyDescent="0.25">
      <c r="A18" s="6" t="s">
        <v>3504</v>
      </c>
      <c r="B18" s="7">
        <v>46121</v>
      </c>
      <c r="C18" s="7">
        <v>46127</v>
      </c>
      <c r="D18" s="6">
        <v>3271</v>
      </c>
      <c r="E18" s="6">
        <v>336</v>
      </c>
      <c r="F18" s="6">
        <v>4</v>
      </c>
      <c r="G18" s="15">
        <v>6</v>
      </c>
      <c r="H18" s="15">
        <v>4953</v>
      </c>
      <c r="I18" s="6" t="s">
        <v>543</v>
      </c>
      <c r="J18" s="15">
        <v>14918360</v>
      </c>
      <c r="K18" s="15" t="s">
        <v>562</v>
      </c>
      <c r="L18" s="15" t="s">
        <v>565</v>
      </c>
      <c r="M18" s="20">
        <v>219900</v>
      </c>
      <c r="N18" s="64">
        <v>0.75</v>
      </c>
      <c r="O18" s="12">
        <f t="shared" si="1"/>
        <v>54975</v>
      </c>
      <c r="P18" s="6" t="s">
        <v>3499</v>
      </c>
    </row>
    <row r="19" spans="1:16" x14ac:dyDescent="0.25">
      <c r="A19" s="6" t="s">
        <v>3504</v>
      </c>
      <c r="B19" s="7">
        <v>46121</v>
      </c>
      <c r="C19" s="7">
        <v>46127</v>
      </c>
      <c r="D19" s="6">
        <v>3271</v>
      </c>
      <c r="E19" s="6">
        <v>336</v>
      </c>
      <c r="F19" s="6">
        <v>4</v>
      </c>
      <c r="G19" s="15">
        <v>6</v>
      </c>
      <c r="H19" s="15">
        <v>4953</v>
      </c>
      <c r="I19" s="6" t="s">
        <v>543</v>
      </c>
      <c r="J19" s="15">
        <v>14918404</v>
      </c>
      <c r="K19" s="15" t="s">
        <v>562</v>
      </c>
      <c r="L19" s="15" t="s">
        <v>566</v>
      </c>
      <c r="M19" s="20">
        <v>219900</v>
      </c>
      <c r="N19" s="64">
        <v>0.75</v>
      </c>
      <c r="O19" s="12">
        <f t="shared" si="1"/>
        <v>54975</v>
      </c>
      <c r="P19" s="6" t="s">
        <v>3499</v>
      </c>
    </row>
    <row r="20" spans="1:16" x14ac:dyDescent="0.25">
      <c r="A20" s="6" t="s">
        <v>3504</v>
      </c>
      <c r="B20" s="7">
        <v>46121</v>
      </c>
      <c r="C20" s="7">
        <v>46127</v>
      </c>
      <c r="D20" s="6">
        <v>3271</v>
      </c>
      <c r="E20" s="6">
        <v>336</v>
      </c>
      <c r="F20" s="6">
        <v>4</v>
      </c>
      <c r="G20" s="15">
        <v>6</v>
      </c>
      <c r="H20" s="15">
        <v>4953</v>
      </c>
      <c r="I20" s="6" t="s">
        <v>543</v>
      </c>
      <c r="J20" s="15">
        <v>15092652</v>
      </c>
      <c r="K20" s="15" t="s">
        <v>552</v>
      </c>
      <c r="L20" s="15" t="s">
        <v>567</v>
      </c>
      <c r="M20" s="20">
        <v>219900</v>
      </c>
      <c r="N20" s="64">
        <v>0.75</v>
      </c>
      <c r="O20" s="12">
        <f t="shared" si="1"/>
        <v>54975</v>
      </c>
      <c r="P20" s="6" t="s">
        <v>3499</v>
      </c>
    </row>
    <row r="21" spans="1:16" x14ac:dyDescent="0.25">
      <c r="A21" s="6" t="s">
        <v>3504</v>
      </c>
      <c r="B21" s="7">
        <v>46121</v>
      </c>
      <c r="C21" s="7">
        <v>46127</v>
      </c>
      <c r="D21" s="6">
        <v>3271</v>
      </c>
      <c r="E21" s="6">
        <v>336</v>
      </c>
      <c r="F21" s="6">
        <v>4</v>
      </c>
      <c r="G21" s="15">
        <v>6</v>
      </c>
      <c r="H21" s="15">
        <v>4953</v>
      </c>
      <c r="I21" s="6" t="s">
        <v>543</v>
      </c>
      <c r="J21" s="15">
        <v>15092661</v>
      </c>
      <c r="K21" s="15" t="s">
        <v>552</v>
      </c>
      <c r="L21" s="15" t="s">
        <v>568</v>
      </c>
      <c r="M21" s="20">
        <v>219900</v>
      </c>
      <c r="N21" s="64">
        <v>0.75</v>
      </c>
      <c r="O21" s="12">
        <f t="shared" si="1"/>
        <v>54975</v>
      </c>
      <c r="P21" s="6" t="s">
        <v>3499</v>
      </c>
    </row>
    <row r="22" spans="1:16" x14ac:dyDescent="0.25">
      <c r="A22" s="6" t="s">
        <v>3504</v>
      </c>
      <c r="B22" s="7">
        <v>46121</v>
      </c>
      <c r="C22" s="7">
        <v>46127</v>
      </c>
      <c r="D22" s="6">
        <v>3271</v>
      </c>
      <c r="E22" s="6">
        <v>336</v>
      </c>
      <c r="F22" s="6">
        <v>4</v>
      </c>
      <c r="G22" s="15">
        <v>6</v>
      </c>
      <c r="H22" s="15">
        <v>4953</v>
      </c>
      <c r="I22" s="6" t="s">
        <v>543</v>
      </c>
      <c r="J22" s="15">
        <v>15092750</v>
      </c>
      <c r="K22" s="15" t="s">
        <v>552</v>
      </c>
      <c r="L22" s="15" t="s">
        <v>569</v>
      </c>
      <c r="M22" s="20">
        <v>219900</v>
      </c>
      <c r="N22" s="64">
        <v>0.75</v>
      </c>
      <c r="O22" s="12">
        <f t="shared" si="1"/>
        <v>54975</v>
      </c>
      <c r="P22" s="6" t="s">
        <v>3499</v>
      </c>
    </row>
    <row r="23" spans="1:16" x14ac:dyDescent="0.25">
      <c r="A23" s="6" t="s">
        <v>3504</v>
      </c>
      <c r="B23" s="7">
        <v>46121</v>
      </c>
      <c r="C23" s="7">
        <v>46127</v>
      </c>
      <c r="D23" s="6">
        <v>3271</v>
      </c>
      <c r="E23" s="6">
        <v>336</v>
      </c>
      <c r="F23" s="6">
        <v>4</v>
      </c>
      <c r="G23" s="15">
        <v>6</v>
      </c>
      <c r="H23" s="15">
        <v>4953</v>
      </c>
      <c r="I23" s="6" t="s">
        <v>543</v>
      </c>
      <c r="J23" s="15">
        <v>15092769</v>
      </c>
      <c r="K23" s="15" t="s">
        <v>552</v>
      </c>
      <c r="L23" s="15" t="s">
        <v>570</v>
      </c>
      <c r="M23" s="20">
        <v>219900</v>
      </c>
      <c r="N23" s="64">
        <v>0.75</v>
      </c>
      <c r="O23" s="12">
        <f t="shared" si="1"/>
        <v>54975</v>
      </c>
      <c r="P23" s="6" t="s">
        <v>3499</v>
      </c>
    </row>
    <row r="24" spans="1:16" x14ac:dyDescent="0.25">
      <c r="A24" s="6" t="s">
        <v>3504</v>
      </c>
      <c r="B24" s="7">
        <v>46121</v>
      </c>
      <c r="C24" s="7">
        <v>46127</v>
      </c>
      <c r="D24" s="6">
        <v>3271</v>
      </c>
      <c r="E24" s="6">
        <v>336</v>
      </c>
      <c r="F24" s="6">
        <v>4</v>
      </c>
      <c r="G24" s="15">
        <v>6</v>
      </c>
      <c r="H24" s="15">
        <v>81543</v>
      </c>
      <c r="I24" s="6" t="s">
        <v>543</v>
      </c>
      <c r="J24" s="15">
        <v>14917487</v>
      </c>
      <c r="K24" s="15" t="s">
        <v>571</v>
      </c>
      <c r="L24" s="15" t="s">
        <v>572</v>
      </c>
      <c r="M24" s="20">
        <v>219900</v>
      </c>
      <c r="N24" s="64">
        <v>0.75</v>
      </c>
      <c r="O24" s="12">
        <f t="shared" si="1"/>
        <v>54975</v>
      </c>
      <c r="P24" s="6" t="s">
        <v>3499</v>
      </c>
    </row>
    <row r="25" spans="1:16" x14ac:dyDescent="0.25">
      <c r="A25" s="6" t="s">
        <v>3504</v>
      </c>
      <c r="B25" s="7">
        <v>46121</v>
      </c>
      <c r="C25" s="7">
        <v>46127</v>
      </c>
      <c r="D25" s="6">
        <v>3271</v>
      </c>
      <c r="E25" s="6">
        <v>336</v>
      </c>
      <c r="F25" s="6">
        <v>4</v>
      </c>
      <c r="G25" s="15">
        <v>6</v>
      </c>
      <c r="H25" s="15">
        <v>81543</v>
      </c>
      <c r="I25" s="6" t="s">
        <v>543</v>
      </c>
      <c r="J25" s="15">
        <v>14917496</v>
      </c>
      <c r="K25" s="15" t="s">
        <v>571</v>
      </c>
      <c r="L25" s="15" t="s">
        <v>573</v>
      </c>
      <c r="M25" s="20">
        <v>219900</v>
      </c>
      <c r="N25" s="64">
        <v>0.75</v>
      </c>
      <c r="O25" s="12">
        <f t="shared" si="1"/>
        <v>54975</v>
      </c>
      <c r="P25" s="6" t="s">
        <v>3499</v>
      </c>
    </row>
    <row r="26" spans="1:16" x14ac:dyDescent="0.25">
      <c r="A26" s="6" t="s">
        <v>3504</v>
      </c>
      <c r="B26" s="7">
        <v>46121</v>
      </c>
      <c r="C26" s="7">
        <v>46127</v>
      </c>
      <c r="D26" s="6">
        <v>3271</v>
      </c>
      <c r="E26" s="6">
        <v>336</v>
      </c>
      <c r="F26" s="6">
        <v>4</v>
      </c>
      <c r="G26" s="15">
        <v>6</v>
      </c>
      <c r="H26" s="15">
        <v>81543</v>
      </c>
      <c r="I26" s="6" t="s">
        <v>543</v>
      </c>
      <c r="J26" s="15">
        <v>14917503</v>
      </c>
      <c r="K26" s="15" t="s">
        <v>571</v>
      </c>
      <c r="L26" s="15" t="s">
        <v>574</v>
      </c>
      <c r="M26" s="20">
        <v>219900</v>
      </c>
      <c r="N26" s="64">
        <v>0.75</v>
      </c>
      <c r="O26" s="12">
        <f t="shared" si="1"/>
        <v>54975</v>
      </c>
      <c r="P26" s="6" t="s">
        <v>3499</v>
      </c>
    </row>
    <row r="27" spans="1:16" x14ac:dyDescent="0.25">
      <c r="A27" s="6" t="s">
        <v>3504</v>
      </c>
      <c r="B27" s="7">
        <v>46121</v>
      </c>
      <c r="C27" s="7">
        <v>46127</v>
      </c>
      <c r="D27" s="6">
        <v>3271</v>
      </c>
      <c r="E27" s="6">
        <v>336</v>
      </c>
      <c r="F27" s="6">
        <v>4</v>
      </c>
      <c r="G27" s="15">
        <v>6</v>
      </c>
      <c r="H27" s="15">
        <v>81684</v>
      </c>
      <c r="I27" s="6" t="s">
        <v>543</v>
      </c>
      <c r="J27" s="15">
        <v>14917512</v>
      </c>
      <c r="K27" s="15" t="s">
        <v>571</v>
      </c>
      <c r="L27" s="15" t="s">
        <v>575</v>
      </c>
      <c r="M27" s="20">
        <v>219900</v>
      </c>
      <c r="N27" s="64">
        <v>0.75</v>
      </c>
      <c r="O27" s="12">
        <f t="shared" si="1"/>
        <v>54975</v>
      </c>
      <c r="P27" s="6" t="s">
        <v>3499</v>
      </c>
    </row>
    <row r="28" spans="1:16" x14ac:dyDescent="0.25">
      <c r="A28" s="6" t="s">
        <v>3504</v>
      </c>
      <c r="B28" s="7">
        <v>46121</v>
      </c>
      <c r="C28" s="7">
        <v>46127</v>
      </c>
      <c r="D28" s="6">
        <v>3271</v>
      </c>
      <c r="E28" s="6">
        <v>336</v>
      </c>
      <c r="F28" s="6">
        <v>4</v>
      </c>
      <c r="G28" s="15">
        <v>6</v>
      </c>
      <c r="H28" s="15">
        <v>81684</v>
      </c>
      <c r="I28" s="6" t="s">
        <v>543</v>
      </c>
      <c r="J28" s="15">
        <v>14917601</v>
      </c>
      <c r="K28" s="15" t="s">
        <v>576</v>
      </c>
      <c r="L28" s="15" t="s">
        <v>577</v>
      </c>
      <c r="M28" s="20">
        <v>219900</v>
      </c>
      <c r="N28" s="64">
        <v>0.75</v>
      </c>
      <c r="O28" s="12">
        <f t="shared" si="1"/>
        <v>54975</v>
      </c>
      <c r="P28" s="6" t="s">
        <v>3499</v>
      </c>
    </row>
    <row r="29" spans="1:16" x14ac:dyDescent="0.25">
      <c r="A29" s="6" t="s">
        <v>3504</v>
      </c>
      <c r="B29" s="7">
        <v>46121</v>
      </c>
      <c r="C29" s="7">
        <v>46127</v>
      </c>
      <c r="D29" s="6">
        <v>3271</v>
      </c>
      <c r="E29" s="6">
        <v>336</v>
      </c>
      <c r="F29" s="6">
        <v>4</v>
      </c>
      <c r="G29" s="15">
        <v>6</v>
      </c>
      <c r="H29" s="15">
        <v>81684</v>
      </c>
      <c r="I29" s="6" t="s">
        <v>543</v>
      </c>
      <c r="J29" s="15">
        <v>14917610</v>
      </c>
      <c r="K29" s="15" t="s">
        <v>576</v>
      </c>
      <c r="L29" s="15" t="s">
        <v>578</v>
      </c>
      <c r="M29" s="20">
        <v>219900</v>
      </c>
      <c r="N29" s="64">
        <v>0.75</v>
      </c>
      <c r="O29" s="12">
        <f t="shared" si="1"/>
        <v>54975</v>
      </c>
      <c r="P29" s="6" t="s">
        <v>3499</v>
      </c>
    </row>
    <row r="30" spans="1:16" x14ac:dyDescent="0.25">
      <c r="A30" s="6" t="s">
        <v>3504</v>
      </c>
      <c r="B30" s="7">
        <v>46121</v>
      </c>
      <c r="C30" s="7">
        <v>46127</v>
      </c>
      <c r="D30" s="6">
        <v>3271</v>
      </c>
      <c r="E30" s="6">
        <v>336</v>
      </c>
      <c r="F30" s="6">
        <v>4</v>
      </c>
      <c r="G30" s="15">
        <v>6</v>
      </c>
      <c r="H30" s="15">
        <v>81684</v>
      </c>
      <c r="I30" s="6" t="s">
        <v>543</v>
      </c>
      <c r="J30" s="15">
        <v>14917629</v>
      </c>
      <c r="K30" s="15" t="s">
        <v>576</v>
      </c>
      <c r="L30" s="15" t="s">
        <v>579</v>
      </c>
      <c r="M30" s="20">
        <v>219900</v>
      </c>
      <c r="N30" s="64">
        <v>0.75</v>
      </c>
      <c r="O30" s="12">
        <f t="shared" si="1"/>
        <v>54975</v>
      </c>
      <c r="P30" s="6" t="s">
        <v>3499</v>
      </c>
    </row>
    <row r="31" spans="1:16" x14ac:dyDescent="0.25">
      <c r="A31" s="6" t="s">
        <v>3504</v>
      </c>
      <c r="B31" s="7">
        <v>46121</v>
      </c>
      <c r="C31" s="7">
        <v>46127</v>
      </c>
      <c r="D31" s="6">
        <v>3271</v>
      </c>
      <c r="E31" s="6">
        <v>336</v>
      </c>
      <c r="F31" s="6">
        <v>4</v>
      </c>
      <c r="G31" s="15">
        <v>6</v>
      </c>
      <c r="H31" s="15">
        <v>4953</v>
      </c>
      <c r="I31" s="6" t="s">
        <v>543</v>
      </c>
      <c r="J31" s="15">
        <v>14917638</v>
      </c>
      <c r="K31" s="15" t="s">
        <v>576</v>
      </c>
      <c r="L31" s="15" t="s">
        <v>580</v>
      </c>
      <c r="M31" s="20">
        <v>219900</v>
      </c>
      <c r="N31" s="64">
        <v>0.75</v>
      </c>
      <c r="O31" s="12">
        <f t="shared" si="1"/>
        <v>54975</v>
      </c>
      <c r="P31" s="6" t="s">
        <v>3499</v>
      </c>
    </row>
    <row r="32" spans="1:16" x14ac:dyDescent="0.25">
      <c r="A32" s="6" t="s">
        <v>3504</v>
      </c>
      <c r="B32" s="7">
        <v>46121</v>
      </c>
      <c r="C32" s="7">
        <v>46127</v>
      </c>
      <c r="D32" s="6">
        <v>3271</v>
      </c>
      <c r="E32" s="6">
        <v>336</v>
      </c>
      <c r="F32" s="6">
        <v>4</v>
      </c>
      <c r="G32" s="15">
        <v>6</v>
      </c>
      <c r="H32" s="15">
        <v>4953</v>
      </c>
      <c r="I32" s="6" t="s">
        <v>543</v>
      </c>
      <c r="J32" s="15">
        <v>14917647</v>
      </c>
      <c r="K32" s="15" t="s">
        <v>576</v>
      </c>
      <c r="L32" s="15" t="s">
        <v>581</v>
      </c>
      <c r="M32" s="20">
        <v>219900</v>
      </c>
      <c r="N32" s="64">
        <v>0.75</v>
      </c>
      <c r="O32" s="12">
        <f t="shared" si="1"/>
        <v>54975</v>
      </c>
      <c r="P32" s="6" t="s">
        <v>3499</v>
      </c>
    </row>
    <row r="33" spans="1:16" x14ac:dyDescent="0.25">
      <c r="A33" s="6" t="s">
        <v>3504</v>
      </c>
      <c r="B33" s="7">
        <v>46121</v>
      </c>
      <c r="C33" s="7">
        <v>46127</v>
      </c>
      <c r="D33" s="6">
        <v>3271</v>
      </c>
      <c r="E33" s="6">
        <v>336</v>
      </c>
      <c r="F33" s="6">
        <v>4</v>
      </c>
      <c r="G33" s="15">
        <v>6</v>
      </c>
      <c r="H33" s="15">
        <v>4953</v>
      </c>
      <c r="I33" s="6" t="s">
        <v>543</v>
      </c>
      <c r="J33" s="15">
        <v>14917656</v>
      </c>
      <c r="K33" s="15" t="s">
        <v>576</v>
      </c>
      <c r="L33" s="15" t="s">
        <v>582</v>
      </c>
      <c r="M33" s="20">
        <v>219900</v>
      </c>
      <c r="N33" s="64">
        <v>0.75</v>
      </c>
      <c r="O33" s="12">
        <f t="shared" si="1"/>
        <v>54975</v>
      </c>
      <c r="P33" s="6" t="s">
        <v>3499</v>
      </c>
    </row>
    <row r="34" spans="1:16" x14ac:dyDescent="0.25">
      <c r="A34" s="6" t="s">
        <v>3504</v>
      </c>
      <c r="B34" s="7">
        <v>46121</v>
      </c>
      <c r="C34" s="7">
        <v>46127</v>
      </c>
      <c r="D34" s="6">
        <v>3271</v>
      </c>
      <c r="E34" s="6">
        <v>336</v>
      </c>
      <c r="F34" s="6">
        <v>4</v>
      </c>
      <c r="G34" s="15">
        <v>6</v>
      </c>
      <c r="H34" s="15">
        <v>4953</v>
      </c>
      <c r="I34" s="6" t="s">
        <v>543</v>
      </c>
      <c r="J34" s="15">
        <v>14917665</v>
      </c>
      <c r="K34" s="15" t="s">
        <v>576</v>
      </c>
      <c r="L34" s="15" t="s">
        <v>583</v>
      </c>
      <c r="M34" s="20">
        <v>219900</v>
      </c>
      <c r="N34" s="64">
        <v>0.75</v>
      </c>
      <c r="O34" s="12">
        <f t="shared" si="1"/>
        <v>54975</v>
      </c>
      <c r="P34" s="6" t="s">
        <v>3499</v>
      </c>
    </row>
    <row r="35" spans="1:16" x14ac:dyDescent="0.25">
      <c r="A35" s="6" t="s">
        <v>3504</v>
      </c>
      <c r="B35" s="7">
        <v>46121</v>
      </c>
      <c r="C35" s="7">
        <v>46127</v>
      </c>
      <c r="D35" s="6">
        <v>3271</v>
      </c>
      <c r="E35" s="6">
        <v>336</v>
      </c>
      <c r="F35" s="6">
        <v>4</v>
      </c>
      <c r="G35" s="15">
        <v>6</v>
      </c>
      <c r="H35" s="15">
        <v>4953</v>
      </c>
      <c r="I35" s="6" t="s">
        <v>543</v>
      </c>
      <c r="J35" s="15">
        <v>14917674</v>
      </c>
      <c r="K35" s="15" t="s">
        <v>576</v>
      </c>
      <c r="L35" s="15" t="s">
        <v>584</v>
      </c>
      <c r="M35" s="20">
        <v>219900</v>
      </c>
      <c r="N35" s="64">
        <v>0.75</v>
      </c>
      <c r="O35" s="12">
        <f t="shared" si="1"/>
        <v>54975</v>
      </c>
      <c r="P35" s="6" t="s">
        <v>3499</v>
      </c>
    </row>
    <row r="36" spans="1:16" x14ac:dyDescent="0.25">
      <c r="A36" s="6" t="s">
        <v>3504</v>
      </c>
      <c r="B36" s="7">
        <v>46121</v>
      </c>
      <c r="C36" s="7">
        <v>46127</v>
      </c>
      <c r="D36" s="6">
        <v>3271</v>
      </c>
      <c r="E36" s="6">
        <v>336</v>
      </c>
      <c r="F36" s="6">
        <v>4</v>
      </c>
      <c r="G36" s="15">
        <v>6</v>
      </c>
      <c r="H36" s="15">
        <v>4953</v>
      </c>
      <c r="I36" s="6" t="s">
        <v>543</v>
      </c>
      <c r="J36" s="15">
        <v>14917683</v>
      </c>
      <c r="K36" s="15" t="s">
        <v>576</v>
      </c>
      <c r="L36" s="15" t="s">
        <v>585</v>
      </c>
      <c r="M36" s="20">
        <v>219900</v>
      </c>
      <c r="N36" s="64">
        <v>0.75</v>
      </c>
      <c r="O36" s="12">
        <f t="shared" si="1"/>
        <v>54975</v>
      </c>
      <c r="P36" s="6" t="s">
        <v>3499</v>
      </c>
    </row>
    <row r="37" spans="1:16" x14ac:dyDescent="0.25">
      <c r="A37" s="6" t="s">
        <v>3504</v>
      </c>
      <c r="B37" s="7">
        <v>46121</v>
      </c>
      <c r="C37" s="7">
        <v>46127</v>
      </c>
      <c r="D37" s="6">
        <v>3271</v>
      </c>
      <c r="E37" s="6">
        <v>336</v>
      </c>
      <c r="F37" s="6">
        <v>4</v>
      </c>
      <c r="G37" s="15">
        <v>6</v>
      </c>
      <c r="H37" s="15">
        <v>4953</v>
      </c>
      <c r="I37" s="6" t="s">
        <v>543</v>
      </c>
      <c r="J37" s="15">
        <v>14917692</v>
      </c>
      <c r="K37" s="15" t="s">
        <v>576</v>
      </c>
      <c r="L37" s="15" t="s">
        <v>586</v>
      </c>
      <c r="M37" s="20">
        <v>219900</v>
      </c>
      <c r="N37" s="64">
        <v>0.75</v>
      </c>
      <c r="O37" s="12">
        <f t="shared" si="1"/>
        <v>54975</v>
      </c>
      <c r="P37" s="6" t="s">
        <v>3499</v>
      </c>
    </row>
    <row r="38" spans="1:16" x14ac:dyDescent="0.25">
      <c r="A38" s="6" t="s">
        <v>3504</v>
      </c>
      <c r="B38" s="7">
        <v>46121</v>
      </c>
      <c r="C38" s="7">
        <v>46127</v>
      </c>
      <c r="D38" s="6">
        <v>3271</v>
      </c>
      <c r="E38" s="6">
        <v>336</v>
      </c>
      <c r="F38" s="6">
        <v>4</v>
      </c>
      <c r="G38" s="15">
        <v>6</v>
      </c>
      <c r="H38" s="15">
        <v>4953</v>
      </c>
      <c r="I38" s="6" t="s">
        <v>543</v>
      </c>
      <c r="J38" s="15">
        <v>14917709</v>
      </c>
      <c r="K38" s="15" t="s">
        <v>576</v>
      </c>
      <c r="L38" s="15" t="s">
        <v>587</v>
      </c>
      <c r="M38" s="20">
        <v>219900</v>
      </c>
      <c r="N38" s="64">
        <v>0.75</v>
      </c>
      <c r="O38" s="12">
        <f t="shared" si="1"/>
        <v>54975</v>
      </c>
      <c r="P38" s="6" t="s">
        <v>3499</v>
      </c>
    </row>
    <row r="39" spans="1:16" x14ac:dyDescent="0.25">
      <c r="A39" s="6" t="s">
        <v>3504</v>
      </c>
      <c r="B39" s="7">
        <v>46121</v>
      </c>
      <c r="C39" s="7">
        <v>46127</v>
      </c>
      <c r="D39" s="6">
        <v>3271</v>
      </c>
      <c r="E39" s="6">
        <v>336</v>
      </c>
      <c r="F39" s="6">
        <v>4</v>
      </c>
      <c r="G39" s="15">
        <v>6</v>
      </c>
      <c r="H39" s="15">
        <v>4953</v>
      </c>
      <c r="I39" s="6" t="s">
        <v>543</v>
      </c>
      <c r="J39" s="15">
        <v>14917718</v>
      </c>
      <c r="K39" s="15" t="s">
        <v>576</v>
      </c>
      <c r="L39" s="15" t="s">
        <v>588</v>
      </c>
      <c r="M39" s="20">
        <v>219900</v>
      </c>
      <c r="N39" s="64">
        <v>0.75</v>
      </c>
      <c r="O39" s="12">
        <f t="shared" si="1"/>
        <v>54975</v>
      </c>
      <c r="P39" s="6" t="s">
        <v>3499</v>
      </c>
    </row>
    <row r="40" spans="1:16" x14ac:dyDescent="0.25">
      <c r="A40" s="6" t="s">
        <v>3504</v>
      </c>
      <c r="B40" s="7">
        <v>46121</v>
      </c>
      <c r="C40" s="7">
        <v>46127</v>
      </c>
      <c r="D40" s="6">
        <v>3271</v>
      </c>
      <c r="E40" s="6">
        <v>336</v>
      </c>
      <c r="F40" s="6">
        <v>4</v>
      </c>
      <c r="G40" s="15">
        <v>6</v>
      </c>
      <c r="H40" s="15">
        <v>4953</v>
      </c>
      <c r="I40" s="6" t="s">
        <v>543</v>
      </c>
      <c r="J40" s="15">
        <v>14918002</v>
      </c>
      <c r="K40" s="15" t="s">
        <v>589</v>
      </c>
      <c r="L40" s="15" t="s">
        <v>590</v>
      </c>
      <c r="M40" s="20">
        <v>219900</v>
      </c>
      <c r="N40" s="64">
        <v>0.75</v>
      </c>
      <c r="O40" s="12">
        <f t="shared" si="1"/>
        <v>54975</v>
      </c>
      <c r="P40" s="6" t="s">
        <v>3499</v>
      </c>
    </row>
    <row r="41" spans="1:16" x14ac:dyDescent="0.25">
      <c r="A41" s="6" t="s">
        <v>3504</v>
      </c>
      <c r="B41" s="7">
        <v>46121</v>
      </c>
      <c r="C41" s="7">
        <v>46127</v>
      </c>
      <c r="D41" s="6">
        <v>3271</v>
      </c>
      <c r="E41" s="6">
        <v>336</v>
      </c>
      <c r="F41" s="6">
        <v>4</v>
      </c>
      <c r="G41" s="15">
        <v>6</v>
      </c>
      <c r="H41" s="15">
        <v>4953</v>
      </c>
      <c r="I41" s="6" t="s">
        <v>543</v>
      </c>
      <c r="J41" s="15">
        <v>14918011</v>
      </c>
      <c r="K41" s="15" t="s">
        <v>589</v>
      </c>
      <c r="L41" s="15" t="s">
        <v>591</v>
      </c>
      <c r="M41" s="20">
        <v>219900</v>
      </c>
      <c r="N41" s="64">
        <v>0.75</v>
      </c>
      <c r="O41" s="12">
        <f t="shared" si="1"/>
        <v>54975</v>
      </c>
      <c r="P41" s="6" t="s">
        <v>3499</v>
      </c>
    </row>
    <row r="42" spans="1:16" x14ac:dyDescent="0.25">
      <c r="A42" s="6" t="s">
        <v>3504</v>
      </c>
      <c r="B42" s="7">
        <v>46121</v>
      </c>
      <c r="C42" s="7">
        <v>46127</v>
      </c>
      <c r="D42" s="6">
        <v>3271</v>
      </c>
      <c r="E42" s="6">
        <v>336</v>
      </c>
      <c r="F42" s="6">
        <v>4</v>
      </c>
      <c r="G42" s="15">
        <v>6</v>
      </c>
      <c r="H42" s="15">
        <v>4953</v>
      </c>
      <c r="I42" s="6" t="s">
        <v>543</v>
      </c>
      <c r="J42" s="15">
        <v>14918020</v>
      </c>
      <c r="K42" s="15" t="s">
        <v>589</v>
      </c>
      <c r="L42" s="15" t="s">
        <v>592</v>
      </c>
      <c r="M42" s="20">
        <v>219900</v>
      </c>
      <c r="N42" s="64">
        <v>0.75</v>
      </c>
      <c r="O42" s="12">
        <f t="shared" si="1"/>
        <v>54975</v>
      </c>
      <c r="P42" s="6" t="s">
        <v>3499</v>
      </c>
    </row>
    <row r="43" spans="1:16" x14ac:dyDescent="0.25">
      <c r="A43" s="6" t="s">
        <v>3504</v>
      </c>
      <c r="B43" s="7">
        <v>46121</v>
      </c>
      <c r="C43" s="7">
        <v>46127</v>
      </c>
      <c r="D43" s="6">
        <v>3271</v>
      </c>
      <c r="E43" s="6">
        <v>336</v>
      </c>
      <c r="F43" s="6">
        <v>4</v>
      </c>
      <c r="G43" s="15">
        <v>6</v>
      </c>
      <c r="H43" s="15">
        <v>4953</v>
      </c>
      <c r="I43" s="6" t="s">
        <v>543</v>
      </c>
      <c r="J43" s="15">
        <v>14918039</v>
      </c>
      <c r="K43" s="15" t="s">
        <v>589</v>
      </c>
      <c r="L43" s="15" t="s">
        <v>593</v>
      </c>
      <c r="M43" s="20">
        <v>219900</v>
      </c>
      <c r="N43" s="64">
        <v>0.75</v>
      </c>
      <c r="O43" s="12">
        <f t="shared" si="1"/>
        <v>54975</v>
      </c>
      <c r="P43" s="6" t="s">
        <v>3499</v>
      </c>
    </row>
    <row r="44" spans="1:16" x14ac:dyDescent="0.25">
      <c r="A44" s="6" t="s">
        <v>3504</v>
      </c>
      <c r="B44" s="7">
        <v>46121</v>
      </c>
      <c r="C44" s="7">
        <v>46127</v>
      </c>
      <c r="D44" s="6">
        <v>3271</v>
      </c>
      <c r="E44" s="6">
        <v>336</v>
      </c>
      <c r="F44" s="6">
        <v>4</v>
      </c>
      <c r="G44" s="15">
        <v>6</v>
      </c>
      <c r="H44" s="15">
        <v>4953</v>
      </c>
      <c r="I44" s="6" t="s">
        <v>543</v>
      </c>
      <c r="J44" s="15">
        <v>14918048</v>
      </c>
      <c r="K44" s="15" t="s">
        <v>594</v>
      </c>
      <c r="L44" s="15" t="s">
        <v>595</v>
      </c>
      <c r="M44" s="20">
        <v>219900</v>
      </c>
      <c r="N44" s="64">
        <v>0.75</v>
      </c>
      <c r="O44" s="12">
        <f t="shared" si="1"/>
        <v>54975</v>
      </c>
      <c r="P44" s="6" t="s">
        <v>3499</v>
      </c>
    </row>
    <row r="45" spans="1:16" x14ac:dyDescent="0.25">
      <c r="A45" s="6" t="s">
        <v>3504</v>
      </c>
      <c r="B45" s="7">
        <v>46121</v>
      </c>
      <c r="C45" s="7">
        <v>46127</v>
      </c>
      <c r="D45" s="6">
        <v>3271</v>
      </c>
      <c r="E45" s="6">
        <v>336</v>
      </c>
      <c r="F45" s="6">
        <v>4</v>
      </c>
      <c r="G45" s="15">
        <v>6</v>
      </c>
      <c r="H45" s="15">
        <v>4953</v>
      </c>
      <c r="I45" s="6" t="s">
        <v>543</v>
      </c>
      <c r="J45" s="15">
        <v>14918057</v>
      </c>
      <c r="K45" s="15" t="s">
        <v>594</v>
      </c>
      <c r="L45" s="15" t="s">
        <v>596</v>
      </c>
      <c r="M45" s="20">
        <v>219900</v>
      </c>
      <c r="N45" s="64">
        <v>0.75</v>
      </c>
      <c r="O45" s="12">
        <f t="shared" si="1"/>
        <v>54975</v>
      </c>
      <c r="P45" s="6" t="s">
        <v>3499</v>
      </c>
    </row>
    <row r="46" spans="1:16" x14ac:dyDescent="0.25">
      <c r="A46" s="6" t="s">
        <v>3504</v>
      </c>
      <c r="B46" s="7">
        <v>46121</v>
      </c>
      <c r="C46" s="7">
        <v>46127</v>
      </c>
      <c r="D46" s="6">
        <v>3271</v>
      </c>
      <c r="E46" s="6">
        <v>336</v>
      </c>
      <c r="F46" s="6">
        <v>4</v>
      </c>
      <c r="G46" s="15">
        <v>6</v>
      </c>
      <c r="H46" s="15">
        <v>4953</v>
      </c>
      <c r="I46" s="6" t="s">
        <v>543</v>
      </c>
      <c r="J46" s="15">
        <v>14918066</v>
      </c>
      <c r="K46" s="15" t="s">
        <v>594</v>
      </c>
      <c r="L46" s="15" t="s">
        <v>597</v>
      </c>
      <c r="M46" s="20">
        <v>219900</v>
      </c>
      <c r="N46" s="64">
        <v>0.75</v>
      </c>
      <c r="O46" s="12">
        <f t="shared" si="1"/>
        <v>54975</v>
      </c>
      <c r="P46" s="6" t="s">
        <v>3499</v>
      </c>
    </row>
    <row r="47" spans="1:16" x14ac:dyDescent="0.25">
      <c r="A47" s="6" t="s">
        <v>3504</v>
      </c>
      <c r="B47" s="7">
        <v>46121</v>
      </c>
      <c r="C47" s="7">
        <v>46127</v>
      </c>
      <c r="D47" s="6">
        <v>3271</v>
      </c>
      <c r="E47" s="6">
        <v>336</v>
      </c>
      <c r="F47" s="6">
        <v>4</v>
      </c>
      <c r="G47" s="15">
        <v>6</v>
      </c>
      <c r="H47" s="15">
        <v>4953</v>
      </c>
      <c r="I47" s="6" t="s">
        <v>543</v>
      </c>
      <c r="J47" s="15">
        <v>14918075</v>
      </c>
      <c r="K47" s="15" t="s">
        <v>594</v>
      </c>
      <c r="L47" s="15" t="s">
        <v>598</v>
      </c>
      <c r="M47" s="20">
        <v>219900</v>
      </c>
      <c r="N47" s="64">
        <v>0.75</v>
      </c>
      <c r="O47" s="12">
        <f t="shared" si="1"/>
        <v>54975</v>
      </c>
      <c r="P47" s="6" t="s">
        <v>3499</v>
      </c>
    </row>
    <row r="48" spans="1:16" x14ac:dyDescent="0.25">
      <c r="A48" s="6" t="s">
        <v>3504</v>
      </c>
      <c r="B48" s="7">
        <v>46121</v>
      </c>
      <c r="C48" s="7">
        <v>46127</v>
      </c>
      <c r="D48" s="6">
        <v>3271</v>
      </c>
      <c r="E48" s="6">
        <v>336</v>
      </c>
      <c r="F48" s="6">
        <v>4</v>
      </c>
      <c r="G48" s="15">
        <v>6</v>
      </c>
      <c r="H48" s="15">
        <v>4953</v>
      </c>
      <c r="I48" s="6" t="s">
        <v>543</v>
      </c>
      <c r="J48" s="15">
        <v>14918084</v>
      </c>
      <c r="K48" s="15" t="s">
        <v>599</v>
      </c>
      <c r="L48" s="15" t="s">
        <v>600</v>
      </c>
      <c r="M48" s="20">
        <v>219900</v>
      </c>
      <c r="N48" s="64">
        <v>0.75</v>
      </c>
      <c r="O48" s="12">
        <f t="shared" si="1"/>
        <v>54975</v>
      </c>
      <c r="P48" s="6" t="s">
        <v>3499</v>
      </c>
    </row>
    <row r="49" spans="1:16" x14ac:dyDescent="0.25">
      <c r="A49" s="6" t="s">
        <v>3504</v>
      </c>
      <c r="B49" s="7">
        <v>46121</v>
      </c>
      <c r="C49" s="7">
        <v>46127</v>
      </c>
      <c r="D49" s="6">
        <v>3271</v>
      </c>
      <c r="E49" s="6">
        <v>336</v>
      </c>
      <c r="F49" s="6">
        <v>4</v>
      </c>
      <c r="G49" s="15">
        <v>6</v>
      </c>
      <c r="H49" s="15">
        <v>4953</v>
      </c>
      <c r="I49" s="6" t="s">
        <v>543</v>
      </c>
      <c r="J49" s="15">
        <v>14918093</v>
      </c>
      <c r="K49" s="15" t="s">
        <v>599</v>
      </c>
      <c r="L49" s="15" t="s">
        <v>601</v>
      </c>
      <c r="M49" s="20">
        <v>219900</v>
      </c>
      <c r="N49" s="64">
        <v>0.75</v>
      </c>
      <c r="O49" s="12">
        <f t="shared" si="1"/>
        <v>54975</v>
      </c>
      <c r="P49" s="6" t="s">
        <v>3499</v>
      </c>
    </row>
    <row r="50" spans="1:16" x14ac:dyDescent="0.25">
      <c r="A50" s="6" t="s">
        <v>3504</v>
      </c>
      <c r="B50" s="7">
        <v>46121</v>
      </c>
      <c r="C50" s="7">
        <v>46127</v>
      </c>
      <c r="D50" s="6">
        <v>3271</v>
      </c>
      <c r="E50" s="6">
        <v>336</v>
      </c>
      <c r="F50" s="6">
        <v>4</v>
      </c>
      <c r="G50" s="15">
        <v>6</v>
      </c>
      <c r="H50" s="15">
        <v>4953</v>
      </c>
      <c r="I50" s="6" t="s">
        <v>543</v>
      </c>
      <c r="J50" s="15">
        <v>14918100</v>
      </c>
      <c r="K50" s="15" t="s">
        <v>599</v>
      </c>
      <c r="L50" s="15" t="s">
        <v>602</v>
      </c>
      <c r="M50" s="20">
        <v>219900</v>
      </c>
      <c r="N50" s="64">
        <v>0.75</v>
      </c>
      <c r="O50" s="12">
        <f t="shared" si="1"/>
        <v>54975</v>
      </c>
      <c r="P50" s="6" t="s">
        <v>3499</v>
      </c>
    </row>
    <row r="51" spans="1:16" x14ac:dyDescent="0.25">
      <c r="A51" s="6" t="s">
        <v>3504</v>
      </c>
      <c r="B51" s="7">
        <v>46121</v>
      </c>
      <c r="C51" s="7">
        <v>46127</v>
      </c>
      <c r="D51" s="6">
        <v>3271</v>
      </c>
      <c r="E51" s="6">
        <v>336</v>
      </c>
      <c r="F51" s="6">
        <v>4</v>
      </c>
      <c r="G51" s="15">
        <v>6</v>
      </c>
      <c r="H51" s="15">
        <v>4953</v>
      </c>
      <c r="I51" s="6" t="s">
        <v>543</v>
      </c>
      <c r="J51" s="15">
        <v>14918119</v>
      </c>
      <c r="K51" s="15" t="s">
        <v>599</v>
      </c>
      <c r="L51" s="15" t="s">
        <v>603</v>
      </c>
      <c r="M51" s="20">
        <v>219900</v>
      </c>
      <c r="N51" s="64">
        <v>0.75</v>
      </c>
      <c r="O51" s="12">
        <f t="shared" si="1"/>
        <v>54975</v>
      </c>
      <c r="P51" s="6" t="s">
        <v>3499</v>
      </c>
    </row>
    <row r="52" spans="1:16" x14ac:dyDescent="0.25">
      <c r="A52" s="6" t="s">
        <v>3504</v>
      </c>
      <c r="B52" s="7">
        <v>46121</v>
      </c>
      <c r="C52" s="7">
        <v>46127</v>
      </c>
      <c r="D52" s="6">
        <v>3271</v>
      </c>
      <c r="E52" s="6">
        <v>336</v>
      </c>
      <c r="F52" s="6">
        <v>4</v>
      </c>
      <c r="G52" s="15">
        <v>6</v>
      </c>
      <c r="H52" s="15">
        <v>4953</v>
      </c>
      <c r="I52" s="6" t="s">
        <v>543</v>
      </c>
      <c r="J52" s="15">
        <v>14918128</v>
      </c>
      <c r="K52" s="15" t="s">
        <v>604</v>
      </c>
      <c r="L52" s="15" t="s">
        <v>605</v>
      </c>
      <c r="M52" s="20">
        <v>219900</v>
      </c>
      <c r="N52" s="64">
        <v>0.75</v>
      </c>
      <c r="O52" s="12">
        <f t="shared" si="1"/>
        <v>54975</v>
      </c>
      <c r="P52" s="6" t="s">
        <v>3499</v>
      </c>
    </row>
    <row r="53" spans="1:16" x14ac:dyDescent="0.25">
      <c r="A53" s="6" t="s">
        <v>3504</v>
      </c>
      <c r="B53" s="7">
        <v>46121</v>
      </c>
      <c r="C53" s="7">
        <v>46127</v>
      </c>
      <c r="D53" s="6">
        <v>3271</v>
      </c>
      <c r="E53" s="6">
        <v>336</v>
      </c>
      <c r="F53" s="6">
        <v>4</v>
      </c>
      <c r="G53" s="15">
        <v>6</v>
      </c>
      <c r="H53" s="15">
        <v>4953</v>
      </c>
      <c r="I53" s="6" t="s">
        <v>543</v>
      </c>
      <c r="J53" s="15">
        <v>14918137</v>
      </c>
      <c r="K53" s="15" t="s">
        <v>604</v>
      </c>
      <c r="L53" s="15" t="s">
        <v>606</v>
      </c>
      <c r="M53" s="20">
        <v>219900</v>
      </c>
      <c r="N53" s="64">
        <v>0.75</v>
      </c>
      <c r="O53" s="12">
        <f t="shared" si="1"/>
        <v>54975</v>
      </c>
      <c r="P53" s="6" t="s">
        <v>3499</v>
      </c>
    </row>
    <row r="54" spans="1:16" x14ac:dyDescent="0.25">
      <c r="A54" s="6" t="s">
        <v>3504</v>
      </c>
      <c r="B54" s="7">
        <v>46121</v>
      </c>
      <c r="C54" s="7">
        <v>46127</v>
      </c>
      <c r="D54" s="6">
        <v>3271</v>
      </c>
      <c r="E54" s="6">
        <v>336</v>
      </c>
      <c r="F54" s="6">
        <v>4</v>
      </c>
      <c r="G54" s="15">
        <v>6</v>
      </c>
      <c r="H54" s="15">
        <v>4953</v>
      </c>
      <c r="I54" s="6" t="s">
        <v>543</v>
      </c>
      <c r="J54" s="15">
        <v>14918146</v>
      </c>
      <c r="K54" s="15" t="s">
        <v>604</v>
      </c>
      <c r="L54" s="15" t="s">
        <v>607</v>
      </c>
      <c r="M54" s="20">
        <v>219900</v>
      </c>
      <c r="N54" s="64">
        <v>0.75</v>
      </c>
      <c r="O54" s="12">
        <f t="shared" si="1"/>
        <v>54975</v>
      </c>
      <c r="P54" s="6" t="s">
        <v>3499</v>
      </c>
    </row>
    <row r="55" spans="1:16" x14ac:dyDescent="0.25">
      <c r="A55" s="6" t="s">
        <v>3504</v>
      </c>
      <c r="B55" s="7">
        <v>46121</v>
      </c>
      <c r="C55" s="7">
        <v>46127</v>
      </c>
      <c r="D55" s="6">
        <v>3271</v>
      </c>
      <c r="E55" s="6">
        <v>336</v>
      </c>
      <c r="F55" s="6">
        <v>4</v>
      </c>
      <c r="G55" s="15">
        <v>6</v>
      </c>
      <c r="H55" s="15">
        <v>4953</v>
      </c>
      <c r="I55" s="6" t="s">
        <v>543</v>
      </c>
      <c r="J55" s="15">
        <v>14918155</v>
      </c>
      <c r="K55" s="15" t="s">
        <v>604</v>
      </c>
      <c r="L55" s="15" t="s">
        <v>608</v>
      </c>
      <c r="M55" s="20">
        <v>219900</v>
      </c>
      <c r="N55" s="64">
        <v>0.75</v>
      </c>
      <c r="O55" s="12">
        <f t="shared" si="1"/>
        <v>54975</v>
      </c>
      <c r="P55" s="6" t="s">
        <v>3499</v>
      </c>
    </row>
    <row r="56" spans="1:16" x14ac:dyDescent="0.25">
      <c r="A56" s="6" t="s">
        <v>3504</v>
      </c>
      <c r="B56" s="7">
        <v>46121</v>
      </c>
      <c r="C56" s="7">
        <v>46127</v>
      </c>
      <c r="D56" s="6">
        <v>3271</v>
      </c>
      <c r="E56" s="6">
        <v>336</v>
      </c>
      <c r="F56" s="6">
        <v>4</v>
      </c>
      <c r="G56" s="15">
        <v>6</v>
      </c>
      <c r="H56" s="15">
        <v>4953</v>
      </c>
      <c r="I56" s="6" t="s">
        <v>543</v>
      </c>
      <c r="J56" s="15">
        <v>14918164</v>
      </c>
      <c r="K56" s="15" t="s">
        <v>609</v>
      </c>
      <c r="L56" s="15" t="s">
        <v>610</v>
      </c>
      <c r="M56" s="20">
        <v>219900</v>
      </c>
      <c r="N56" s="64">
        <v>0.75</v>
      </c>
      <c r="O56" s="12">
        <f t="shared" si="1"/>
        <v>54975</v>
      </c>
      <c r="P56" s="6" t="s">
        <v>3499</v>
      </c>
    </row>
    <row r="57" spans="1:16" x14ac:dyDescent="0.25">
      <c r="A57" s="6" t="s">
        <v>3504</v>
      </c>
      <c r="B57" s="7">
        <v>46121</v>
      </c>
      <c r="C57" s="7">
        <v>46127</v>
      </c>
      <c r="D57" s="6">
        <v>3271</v>
      </c>
      <c r="E57" s="6">
        <v>336</v>
      </c>
      <c r="F57" s="6">
        <v>4</v>
      </c>
      <c r="G57" s="15">
        <v>6</v>
      </c>
      <c r="H57" s="15">
        <v>4953</v>
      </c>
      <c r="I57" s="6" t="s">
        <v>543</v>
      </c>
      <c r="J57" s="15">
        <v>14918173</v>
      </c>
      <c r="K57" s="15" t="s">
        <v>609</v>
      </c>
      <c r="L57" s="15" t="s">
        <v>611</v>
      </c>
      <c r="M57" s="20">
        <v>219900</v>
      </c>
      <c r="N57" s="64">
        <v>0.75</v>
      </c>
      <c r="O57" s="12">
        <f t="shared" si="1"/>
        <v>54975</v>
      </c>
      <c r="P57" s="6" t="s">
        <v>3499</v>
      </c>
    </row>
    <row r="58" spans="1:16" x14ac:dyDescent="0.25">
      <c r="A58" s="6" t="s">
        <v>3504</v>
      </c>
      <c r="B58" s="7">
        <v>46121</v>
      </c>
      <c r="C58" s="7">
        <v>46127</v>
      </c>
      <c r="D58" s="6">
        <v>3271</v>
      </c>
      <c r="E58" s="6">
        <v>336</v>
      </c>
      <c r="F58" s="6">
        <v>4</v>
      </c>
      <c r="G58" s="15">
        <v>6</v>
      </c>
      <c r="H58" s="15">
        <v>4953</v>
      </c>
      <c r="I58" s="6" t="s">
        <v>543</v>
      </c>
      <c r="J58" s="15">
        <v>14918182</v>
      </c>
      <c r="K58" s="15" t="s">
        <v>609</v>
      </c>
      <c r="L58" s="15" t="s">
        <v>612</v>
      </c>
      <c r="M58" s="20">
        <v>219900</v>
      </c>
      <c r="N58" s="64">
        <v>0.75</v>
      </c>
      <c r="O58" s="12">
        <f t="shared" si="1"/>
        <v>54975</v>
      </c>
      <c r="P58" s="6" t="s">
        <v>3499</v>
      </c>
    </row>
    <row r="59" spans="1:16" x14ac:dyDescent="0.25">
      <c r="A59" s="6" t="s">
        <v>3504</v>
      </c>
      <c r="B59" s="7">
        <v>46121</v>
      </c>
      <c r="C59" s="7">
        <v>46127</v>
      </c>
      <c r="D59" s="6">
        <v>3271</v>
      </c>
      <c r="E59" s="6">
        <v>336</v>
      </c>
      <c r="F59" s="6">
        <v>4</v>
      </c>
      <c r="G59" s="15">
        <v>6</v>
      </c>
      <c r="H59" s="15">
        <v>4953</v>
      </c>
      <c r="I59" s="6" t="s">
        <v>543</v>
      </c>
      <c r="J59" s="15">
        <v>14918191</v>
      </c>
      <c r="K59" s="15" t="s">
        <v>609</v>
      </c>
      <c r="L59" s="15" t="s">
        <v>613</v>
      </c>
      <c r="M59" s="20">
        <v>219900</v>
      </c>
      <c r="N59" s="64">
        <v>0.75</v>
      </c>
      <c r="O59" s="12">
        <f t="shared" si="1"/>
        <v>54975</v>
      </c>
      <c r="P59" s="6" t="s">
        <v>3499</v>
      </c>
    </row>
    <row r="60" spans="1:16" x14ac:dyDescent="0.25">
      <c r="A60" s="6" t="s">
        <v>3504</v>
      </c>
      <c r="B60" s="7">
        <v>46121</v>
      </c>
      <c r="C60" s="7">
        <v>46127</v>
      </c>
      <c r="D60" s="6">
        <v>3271</v>
      </c>
      <c r="E60" s="6">
        <v>336</v>
      </c>
      <c r="F60" s="6">
        <v>4</v>
      </c>
      <c r="G60" s="15">
        <v>6</v>
      </c>
      <c r="H60" s="15">
        <v>4953</v>
      </c>
      <c r="I60" s="6" t="s">
        <v>543</v>
      </c>
      <c r="J60" s="15">
        <v>15092698</v>
      </c>
      <c r="K60" s="15" t="s">
        <v>571</v>
      </c>
      <c r="L60" s="15" t="s">
        <v>614</v>
      </c>
      <c r="M60" s="20">
        <v>219900</v>
      </c>
      <c r="N60" s="64">
        <v>0.75</v>
      </c>
      <c r="O60" s="12">
        <f t="shared" si="1"/>
        <v>54975</v>
      </c>
      <c r="P60" s="6" t="s">
        <v>3499</v>
      </c>
    </row>
    <row r="61" spans="1:16" x14ac:dyDescent="0.25">
      <c r="A61" s="6" t="s">
        <v>3504</v>
      </c>
      <c r="B61" s="7">
        <v>46121</v>
      </c>
      <c r="C61" s="7">
        <v>46127</v>
      </c>
      <c r="D61" s="6">
        <v>3271</v>
      </c>
      <c r="E61" s="6">
        <v>336</v>
      </c>
      <c r="F61" s="6">
        <v>4</v>
      </c>
      <c r="G61" s="15">
        <v>6</v>
      </c>
      <c r="H61" s="15">
        <v>4953</v>
      </c>
      <c r="I61" s="6" t="s">
        <v>543</v>
      </c>
      <c r="J61" s="15">
        <v>15092705</v>
      </c>
      <c r="K61" s="15" t="s">
        <v>571</v>
      </c>
      <c r="L61" s="15" t="s">
        <v>615</v>
      </c>
      <c r="M61" s="20">
        <v>219900</v>
      </c>
      <c r="N61" s="64">
        <v>0.75</v>
      </c>
      <c r="O61" s="12">
        <f t="shared" si="1"/>
        <v>54975</v>
      </c>
      <c r="P61" s="6" t="s">
        <v>3499</v>
      </c>
    </row>
    <row r="62" spans="1:16" x14ac:dyDescent="0.25">
      <c r="A62" s="6" t="s">
        <v>3504</v>
      </c>
      <c r="B62" s="7">
        <v>46121</v>
      </c>
      <c r="C62" s="7">
        <v>46127</v>
      </c>
      <c r="D62" s="6">
        <v>3271</v>
      </c>
      <c r="E62" s="6">
        <v>336</v>
      </c>
      <c r="F62" s="6">
        <v>4</v>
      </c>
      <c r="G62" s="15">
        <v>6</v>
      </c>
      <c r="H62" s="15">
        <v>4953</v>
      </c>
      <c r="I62" s="6" t="s">
        <v>543</v>
      </c>
      <c r="J62" s="15">
        <v>15092714</v>
      </c>
      <c r="K62" s="15" t="s">
        <v>571</v>
      </c>
      <c r="L62" s="15" t="s">
        <v>616</v>
      </c>
      <c r="M62" s="20">
        <v>219900</v>
      </c>
      <c r="N62" s="64">
        <v>0.75</v>
      </c>
      <c r="O62" s="12">
        <f t="shared" si="1"/>
        <v>54975</v>
      </c>
      <c r="P62" s="6" t="s">
        <v>3499</v>
      </c>
    </row>
    <row r="63" spans="1:16" x14ac:dyDescent="0.25">
      <c r="A63" s="6" t="s">
        <v>3504</v>
      </c>
      <c r="B63" s="7">
        <v>46121</v>
      </c>
      <c r="C63" s="7">
        <v>46127</v>
      </c>
      <c r="D63" s="6">
        <v>3271</v>
      </c>
      <c r="E63" s="6">
        <v>336</v>
      </c>
      <c r="F63" s="6">
        <v>4</v>
      </c>
      <c r="G63" s="15">
        <v>6</v>
      </c>
      <c r="H63" s="15">
        <v>4953</v>
      </c>
      <c r="I63" s="6" t="s">
        <v>543</v>
      </c>
      <c r="J63" s="15">
        <v>15092723</v>
      </c>
      <c r="K63" s="15" t="s">
        <v>571</v>
      </c>
      <c r="L63" s="15" t="s">
        <v>617</v>
      </c>
      <c r="M63" s="20">
        <v>219900</v>
      </c>
      <c r="N63" s="64">
        <v>0.75</v>
      </c>
      <c r="O63" s="12">
        <f t="shared" si="1"/>
        <v>54975</v>
      </c>
      <c r="P63" s="6" t="s">
        <v>3499</v>
      </c>
    </row>
    <row r="64" spans="1:16" x14ac:dyDescent="0.25">
      <c r="A64" s="6" t="s">
        <v>3504</v>
      </c>
      <c r="B64" s="7">
        <v>46121</v>
      </c>
      <c r="C64" s="7">
        <v>46127</v>
      </c>
      <c r="D64" s="6">
        <v>3271</v>
      </c>
      <c r="E64" s="6">
        <v>336</v>
      </c>
      <c r="F64" s="6">
        <v>4</v>
      </c>
      <c r="G64" s="15">
        <v>6</v>
      </c>
      <c r="H64" s="15">
        <v>4953</v>
      </c>
      <c r="I64" s="6" t="s">
        <v>543</v>
      </c>
      <c r="J64" s="15">
        <v>14917361</v>
      </c>
      <c r="K64" s="15" t="s">
        <v>618</v>
      </c>
      <c r="L64" s="15" t="s">
        <v>619</v>
      </c>
      <c r="M64" s="20">
        <v>219900</v>
      </c>
      <c r="N64" s="64">
        <v>0.75</v>
      </c>
      <c r="O64" s="12">
        <f t="shared" si="1"/>
        <v>54975</v>
      </c>
      <c r="P64" s="6" t="s">
        <v>3499</v>
      </c>
    </row>
    <row r="65" spans="1:16" x14ac:dyDescent="0.25">
      <c r="A65" s="6" t="s">
        <v>3504</v>
      </c>
      <c r="B65" s="7">
        <v>46121</v>
      </c>
      <c r="C65" s="7">
        <v>46127</v>
      </c>
      <c r="D65" s="6">
        <v>3271</v>
      </c>
      <c r="E65" s="6">
        <v>336</v>
      </c>
      <c r="F65" s="6">
        <v>4</v>
      </c>
      <c r="G65" s="15">
        <v>6</v>
      </c>
      <c r="H65" s="15">
        <v>4953</v>
      </c>
      <c r="I65" s="6" t="s">
        <v>543</v>
      </c>
      <c r="J65" s="15">
        <v>14917370</v>
      </c>
      <c r="K65" s="15" t="s">
        <v>618</v>
      </c>
      <c r="L65" s="15" t="s">
        <v>620</v>
      </c>
      <c r="M65" s="20">
        <v>219900</v>
      </c>
      <c r="N65" s="64">
        <v>0.75</v>
      </c>
      <c r="O65" s="12">
        <f t="shared" si="1"/>
        <v>54975</v>
      </c>
      <c r="P65" s="6" t="s">
        <v>3499</v>
      </c>
    </row>
    <row r="66" spans="1:16" x14ac:dyDescent="0.25">
      <c r="A66" s="6" t="s">
        <v>3504</v>
      </c>
      <c r="B66" s="7">
        <v>46121</v>
      </c>
      <c r="C66" s="7">
        <v>46127</v>
      </c>
      <c r="D66" s="6">
        <v>3271</v>
      </c>
      <c r="E66" s="6">
        <v>336</v>
      </c>
      <c r="F66" s="6">
        <v>4</v>
      </c>
      <c r="G66" s="15">
        <v>6</v>
      </c>
      <c r="H66" s="15">
        <v>4953</v>
      </c>
      <c r="I66" s="6" t="s">
        <v>543</v>
      </c>
      <c r="J66" s="15">
        <v>14917389</v>
      </c>
      <c r="K66" s="15" t="s">
        <v>618</v>
      </c>
      <c r="L66" s="15" t="s">
        <v>621</v>
      </c>
      <c r="M66" s="20">
        <v>219900</v>
      </c>
      <c r="N66" s="64">
        <v>0.75</v>
      </c>
      <c r="O66" s="12">
        <f t="shared" si="1"/>
        <v>54975</v>
      </c>
      <c r="P66" s="6" t="s">
        <v>3499</v>
      </c>
    </row>
    <row r="67" spans="1:16" x14ac:dyDescent="0.25">
      <c r="A67" s="6" t="s">
        <v>3504</v>
      </c>
      <c r="B67" s="7">
        <v>46121</v>
      </c>
      <c r="C67" s="7">
        <v>46127</v>
      </c>
      <c r="D67" s="6">
        <v>3271</v>
      </c>
      <c r="E67" s="6">
        <v>336</v>
      </c>
      <c r="F67" s="6">
        <v>4</v>
      </c>
      <c r="G67" s="15">
        <v>6</v>
      </c>
      <c r="H67" s="15">
        <v>4953</v>
      </c>
      <c r="I67" s="6" t="s">
        <v>543</v>
      </c>
      <c r="J67" s="15">
        <v>14917398</v>
      </c>
      <c r="K67" s="15" t="s">
        <v>618</v>
      </c>
      <c r="L67" s="15" t="s">
        <v>622</v>
      </c>
      <c r="M67" s="20">
        <v>219900</v>
      </c>
      <c r="N67" s="64">
        <v>0.75</v>
      </c>
      <c r="O67" s="12">
        <f t="shared" ref="O67:O130" si="2">M67-((75*M67)/100)</f>
        <v>54975</v>
      </c>
      <c r="P67" s="6" t="s">
        <v>3499</v>
      </c>
    </row>
    <row r="68" spans="1:16" x14ac:dyDescent="0.25">
      <c r="A68" s="6" t="s">
        <v>3504</v>
      </c>
      <c r="B68" s="7">
        <v>46121</v>
      </c>
      <c r="C68" s="7">
        <v>46127</v>
      </c>
      <c r="D68" s="6">
        <v>3271</v>
      </c>
      <c r="E68" s="6">
        <v>336</v>
      </c>
      <c r="F68" s="6">
        <v>4</v>
      </c>
      <c r="G68" s="15">
        <v>6</v>
      </c>
      <c r="H68" s="15">
        <v>4953</v>
      </c>
      <c r="I68" s="6" t="s">
        <v>543</v>
      </c>
      <c r="J68" s="15">
        <v>14917521</v>
      </c>
      <c r="K68" s="15" t="s">
        <v>623</v>
      </c>
      <c r="L68" s="15" t="s">
        <v>624</v>
      </c>
      <c r="M68" s="20">
        <v>219900</v>
      </c>
      <c r="N68" s="64">
        <v>0.75</v>
      </c>
      <c r="O68" s="12">
        <f t="shared" si="2"/>
        <v>54975</v>
      </c>
      <c r="P68" s="6" t="s">
        <v>3499</v>
      </c>
    </row>
    <row r="69" spans="1:16" x14ac:dyDescent="0.25">
      <c r="A69" s="6" t="s">
        <v>3504</v>
      </c>
      <c r="B69" s="7">
        <v>46121</v>
      </c>
      <c r="C69" s="7">
        <v>46127</v>
      </c>
      <c r="D69" s="6">
        <v>3271</v>
      </c>
      <c r="E69" s="6">
        <v>336</v>
      </c>
      <c r="F69" s="6">
        <v>4</v>
      </c>
      <c r="G69" s="15">
        <v>6</v>
      </c>
      <c r="H69" s="15">
        <v>4953</v>
      </c>
      <c r="I69" s="6" t="s">
        <v>543</v>
      </c>
      <c r="J69" s="15">
        <v>14917530</v>
      </c>
      <c r="K69" s="15" t="s">
        <v>623</v>
      </c>
      <c r="L69" s="15" t="s">
        <v>625</v>
      </c>
      <c r="M69" s="20">
        <v>219900</v>
      </c>
      <c r="N69" s="64">
        <v>0.75</v>
      </c>
      <c r="O69" s="12">
        <f t="shared" si="2"/>
        <v>54975</v>
      </c>
      <c r="P69" s="6" t="s">
        <v>3499</v>
      </c>
    </row>
    <row r="70" spans="1:16" x14ac:dyDescent="0.25">
      <c r="A70" s="6" t="s">
        <v>3504</v>
      </c>
      <c r="B70" s="7">
        <v>46121</v>
      </c>
      <c r="C70" s="7">
        <v>46127</v>
      </c>
      <c r="D70" s="6">
        <v>3271</v>
      </c>
      <c r="E70" s="6">
        <v>336</v>
      </c>
      <c r="F70" s="6">
        <v>4</v>
      </c>
      <c r="G70" s="15">
        <v>6</v>
      </c>
      <c r="H70" s="15">
        <v>4953</v>
      </c>
      <c r="I70" s="6" t="s">
        <v>543</v>
      </c>
      <c r="J70" s="15">
        <v>14917549</v>
      </c>
      <c r="K70" s="15" t="s">
        <v>623</v>
      </c>
      <c r="L70" s="15" t="s">
        <v>626</v>
      </c>
      <c r="M70" s="20">
        <v>219900</v>
      </c>
      <c r="N70" s="64">
        <v>0.75</v>
      </c>
      <c r="O70" s="12">
        <f t="shared" si="2"/>
        <v>54975</v>
      </c>
      <c r="P70" s="6" t="s">
        <v>3499</v>
      </c>
    </row>
    <row r="71" spans="1:16" x14ac:dyDescent="0.25">
      <c r="A71" s="6" t="s">
        <v>3504</v>
      </c>
      <c r="B71" s="7">
        <v>46121</v>
      </c>
      <c r="C71" s="7">
        <v>46127</v>
      </c>
      <c r="D71" s="6">
        <v>3271</v>
      </c>
      <c r="E71" s="6">
        <v>336</v>
      </c>
      <c r="F71" s="6">
        <v>4</v>
      </c>
      <c r="G71" s="15">
        <v>6</v>
      </c>
      <c r="H71" s="15">
        <v>4953</v>
      </c>
      <c r="I71" s="6" t="s">
        <v>543</v>
      </c>
      <c r="J71" s="15">
        <v>14917558</v>
      </c>
      <c r="K71" s="15" t="s">
        <v>623</v>
      </c>
      <c r="L71" s="15" t="s">
        <v>627</v>
      </c>
      <c r="M71" s="20">
        <v>219900</v>
      </c>
      <c r="N71" s="64">
        <v>0.75</v>
      </c>
      <c r="O71" s="12">
        <f t="shared" si="2"/>
        <v>54975</v>
      </c>
      <c r="P71" s="6" t="s">
        <v>3499</v>
      </c>
    </row>
    <row r="72" spans="1:16" x14ac:dyDescent="0.25">
      <c r="A72" s="6" t="s">
        <v>3504</v>
      </c>
      <c r="B72" s="7">
        <v>46121</v>
      </c>
      <c r="C72" s="7">
        <v>46127</v>
      </c>
      <c r="D72" s="6">
        <v>3271</v>
      </c>
      <c r="E72" s="6">
        <v>336</v>
      </c>
      <c r="F72" s="6">
        <v>4</v>
      </c>
      <c r="G72" s="15">
        <v>6</v>
      </c>
      <c r="H72" s="15">
        <v>4953</v>
      </c>
      <c r="I72" s="6" t="s">
        <v>543</v>
      </c>
      <c r="J72" s="15">
        <v>15716200</v>
      </c>
      <c r="K72" s="15" t="s">
        <v>628</v>
      </c>
      <c r="L72" s="15" t="s">
        <v>629</v>
      </c>
      <c r="M72" s="20">
        <v>219900</v>
      </c>
      <c r="N72" s="64">
        <v>0.75</v>
      </c>
      <c r="O72" s="12">
        <f t="shared" si="2"/>
        <v>54975</v>
      </c>
      <c r="P72" s="6" t="s">
        <v>3499</v>
      </c>
    </row>
    <row r="73" spans="1:16" x14ac:dyDescent="0.25">
      <c r="A73" s="6" t="s">
        <v>3504</v>
      </c>
      <c r="B73" s="7">
        <v>46121</v>
      </c>
      <c r="C73" s="7">
        <v>46127</v>
      </c>
      <c r="D73" s="6">
        <v>3271</v>
      </c>
      <c r="E73" s="6">
        <v>336</v>
      </c>
      <c r="F73" s="6">
        <v>4</v>
      </c>
      <c r="G73" s="15">
        <v>6</v>
      </c>
      <c r="H73" s="15">
        <v>4953</v>
      </c>
      <c r="I73" s="6" t="s">
        <v>543</v>
      </c>
      <c r="J73" s="15">
        <v>15716219</v>
      </c>
      <c r="K73" s="15" t="s">
        <v>628</v>
      </c>
      <c r="L73" s="15" t="s">
        <v>630</v>
      </c>
      <c r="M73" s="20">
        <v>219900</v>
      </c>
      <c r="N73" s="64">
        <v>0.75</v>
      </c>
      <c r="O73" s="12">
        <f t="shared" si="2"/>
        <v>54975</v>
      </c>
      <c r="P73" s="6" t="s">
        <v>3499</v>
      </c>
    </row>
    <row r="74" spans="1:16" x14ac:dyDescent="0.25">
      <c r="A74" s="6" t="s">
        <v>3504</v>
      </c>
      <c r="B74" s="7">
        <v>46121</v>
      </c>
      <c r="C74" s="7">
        <v>46127</v>
      </c>
      <c r="D74" s="6">
        <v>3271</v>
      </c>
      <c r="E74" s="6">
        <v>336</v>
      </c>
      <c r="F74" s="6">
        <v>4</v>
      </c>
      <c r="G74" s="15">
        <v>6</v>
      </c>
      <c r="H74" s="15">
        <v>4953</v>
      </c>
      <c r="I74" s="6" t="s">
        <v>543</v>
      </c>
      <c r="J74" s="15">
        <v>15716228</v>
      </c>
      <c r="K74" s="15" t="s">
        <v>628</v>
      </c>
      <c r="L74" s="15" t="s">
        <v>631</v>
      </c>
      <c r="M74" s="20">
        <v>219900</v>
      </c>
      <c r="N74" s="64">
        <v>0.75</v>
      </c>
      <c r="O74" s="12">
        <f t="shared" si="2"/>
        <v>54975</v>
      </c>
      <c r="P74" s="6" t="s">
        <v>3499</v>
      </c>
    </row>
    <row r="75" spans="1:16" x14ac:dyDescent="0.25">
      <c r="A75" s="6" t="s">
        <v>3504</v>
      </c>
      <c r="B75" s="7">
        <v>46121</v>
      </c>
      <c r="C75" s="7">
        <v>46127</v>
      </c>
      <c r="D75" s="6">
        <v>3271</v>
      </c>
      <c r="E75" s="6">
        <v>336</v>
      </c>
      <c r="F75" s="6">
        <v>4</v>
      </c>
      <c r="G75" s="15">
        <v>6</v>
      </c>
      <c r="H75" s="15">
        <v>4953</v>
      </c>
      <c r="I75" s="6" t="s">
        <v>543</v>
      </c>
      <c r="J75" s="15">
        <v>15716237</v>
      </c>
      <c r="K75" s="15" t="s">
        <v>628</v>
      </c>
      <c r="L75" s="15" t="s">
        <v>632</v>
      </c>
      <c r="M75" s="20">
        <v>219900</v>
      </c>
      <c r="N75" s="64">
        <v>0.75</v>
      </c>
      <c r="O75" s="12">
        <f t="shared" si="2"/>
        <v>54975</v>
      </c>
      <c r="P75" s="6" t="s">
        <v>3499</v>
      </c>
    </row>
    <row r="76" spans="1:16" x14ac:dyDescent="0.25">
      <c r="A76" s="6" t="s">
        <v>3504</v>
      </c>
      <c r="B76" s="7">
        <v>46121</v>
      </c>
      <c r="C76" s="7">
        <v>46127</v>
      </c>
      <c r="D76" s="6">
        <v>3271</v>
      </c>
      <c r="E76" s="6">
        <v>336</v>
      </c>
      <c r="F76" s="6">
        <v>4</v>
      </c>
      <c r="G76" s="15">
        <v>6</v>
      </c>
      <c r="H76" s="15">
        <v>4953</v>
      </c>
      <c r="I76" s="6" t="s">
        <v>543</v>
      </c>
      <c r="J76" s="15">
        <v>16275819</v>
      </c>
      <c r="K76" s="15" t="s">
        <v>633</v>
      </c>
      <c r="L76" s="15" t="s">
        <v>634</v>
      </c>
      <c r="M76" s="20">
        <v>219900</v>
      </c>
      <c r="N76" s="64">
        <v>0.75</v>
      </c>
      <c r="O76" s="12">
        <f t="shared" si="2"/>
        <v>54975</v>
      </c>
      <c r="P76" s="6" t="s">
        <v>3499</v>
      </c>
    </row>
    <row r="77" spans="1:16" x14ac:dyDescent="0.25">
      <c r="A77" s="6" t="s">
        <v>3504</v>
      </c>
      <c r="B77" s="7">
        <v>46121</v>
      </c>
      <c r="C77" s="7">
        <v>46127</v>
      </c>
      <c r="D77" s="6">
        <v>3271</v>
      </c>
      <c r="E77" s="6">
        <v>336</v>
      </c>
      <c r="F77" s="6">
        <v>4</v>
      </c>
      <c r="G77" s="15">
        <v>6</v>
      </c>
      <c r="H77" s="15">
        <v>4953</v>
      </c>
      <c r="I77" s="6" t="s">
        <v>543</v>
      </c>
      <c r="J77" s="15">
        <v>16275828</v>
      </c>
      <c r="K77" s="15" t="s">
        <v>633</v>
      </c>
      <c r="L77" s="15" t="s">
        <v>635</v>
      </c>
      <c r="M77" s="20">
        <v>219900</v>
      </c>
      <c r="N77" s="64">
        <v>0.75</v>
      </c>
      <c r="O77" s="12">
        <f t="shared" si="2"/>
        <v>54975</v>
      </c>
      <c r="P77" s="6" t="s">
        <v>3499</v>
      </c>
    </row>
    <row r="78" spans="1:16" x14ac:dyDescent="0.25">
      <c r="A78" s="6" t="s">
        <v>3504</v>
      </c>
      <c r="B78" s="7">
        <v>46121</v>
      </c>
      <c r="C78" s="7">
        <v>46127</v>
      </c>
      <c r="D78" s="6">
        <v>3271</v>
      </c>
      <c r="E78" s="6">
        <v>336</v>
      </c>
      <c r="F78" s="6">
        <v>4</v>
      </c>
      <c r="G78" s="15">
        <v>6</v>
      </c>
      <c r="H78" s="15">
        <v>4953</v>
      </c>
      <c r="I78" s="6" t="s">
        <v>543</v>
      </c>
      <c r="J78" s="15">
        <v>16275837</v>
      </c>
      <c r="K78" s="15" t="s">
        <v>633</v>
      </c>
      <c r="L78" s="15" t="s">
        <v>636</v>
      </c>
      <c r="M78" s="20">
        <v>219900</v>
      </c>
      <c r="N78" s="64">
        <v>0.75</v>
      </c>
      <c r="O78" s="12">
        <f t="shared" si="2"/>
        <v>54975</v>
      </c>
      <c r="P78" s="6" t="s">
        <v>3499</v>
      </c>
    </row>
    <row r="79" spans="1:16" x14ac:dyDescent="0.25">
      <c r="A79" s="6" t="s">
        <v>3504</v>
      </c>
      <c r="B79" s="7">
        <v>46121</v>
      </c>
      <c r="C79" s="7">
        <v>46127</v>
      </c>
      <c r="D79" s="6">
        <v>3271</v>
      </c>
      <c r="E79" s="6">
        <v>336</v>
      </c>
      <c r="F79" s="6">
        <v>4</v>
      </c>
      <c r="G79" s="15">
        <v>6</v>
      </c>
      <c r="H79" s="15">
        <v>4953</v>
      </c>
      <c r="I79" s="6" t="s">
        <v>543</v>
      </c>
      <c r="J79" s="15">
        <v>16275846</v>
      </c>
      <c r="K79" s="15" t="s">
        <v>633</v>
      </c>
      <c r="L79" s="15" t="s">
        <v>637</v>
      </c>
      <c r="M79" s="20">
        <v>219900</v>
      </c>
      <c r="N79" s="64">
        <v>0.75</v>
      </c>
      <c r="O79" s="12">
        <f t="shared" si="2"/>
        <v>54975</v>
      </c>
      <c r="P79" s="6" t="s">
        <v>3499</v>
      </c>
    </row>
    <row r="80" spans="1:16" x14ac:dyDescent="0.25">
      <c r="A80" s="6" t="s">
        <v>3504</v>
      </c>
      <c r="B80" s="7">
        <v>46121</v>
      </c>
      <c r="C80" s="7">
        <v>46127</v>
      </c>
      <c r="D80" s="6">
        <v>3271</v>
      </c>
      <c r="E80" s="6">
        <v>336</v>
      </c>
      <c r="F80" s="6">
        <v>4</v>
      </c>
      <c r="G80" s="15">
        <v>6</v>
      </c>
      <c r="H80" s="15">
        <v>4953</v>
      </c>
      <c r="I80" s="6" t="s">
        <v>543</v>
      </c>
      <c r="J80" s="15">
        <v>16275855</v>
      </c>
      <c r="K80" s="15" t="s">
        <v>638</v>
      </c>
      <c r="L80" s="15" t="s">
        <v>639</v>
      </c>
      <c r="M80" s="20">
        <v>219900</v>
      </c>
      <c r="N80" s="64">
        <v>0.75</v>
      </c>
      <c r="O80" s="12">
        <f t="shared" si="2"/>
        <v>54975</v>
      </c>
      <c r="P80" s="6" t="s">
        <v>3499</v>
      </c>
    </row>
    <row r="81" spans="1:16" x14ac:dyDescent="0.25">
      <c r="A81" s="6" t="s">
        <v>3504</v>
      </c>
      <c r="B81" s="7">
        <v>46121</v>
      </c>
      <c r="C81" s="7">
        <v>46127</v>
      </c>
      <c r="D81" s="6">
        <v>3271</v>
      </c>
      <c r="E81" s="6">
        <v>336</v>
      </c>
      <c r="F81" s="6">
        <v>4</v>
      </c>
      <c r="G81" s="15">
        <v>6</v>
      </c>
      <c r="H81" s="15">
        <v>4953</v>
      </c>
      <c r="I81" s="6" t="s">
        <v>543</v>
      </c>
      <c r="J81" s="15">
        <v>16275864</v>
      </c>
      <c r="K81" s="15" t="s">
        <v>638</v>
      </c>
      <c r="L81" s="15" t="s">
        <v>640</v>
      </c>
      <c r="M81" s="20">
        <v>219900</v>
      </c>
      <c r="N81" s="64">
        <v>0.75</v>
      </c>
      <c r="O81" s="12">
        <f t="shared" si="2"/>
        <v>54975</v>
      </c>
      <c r="P81" s="6" t="s">
        <v>3499</v>
      </c>
    </row>
    <row r="82" spans="1:16" x14ac:dyDescent="0.25">
      <c r="A82" s="6" t="s">
        <v>3504</v>
      </c>
      <c r="B82" s="7">
        <v>46121</v>
      </c>
      <c r="C82" s="7">
        <v>46127</v>
      </c>
      <c r="D82" s="6">
        <v>3271</v>
      </c>
      <c r="E82" s="6">
        <v>336</v>
      </c>
      <c r="F82" s="6">
        <v>4</v>
      </c>
      <c r="G82" s="15">
        <v>6</v>
      </c>
      <c r="H82" s="15">
        <v>4953</v>
      </c>
      <c r="I82" s="6" t="s">
        <v>543</v>
      </c>
      <c r="J82" s="15">
        <v>16275873</v>
      </c>
      <c r="K82" s="15" t="s">
        <v>638</v>
      </c>
      <c r="L82" s="15" t="s">
        <v>641</v>
      </c>
      <c r="M82" s="20">
        <v>219900</v>
      </c>
      <c r="N82" s="64">
        <v>0.75</v>
      </c>
      <c r="O82" s="12">
        <f t="shared" si="2"/>
        <v>54975</v>
      </c>
      <c r="P82" s="6" t="s">
        <v>3499</v>
      </c>
    </row>
    <row r="83" spans="1:16" x14ac:dyDescent="0.25">
      <c r="A83" s="6" t="s">
        <v>3504</v>
      </c>
      <c r="B83" s="7">
        <v>46121</v>
      </c>
      <c r="C83" s="7">
        <v>46127</v>
      </c>
      <c r="D83" s="6">
        <v>3271</v>
      </c>
      <c r="E83" s="6">
        <v>336</v>
      </c>
      <c r="F83" s="6">
        <v>4</v>
      </c>
      <c r="G83" s="15">
        <v>6</v>
      </c>
      <c r="H83" s="15">
        <v>4953</v>
      </c>
      <c r="I83" s="6" t="s">
        <v>543</v>
      </c>
      <c r="J83" s="15">
        <v>16275882</v>
      </c>
      <c r="K83" s="15" t="s">
        <v>638</v>
      </c>
      <c r="L83" s="15" t="s">
        <v>642</v>
      </c>
      <c r="M83" s="20">
        <v>219900</v>
      </c>
      <c r="N83" s="64">
        <v>0.75</v>
      </c>
      <c r="O83" s="12">
        <f t="shared" si="2"/>
        <v>54975</v>
      </c>
      <c r="P83" s="6" t="s">
        <v>3499</v>
      </c>
    </row>
    <row r="84" spans="1:16" x14ac:dyDescent="0.25">
      <c r="A84" s="6" t="s">
        <v>3504</v>
      </c>
      <c r="B84" s="7">
        <v>46121</v>
      </c>
      <c r="C84" s="7">
        <v>46127</v>
      </c>
      <c r="D84" s="6">
        <v>3271</v>
      </c>
      <c r="E84" s="6">
        <v>336</v>
      </c>
      <c r="F84" s="6">
        <v>4</v>
      </c>
      <c r="G84" s="15">
        <v>6</v>
      </c>
      <c r="H84" s="15">
        <v>4953</v>
      </c>
      <c r="I84" s="6" t="s">
        <v>543</v>
      </c>
      <c r="J84" s="15">
        <v>16822576</v>
      </c>
      <c r="K84" s="15" t="s">
        <v>643</v>
      </c>
      <c r="L84" s="15" t="s">
        <v>644</v>
      </c>
      <c r="M84" s="20">
        <v>219900</v>
      </c>
      <c r="N84" s="64">
        <v>0.75</v>
      </c>
      <c r="O84" s="12">
        <f t="shared" si="2"/>
        <v>54975</v>
      </c>
      <c r="P84" s="6" t="s">
        <v>3499</v>
      </c>
    </row>
    <row r="85" spans="1:16" x14ac:dyDescent="0.25">
      <c r="A85" s="6" t="s">
        <v>3504</v>
      </c>
      <c r="B85" s="7">
        <v>46121</v>
      </c>
      <c r="C85" s="7">
        <v>46127</v>
      </c>
      <c r="D85" s="6">
        <v>3271</v>
      </c>
      <c r="E85" s="6">
        <v>336</v>
      </c>
      <c r="F85" s="6">
        <v>4</v>
      </c>
      <c r="G85" s="15">
        <v>6</v>
      </c>
      <c r="H85" s="15">
        <v>4953</v>
      </c>
      <c r="I85" s="6" t="s">
        <v>543</v>
      </c>
      <c r="J85" s="15">
        <v>16822585</v>
      </c>
      <c r="K85" s="15" t="s">
        <v>643</v>
      </c>
      <c r="L85" s="15" t="s">
        <v>645</v>
      </c>
      <c r="M85" s="20">
        <v>219900</v>
      </c>
      <c r="N85" s="64">
        <v>0.75</v>
      </c>
      <c r="O85" s="12">
        <f t="shared" si="2"/>
        <v>54975</v>
      </c>
      <c r="P85" s="6" t="s">
        <v>3499</v>
      </c>
    </row>
    <row r="86" spans="1:16" x14ac:dyDescent="0.25">
      <c r="A86" s="6" t="s">
        <v>3504</v>
      </c>
      <c r="B86" s="7">
        <v>46121</v>
      </c>
      <c r="C86" s="7">
        <v>46127</v>
      </c>
      <c r="D86" s="6">
        <v>3271</v>
      </c>
      <c r="E86" s="6">
        <v>336</v>
      </c>
      <c r="F86" s="6">
        <v>4</v>
      </c>
      <c r="G86" s="15">
        <v>6</v>
      </c>
      <c r="H86" s="15">
        <v>4953</v>
      </c>
      <c r="I86" s="6" t="s">
        <v>543</v>
      </c>
      <c r="J86" s="15">
        <v>16822594</v>
      </c>
      <c r="K86" s="15" t="s">
        <v>643</v>
      </c>
      <c r="L86" s="15" t="s">
        <v>646</v>
      </c>
      <c r="M86" s="20">
        <v>219900</v>
      </c>
      <c r="N86" s="64">
        <v>0.75</v>
      </c>
      <c r="O86" s="12">
        <f t="shared" si="2"/>
        <v>54975</v>
      </c>
      <c r="P86" s="6" t="s">
        <v>3499</v>
      </c>
    </row>
    <row r="87" spans="1:16" x14ac:dyDescent="0.25">
      <c r="A87" s="6" t="s">
        <v>3504</v>
      </c>
      <c r="B87" s="7">
        <v>46121</v>
      </c>
      <c r="C87" s="7">
        <v>46127</v>
      </c>
      <c r="D87" s="6">
        <v>3271</v>
      </c>
      <c r="E87" s="6">
        <v>336</v>
      </c>
      <c r="F87" s="6">
        <v>4</v>
      </c>
      <c r="G87" s="15">
        <v>6</v>
      </c>
      <c r="H87" s="15">
        <v>4953</v>
      </c>
      <c r="I87" s="6" t="s">
        <v>543</v>
      </c>
      <c r="J87" s="15">
        <v>16822601</v>
      </c>
      <c r="K87" s="15" t="s">
        <v>643</v>
      </c>
      <c r="L87" s="15" t="s">
        <v>647</v>
      </c>
      <c r="M87" s="20">
        <v>219900</v>
      </c>
      <c r="N87" s="64">
        <v>0.75</v>
      </c>
      <c r="O87" s="12">
        <f t="shared" si="2"/>
        <v>54975</v>
      </c>
      <c r="P87" s="6" t="s">
        <v>3499</v>
      </c>
    </row>
    <row r="88" spans="1:16" x14ac:dyDescent="0.25">
      <c r="A88" s="6" t="s">
        <v>3504</v>
      </c>
      <c r="B88" s="7">
        <v>46121</v>
      </c>
      <c r="C88" s="7">
        <v>46127</v>
      </c>
      <c r="D88" s="6">
        <v>3271</v>
      </c>
      <c r="E88" s="6">
        <v>336</v>
      </c>
      <c r="F88" s="6">
        <v>4</v>
      </c>
      <c r="G88" s="15">
        <v>6</v>
      </c>
      <c r="H88" s="15">
        <v>4953</v>
      </c>
      <c r="I88" s="6" t="s">
        <v>543</v>
      </c>
      <c r="J88" s="15">
        <v>16822610</v>
      </c>
      <c r="K88" s="15" t="s">
        <v>643</v>
      </c>
      <c r="L88" s="15" t="s">
        <v>648</v>
      </c>
      <c r="M88" s="20">
        <v>219900</v>
      </c>
      <c r="N88" s="64">
        <v>0.75</v>
      </c>
      <c r="O88" s="12">
        <f t="shared" si="2"/>
        <v>54975</v>
      </c>
      <c r="P88" s="6" t="s">
        <v>3499</v>
      </c>
    </row>
    <row r="89" spans="1:16" x14ac:dyDescent="0.25">
      <c r="A89" s="6" t="s">
        <v>3504</v>
      </c>
      <c r="B89" s="7">
        <v>46121</v>
      </c>
      <c r="C89" s="7">
        <v>46127</v>
      </c>
      <c r="D89" s="6">
        <v>3271</v>
      </c>
      <c r="E89" s="6">
        <v>336</v>
      </c>
      <c r="F89" s="6">
        <v>4</v>
      </c>
      <c r="G89" s="15">
        <v>6</v>
      </c>
      <c r="H89" s="15">
        <v>4953</v>
      </c>
      <c r="I89" s="6" t="s">
        <v>543</v>
      </c>
      <c r="J89" s="15">
        <v>16822629</v>
      </c>
      <c r="K89" s="15" t="s">
        <v>643</v>
      </c>
      <c r="L89" s="15" t="s">
        <v>649</v>
      </c>
      <c r="M89" s="20">
        <v>219900</v>
      </c>
      <c r="N89" s="64">
        <v>0.75</v>
      </c>
      <c r="O89" s="12">
        <f t="shared" si="2"/>
        <v>54975</v>
      </c>
      <c r="P89" s="6" t="s">
        <v>3499</v>
      </c>
    </row>
    <row r="90" spans="1:16" x14ac:dyDescent="0.25">
      <c r="A90" s="6" t="s">
        <v>3504</v>
      </c>
      <c r="B90" s="7">
        <v>46121</v>
      </c>
      <c r="C90" s="7">
        <v>46127</v>
      </c>
      <c r="D90" s="6">
        <v>3271</v>
      </c>
      <c r="E90" s="6">
        <v>336</v>
      </c>
      <c r="F90" s="6">
        <v>4</v>
      </c>
      <c r="G90" s="15">
        <v>6</v>
      </c>
      <c r="H90" s="15">
        <v>4953</v>
      </c>
      <c r="I90" s="6" t="s">
        <v>543</v>
      </c>
      <c r="J90" s="15">
        <v>16822638</v>
      </c>
      <c r="K90" s="15" t="s">
        <v>643</v>
      </c>
      <c r="L90" s="15" t="s">
        <v>650</v>
      </c>
      <c r="M90" s="20">
        <v>219900</v>
      </c>
      <c r="N90" s="64">
        <v>0.75</v>
      </c>
      <c r="O90" s="12">
        <f t="shared" si="2"/>
        <v>54975</v>
      </c>
      <c r="P90" s="6" t="s">
        <v>3499</v>
      </c>
    </row>
    <row r="91" spans="1:16" x14ac:dyDescent="0.25">
      <c r="A91" s="6" t="s">
        <v>3504</v>
      </c>
      <c r="B91" s="7">
        <v>46121</v>
      </c>
      <c r="C91" s="7">
        <v>46127</v>
      </c>
      <c r="D91" s="6">
        <v>3271</v>
      </c>
      <c r="E91" s="6">
        <v>336</v>
      </c>
      <c r="F91" s="6">
        <v>4</v>
      </c>
      <c r="G91" s="15">
        <v>6</v>
      </c>
      <c r="H91" s="15">
        <v>4953</v>
      </c>
      <c r="I91" s="6" t="s">
        <v>543</v>
      </c>
      <c r="J91" s="15">
        <v>16822647</v>
      </c>
      <c r="K91" s="15" t="s">
        <v>643</v>
      </c>
      <c r="L91" s="15" t="s">
        <v>651</v>
      </c>
      <c r="M91" s="20">
        <v>219900</v>
      </c>
      <c r="N91" s="64">
        <v>0.75</v>
      </c>
      <c r="O91" s="12">
        <f t="shared" si="2"/>
        <v>54975</v>
      </c>
      <c r="P91" s="6" t="s">
        <v>3499</v>
      </c>
    </row>
    <row r="92" spans="1:16" x14ac:dyDescent="0.25">
      <c r="A92" s="6" t="s">
        <v>3504</v>
      </c>
      <c r="B92" s="7">
        <v>46121</v>
      </c>
      <c r="C92" s="7">
        <v>46127</v>
      </c>
      <c r="D92" s="6">
        <v>3271</v>
      </c>
      <c r="E92" s="6">
        <v>336</v>
      </c>
      <c r="F92" s="6">
        <v>4</v>
      </c>
      <c r="G92" s="15">
        <v>6</v>
      </c>
      <c r="H92" s="15">
        <v>4953</v>
      </c>
      <c r="I92" s="6" t="s">
        <v>543</v>
      </c>
      <c r="J92" s="15">
        <v>14919485</v>
      </c>
      <c r="K92" s="15" t="s">
        <v>652</v>
      </c>
      <c r="L92" s="15" t="s">
        <v>653</v>
      </c>
      <c r="M92" s="20">
        <v>219900</v>
      </c>
      <c r="N92" s="64">
        <v>0.75</v>
      </c>
      <c r="O92" s="12">
        <f t="shared" si="2"/>
        <v>54975</v>
      </c>
      <c r="P92" s="6" t="s">
        <v>3499</v>
      </c>
    </row>
    <row r="93" spans="1:16" x14ac:dyDescent="0.25">
      <c r="A93" s="6" t="s">
        <v>3504</v>
      </c>
      <c r="B93" s="7">
        <v>46121</v>
      </c>
      <c r="C93" s="7">
        <v>46127</v>
      </c>
      <c r="D93" s="6">
        <v>3271</v>
      </c>
      <c r="E93" s="6">
        <v>336</v>
      </c>
      <c r="F93" s="6">
        <v>4</v>
      </c>
      <c r="G93" s="15">
        <v>6</v>
      </c>
      <c r="H93" s="15">
        <v>4953</v>
      </c>
      <c r="I93" s="6" t="s">
        <v>543</v>
      </c>
      <c r="J93" s="15">
        <v>14919494</v>
      </c>
      <c r="K93" s="15" t="s">
        <v>652</v>
      </c>
      <c r="L93" s="15" t="s">
        <v>654</v>
      </c>
      <c r="M93" s="20">
        <v>219900</v>
      </c>
      <c r="N93" s="64">
        <v>0.75</v>
      </c>
      <c r="O93" s="12">
        <f t="shared" si="2"/>
        <v>54975</v>
      </c>
      <c r="P93" s="6" t="s">
        <v>3499</v>
      </c>
    </row>
    <row r="94" spans="1:16" x14ac:dyDescent="0.25">
      <c r="A94" s="6" t="s">
        <v>3504</v>
      </c>
      <c r="B94" s="7">
        <v>46121</v>
      </c>
      <c r="C94" s="7">
        <v>46127</v>
      </c>
      <c r="D94" s="6">
        <v>3271</v>
      </c>
      <c r="E94" s="6">
        <v>336</v>
      </c>
      <c r="F94" s="6">
        <v>4</v>
      </c>
      <c r="G94" s="15">
        <v>6</v>
      </c>
      <c r="H94" s="15">
        <v>4953</v>
      </c>
      <c r="I94" s="6" t="s">
        <v>543</v>
      </c>
      <c r="J94" s="15">
        <v>14919501</v>
      </c>
      <c r="K94" s="15" t="s">
        <v>652</v>
      </c>
      <c r="L94" s="15" t="s">
        <v>655</v>
      </c>
      <c r="M94" s="20">
        <v>219900</v>
      </c>
      <c r="N94" s="64">
        <v>0.75</v>
      </c>
      <c r="O94" s="12">
        <f t="shared" si="2"/>
        <v>54975</v>
      </c>
      <c r="P94" s="6" t="s">
        <v>3499</v>
      </c>
    </row>
    <row r="95" spans="1:16" x14ac:dyDescent="0.25">
      <c r="A95" s="6" t="s">
        <v>3504</v>
      </c>
      <c r="B95" s="7">
        <v>46121</v>
      </c>
      <c r="C95" s="7">
        <v>46127</v>
      </c>
      <c r="D95" s="6">
        <v>3271</v>
      </c>
      <c r="E95" s="6">
        <v>336</v>
      </c>
      <c r="F95" s="6">
        <v>4</v>
      </c>
      <c r="G95" s="15">
        <v>6</v>
      </c>
      <c r="H95" s="15">
        <v>4953</v>
      </c>
      <c r="I95" s="6" t="s">
        <v>543</v>
      </c>
      <c r="J95" s="15">
        <v>14919510</v>
      </c>
      <c r="K95" s="15" t="s">
        <v>652</v>
      </c>
      <c r="L95" s="15" t="s">
        <v>656</v>
      </c>
      <c r="M95" s="20">
        <v>219900</v>
      </c>
      <c r="N95" s="64">
        <v>0.75</v>
      </c>
      <c r="O95" s="12">
        <f t="shared" si="2"/>
        <v>54975</v>
      </c>
      <c r="P95" s="6" t="s">
        <v>3499</v>
      </c>
    </row>
    <row r="96" spans="1:16" x14ac:dyDescent="0.25">
      <c r="A96" s="6" t="s">
        <v>3504</v>
      </c>
      <c r="B96" s="7">
        <v>46121</v>
      </c>
      <c r="C96" s="7">
        <v>46127</v>
      </c>
      <c r="D96" s="6">
        <v>3271</v>
      </c>
      <c r="E96" s="6">
        <v>336</v>
      </c>
      <c r="F96" s="6">
        <v>4</v>
      </c>
      <c r="G96" s="15">
        <v>6</v>
      </c>
      <c r="H96" s="15">
        <v>4953</v>
      </c>
      <c r="I96" s="6" t="s">
        <v>543</v>
      </c>
      <c r="J96" s="15">
        <v>13896958</v>
      </c>
      <c r="K96" s="15" t="s">
        <v>657</v>
      </c>
      <c r="L96" s="15" t="s">
        <v>658</v>
      </c>
      <c r="M96" s="20">
        <v>219900</v>
      </c>
      <c r="N96" s="64">
        <v>0.75</v>
      </c>
      <c r="O96" s="12">
        <f t="shared" si="2"/>
        <v>54975</v>
      </c>
      <c r="P96" s="6" t="s">
        <v>3499</v>
      </c>
    </row>
    <row r="97" spans="1:16" x14ac:dyDescent="0.25">
      <c r="A97" s="6" t="s">
        <v>3504</v>
      </c>
      <c r="B97" s="7">
        <v>46121</v>
      </c>
      <c r="C97" s="7">
        <v>46127</v>
      </c>
      <c r="D97" s="6">
        <v>3271</v>
      </c>
      <c r="E97" s="6">
        <v>336</v>
      </c>
      <c r="F97" s="21">
        <v>4</v>
      </c>
      <c r="G97" s="15">
        <v>6</v>
      </c>
      <c r="H97" s="15">
        <v>4953</v>
      </c>
      <c r="I97" s="6" t="s">
        <v>543</v>
      </c>
      <c r="J97" s="15">
        <v>13896967</v>
      </c>
      <c r="K97" s="15" t="s">
        <v>657</v>
      </c>
      <c r="L97" s="15" t="s">
        <v>659</v>
      </c>
      <c r="M97" s="20">
        <v>219900</v>
      </c>
      <c r="N97" s="64">
        <v>0.75</v>
      </c>
      <c r="O97" s="12">
        <f t="shared" si="2"/>
        <v>54975</v>
      </c>
      <c r="P97" s="6" t="s">
        <v>3499</v>
      </c>
    </row>
    <row r="98" spans="1:16" x14ac:dyDescent="0.25">
      <c r="A98" s="6" t="s">
        <v>3504</v>
      </c>
      <c r="B98" s="7">
        <v>46121</v>
      </c>
      <c r="C98" s="7">
        <v>46127</v>
      </c>
      <c r="D98" s="6">
        <v>3271</v>
      </c>
      <c r="E98" s="6">
        <v>336</v>
      </c>
      <c r="F98" s="21">
        <v>4</v>
      </c>
      <c r="G98" s="15">
        <v>6</v>
      </c>
      <c r="H98" s="15">
        <v>4953</v>
      </c>
      <c r="I98" s="6" t="s">
        <v>543</v>
      </c>
      <c r="J98" s="15">
        <v>13896976</v>
      </c>
      <c r="K98" s="15" t="s">
        <v>657</v>
      </c>
      <c r="L98" s="15" t="s">
        <v>660</v>
      </c>
      <c r="M98" s="20">
        <v>219900</v>
      </c>
      <c r="N98" s="64">
        <v>0.75</v>
      </c>
      <c r="O98" s="12">
        <f t="shared" si="2"/>
        <v>54975</v>
      </c>
      <c r="P98" s="6" t="s">
        <v>3499</v>
      </c>
    </row>
    <row r="99" spans="1:16" x14ac:dyDescent="0.25">
      <c r="A99" s="6" t="s">
        <v>3504</v>
      </c>
      <c r="B99" s="7">
        <v>46121</v>
      </c>
      <c r="C99" s="7">
        <v>46127</v>
      </c>
      <c r="D99" s="6">
        <v>3271</v>
      </c>
      <c r="E99" s="6">
        <v>336</v>
      </c>
      <c r="F99" s="21">
        <v>4</v>
      </c>
      <c r="G99" s="15">
        <v>6</v>
      </c>
      <c r="H99" s="15">
        <v>4953</v>
      </c>
      <c r="I99" s="6" t="s">
        <v>543</v>
      </c>
      <c r="J99" s="15">
        <v>13896985</v>
      </c>
      <c r="K99" s="15" t="s">
        <v>657</v>
      </c>
      <c r="L99" s="15" t="s">
        <v>661</v>
      </c>
      <c r="M99" s="20">
        <v>219900</v>
      </c>
      <c r="N99" s="64">
        <v>0.75</v>
      </c>
      <c r="O99" s="12">
        <f t="shared" si="2"/>
        <v>54975</v>
      </c>
      <c r="P99" s="6" t="s">
        <v>3499</v>
      </c>
    </row>
    <row r="100" spans="1:16" x14ac:dyDescent="0.25">
      <c r="A100" s="6" t="s">
        <v>3504</v>
      </c>
      <c r="B100" s="7">
        <v>46121</v>
      </c>
      <c r="C100" s="7">
        <v>46127</v>
      </c>
      <c r="D100" s="6">
        <v>3271</v>
      </c>
      <c r="E100" s="6">
        <v>336</v>
      </c>
      <c r="F100" s="21">
        <v>4</v>
      </c>
      <c r="G100" s="15">
        <v>6</v>
      </c>
      <c r="H100" s="15">
        <v>4953</v>
      </c>
      <c r="I100" s="6" t="s">
        <v>543</v>
      </c>
      <c r="J100" s="15">
        <v>13896994</v>
      </c>
      <c r="K100" s="15" t="s">
        <v>662</v>
      </c>
      <c r="L100" s="15" t="s">
        <v>663</v>
      </c>
      <c r="M100" s="20">
        <v>219900</v>
      </c>
      <c r="N100" s="64">
        <v>0.75</v>
      </c>
      <c r="O100" s="12">
        <f t="shared" si="2"/>
        <v>54975</v>
      </c>
      <c r="P100" s="6" t="s">
        <v>3499</v>
      </c>
    </row>
    <row r="101" spans="1:16" x14ac:dyDescent="0.25">
      <c r="A101" s="6" t="s">
        <v>3504</v>
      </c>
      <c r="B101" s="7">
        <v>46121</v>
      </c>
      <c r="C101" s="7">
        <v>46127</v>
      </c>
      <c r="D101" s="6">
        <v>3271</v>
      </c>
      <c r="E101" s="6">
        <v>336</v>
      </c>
      <c r="F101" s="21">
        <v>4</v>
      </c>
      <c r="G101" s="15">
        <v>6</v>
      </c>
      <c r="H101" s="15">
        <v>4953</v>
      </c>
      <c r="I101" s="6" t="s">
        <v>543</v>
      </c>
      <c r="J101" s="15">
        <v>13897000</v>
      </c>
      <c r="K101" s="15" t="s">
        <v>662</v>
      </c>
      <c r="L101" s="15" t="s">
        <v>664</v>
      </c>
      <c r="M101" s="20">
        <v>219900</v>
      </c>
      <c r="N101" s="64">
        <v>0.75</v>
      </c>
      <c r="O101" s="12">
        <f t="shared" si="2"/>
        <v>54975</v>
      </c>
      <c r="P101" s="6" t="s">
        <v>3499</v>
      </c>
    </row>
    <row r="102" spans="1:16" x14ac:dyDescent="0.25">
      <c r="A102" s="6" t="s">
        <v>3504</v>
      </c>
      <c r="B102" s="7">
        <v>46121</v>
      </c>
      <c r="C102" s="7">
        <v>46127</v>
      </c>
      <c r="D102" s="6">
        <v>3271</v>
      </c>
      <c r="E102" s="6">
        <v>336</v>
      </c>
      <c r="F102" s="21">
        <v>4</v>
      </c>
      <c r="G102" s="15">
        <v>6</v>
      </c>
      <c r="H102" s="15">
        <v>4953</v>
      </c>
      <c r="I102" s="6" t="s">
        <v>543</v>
      </c>
      <c r="J102" s="15">
        <v>13897019</v>
      </c>
      <c r="K102" s="15" t="s">
        <v>662</v>
      </c>
      <c r="L102" s="15" t="s">
        <v>665</v>
      </c>
      <c r="M102" s="20">
        <v>219900</v>
      </c>
      <c r="N102" s="64">
        <v>0.75</v>
      </c>
      <c r="O102" s="12">
        <f t="shared" si="2"/>
        <v>54975</v>
      </c>
      <c r="P102" s="6" t="s">
        <v>3499</v>
      </c>
    </row>
    <row r="103" spans="1:16" x14ac:dyDescent="0.25">
      <c r="A103" s="6" t="s">
        <v>3504</v>
      </c>
      <c r="B103" s="7">
        <v>46121</v>
      </c>
      <c r="C103" s="7">
        <v>46127</v>
      </c>
      <c r="D103" s="6">
        <v>3271</v>
      </c>
      <c r="E103" s="6">
        <v>336</v>
      </c>
      <c r="F103" s="21">
        <v>4</v>
      </c>
      <c r="G103" s="15">
        <v>6</v>
      </c>
      <c r="H103" s="15">
        <v>4953</v>
      </c>
      <c r="I103" s="6" t="s">
        <v>543</v>
      </c>
      <c r="J103" s="15">
        <v>13897028</v>
      </c>
      <c r="K103" s="15" t="s">
        <v>662</v>
      </c>
      <c r="L103" s="15" t="s">
        <v>666</v>
      </c>
      <c r="M103" s="20">
        <v>219900</v>
      </c>
      <c r="N103" s="64">
        <v>0.75</v>
      </c>
      <c r="O103" s="12">
        <f t="shared" si="2"/>
        <v>54975</v>
      </c>
      <c r="P103" s="6" t="s">
        <v>3499</v>
      </c>
    </row>
    <row r="104" spans="1:16" x14ac:dyDescent="0.25">
      <c r="A104" s="6" t="s">
        <v>3504</v>
      </c>
      <c r="B104" s="7">
        <v>46121</v>
      </c>
      <c r="C104" s="7">
        <v>46127</v>
      </c>
      <c r="D104" s="6">
        <v>3271</v>
      </c>
      <c r="E104" s="6">
        <v>336</v>
      </c>
      <c r="F104" s="21">
        <v>4</v>
      </c>
      <c r="G104" s="15">
        <v>6</v>
      </c>
      <c r="H104" s="15">
        <v>4953</v>
      </c>
      <c r="I104" s="6" t="s">
        <v>543</v>
      </c>
      <c r="J104" s="15">
        <v>14915523</v>
      </c>
      <c r="K104" s="15" t="s">
        <v>667</v>
      </c>
      <c r="L104" s="15" t="s">
        <v>668</v>
      </c>
      <c r="M104" s="20">
        <v>219900</v>
      </c>
      <c r="N104" s="64">
        <v>0.75</v>
      </c>
      <c r="O104" s="12">
        <f t="shared" si="2"/>
        <v>54975</v>
      </c>
      <c r="P104" s="6" t="s">
        <v>3499</v>
      </c>
    </row>
    <row r="105" spans="1:16" x14ac:dyDescent="0.25">
      <c r="A105" s="6" t="s">
        <v>3504</v>
      </c>
      <c r="B105" s="7">
        <v>46121</v>
      </c>
      <c r="C105" s="7">
        <v>46127</v>
      </c>
      <c r="D105" s="6">
        <v>3271</v>
      </c>
      <c r="E105" s="6">
        <v>336</v>
      </c>
      <c r="F105" s="21">
        <v>4</v>
      </c>
      <c r="G105" s="15">
        <v>6</v>
      </c>
      <c r="H105" s="15">
        <v>4953</v>
      </c>
      <c r="I105" s="6" t="s">
        <v>543</v>
      </c>
      <c r="J105" s="15">
        <v>14915532</v>
      </c>
      <c r="K105" s="15" t="s">
        <v>667</v>
      </c>
      <c r="L105" s="15" t="s">
        <v>669</v>
      </c>
      <c r="M105" s="20">
        <v>219900</v>
      </c>
      <c r="N105" s="64">
        <v>0.75</v>
      </c>
      <c r="O105" s="12">
        <f t="shared" si="2"/>
        <v>54975</v>
      </c>
      <c r="P105" s="6" t="s">
        <v>3499</v>
      </c>
    </row>
    <row r="106" spans="1:16" x14ac:dyDescent="0.25">
      <c r="A106" s="6" t="s">
        <v>3504</v>
      </c>
      <c r="B106" s="7">
        <v>46121</v>
      </c>
      <c r="C106" s="7">
        <v>46127</v>
      </c>
      <c r="D106" s="6">
        <v>3271</v>
      </c>
      <c r="E106" s="6">
        <v>336</v>
      </c>
      <c r="F106" s="21">
        <v>4</v>
      </c>
      <c r="G106" s="15">
        <v>6</v>
      </c>
      <c r="H106" s="15">
        <v>4953</v>
      </c>
      <c r="I106" s="6" t="s">
        <v>543</v>
      </c>
      <c r="J106" s="15">
        <v>14915541</v>
      </c>
      <c r="K106" s="15" t="s">
        <v>667</v>
      </c>
      <c r="L106" s="15" t="s">
        <v>670</v>
      </c>
      <c r="M106" s="20">
        <v>219900</v>
      </c>
      <c r="N106" s="64">
        <v>0.75</v>
      </c>
      <c r="O106" s="12">
        <f t="shared" si="2"/>
        <v>54975</v>
      </c>
      <c r="P106" s="6" t="s">
        <v>3499</v>
      </c>
    </row>
    <row r="107" spans="1:16" x14ac:dyDescent="0.25">
      <c r="A107" s="6" t="s">
        <v>3504</v>
      </c>
      <c r="B107" s="7">
        <v>46121</v>
      </c>
      <c r="C107" s="7">
        <v>46127</v>
      </c>
      <c r="D107" s="6">
        <v>3271</v>
      </c>
      <c r="E107" s="6">
        <v>336</v>
      </c>
      <c r="F107" s="21">
        <v>4</v>
      </c>
      <c r="G107" s="15">
        <v>6</v>
      </c>
      <c r="H107" s="15">
        <v>4953</v>
      </c>
      <c r="I107" s="6" t="s">
        <v>543</v>
      </c>
      <c r="J107" s="15">
        <v>14915550</v>
      </c>
      <c r="K107" s="15" t="s">
        <v>667</v>
      </c>
      <c r="L107" s="15" t="s">
        <v>671</v>
      </c>
      <c r="M107" s="20">
        <v>219900</v>
      </c>
      <c r="N107" s="64">
        <v>0.75</v>
      </c>
      <c r="O107" s="12">
        <f t="shared" si="2"/>
        <v>54975</v>
      </c>
      <c r="P107" s="6" t="s">
        <v>3499</v>
      </c>
    </row>
    <row r="108" spans="1:16" x14ac:dyDescent="0.25">
      <c r="A108" s="6" t="s">
        <v>3504</v>
      </c>
      <c r="B108" s="7">
        <v>46121</v>
      </c>
      <c r="C108" s="7">
        <v>46127</v>
      </c>
      <c r="D108" s="6">
        <v>3271</v>
      </c>
      <c r="E108" s="6">
        <v>336</v>
      </c>
      <c r="F108" s="21">
        <v>4</v>
      </c>
      <c r="G108" s="15">
        <v>6</v>
      </c>
      <c r="H108" s="15">
        <v>4953</v>
      </c>
      <c r="I108" s="6" t="s">
        <v>543</v>
      </c>
      <c r="J108" s="15">
        <v>14916362</v>
      </c>
      <c r="K108" s="15" t="s">
        <v>672</v>
      </c>
      <c r="L108" s="15" t="s">
        <v>673</v>
      </c>
      <c r="M108" s="20">
        <v>219900</v>
      </c>
      <c r="N108" s="64">
        <v>0.75</v>
      </c>
      <c r="O108" s="12">
        <f t="shared" si="2"/>
        <v>54975</v>
      </c>
      <c r="P108" s="6" t="s">
        <v>3499</v>
      </c>
    </row>
    <row r="109" spans="1:16" x14ac:dyDescent="0.25">
      <c r="A109" s="6" t="s">
        <v>3504</v>
      </c>
      <c r="B109" s="7">
        <v>46121</v>
      </c>
      <c r="C109" s="7">
        <v>46127</v>
      </c>
      <c r="D109" s="6">
        <v>3271</v>
      </c>
      <c r="E109" s="6">
        <v>336</v>
      </c>
      <c r="F109" s="21">
        <v>4</v>
      </c>
      <c r="G109" s="15">
        <v>6</v>
      </c>
      <c r="H109" s="15">
        <v>4953</v>
      </c>
      <c r="I109" s="6" t="s">
        <v>543</v>
      </c>
      <c r="J109" s="15">
        <v>14916371</v>
      </c>
      <c r="K109" s="15" t="s">
        <v>672</v>
      </c>
      <c r="L109" s="15" t="s">
        <v>674</v>
      </c>
      <c r="M109" s="20">
        <v>219900</v>
      </c>
      <c r="N109" s="64">
        <v>0.75</v>
      </c>
      <c r="O109" s="12">
        <f t="shared" si="2"/>
        <v>54975</v>
      </c>
      <c r="P109" s="6" t="s">
        <v>3499</v>
      </c>
    </row>
    <row r="110" spans="1:16" x14ac:dyDescent="0.25">
      <c r="A110" s="6" t="s">
        <v>3504</v>
      </c>
      <c r="B110" s="7">
        <v>46121</v>
      </c>
      <c r="C110" s="7">
        <v>46127</v>
      </c>
      <c r="D110" s="6">
        <v>3271</v>
      </c>
      <c r="E110" s="6">
        <v>336</v>
      </c>
      <c r="F110" s="21">
        <v>4</v>
      </c>
      <c r="G110" s="15">
        <v>6</v>
      </c>
      <c r="H110" s="15">
        <v>4953</v>
      </c>
      <c r="I110" s="6" t="s">
        <v>543</v>
      </c>
      <c r="J110" s="15">
        <v>14916380</v>
      </c>
      <c r="K110" s="15" t="s">
        <v>672</v>
      </c>
      <c r="L110" s="15" t="s">
        <v>675</v>
      </c>
      <c r="M110" s="20">
        <v>219900</v>
      </c>
      <c r="N110" s="64">
        <v>0.75</v>
      </c>
      <c r="O110" s="12">
        <f t="shared" si="2"/>
        <v>54975</v>
      </c>
      <c r="P110" s="6" t="s">
        <v>3499</v>
      </c>
    </row>
    <row r="111" spans="1:16" x14ac:dyDescent="0.25">
      <c r="A111" s="6" t="s">
        <v>3504</v>
      </c>
      <c r="B111" s="7">
        <v>46121</v>
      </c>
      <c r="C111" s="7">
        <v>46127</v>
      </c>
      <c r="D111" s="6">
        <v>3271</v>
      </c>
      <c r="E111" s="6">
        <v>336</v>
      </c>
      <c r="F111" s="21">
        <v>4</v>
      </c>
      <c r="G111" s="15">
        <v>6</v>
      </c>
      <c r="H111" s="15">
        <v>4953</v>
      </c>
      <c r="I111" s="6" t="s">
        <v>543</v>
      </c>
      <c r="J111" s="15">
        <v>14916399</v>
      </c>
      <c r="K111" s="15" t="s">
        <v>672</v>
      </c>
      <c r="L111" s="15" t="s">
        <v>676</v>
      </c>
      <c r="M111" s="20">
        <v>219900</v>
      </c>
      <c r="N111" s="64">
        <v>0.75</v>
      </c>
      <c r="O111" s="12">
        <f t="shared" si="2"/>
        <v>54975</v>
      </c>
      <c r="P111" s="6" t="s">
        <v>3499</v>
      </c>
    </row>
    <row r="112" spans="1:16" x14ac:dyDescent="0.25">
      <c r="A112" s="6" t="s">
        <v>3504</v>
      </c>
      <c r="B112" s="7">
        <v>46121</v>
      </c>
      <c r="C112" s="7">
        <v>46127</v>
      </c>
      <c r="D112" s="6">
        <v>3271</v>
      </c>
      <c r="E112" s="6">
        <v>336</v>
      </c>
      <c r="F112" s="21">
        <v>4</v>
      </c>
      <c r="G112" s="15">
        <v>6</v>
      </c>
      <c r="H112" s="15">
        <v>4953</v>
      </c>
      <c r="I112" s="6" t="s">
        <v>543</v>
      </c>
      <c r="J112" s="15">
        <v>14916406</v>
      </c>
      <c r="K112" s="15" t="s">
        <v>677</v>
      </c>
      <c r="L112" s="15" t="s">
        <v>678</v>
      </c>
      <c r="M112" s="20">
        <v>219900</v>
      </c>
      <c r="N112" s="64">
        <v>0.75</v>
      </c>
      <c r="O112" s="12">
        <f t="shared" si="2"/>
        <v>54975</v>
      </c>
      <c r="P112" s="6" t="s">
        <v>3499</v>
      </c>
    </row>
    <row r="113" spans="1:16" x14ac:dyDescent="0.25">
      <c r="A113" s="6" t="s">
        <v>3504</v>
      </c>
      <c r="B113" s="7">
        <v>46121</v>
      </c>
      <c r="C113" s="7">
        <v>46127</v>
      </c>
      <c r="D113" s="6">
        <v>3271</v>
      </c>
      <c r="E113" s="6">
        <v>336</v>
      </c>
      <c r="F113" s="21">
        <v>4</v>
      </c>
      <c r="G113" s="15">
        <v>6</v>
      </c>
      <c r="H113" s="15">
        <v>4953</v>
      </c>
      <c r="I113" s="6" t="s">
        <v>543</v>
      </c>
      <c r="J113" s="15">
        <v>14916415</v>
      </c>
      <c r="K113" s="15" t="s">
        <v>677</v>
      </c>
      <c r="L113" s="15" t="s">
        <v>679</v>
      </c>
      <c r="M113" s="20">
        <v>219900</v>
      </c>
      <c r="N113" s="64">
        <v>0.75</v>
      </c>
      <c r="O113" s="12">
        <f t="shared" si="2"/>
        <v>54975</v>
      </c>
      <c r="P113" s="6" t="s">
        <v>3499</v>
      </c>
    </row>
    <row r="114" spans="1:16" x14ac:dyDescent="0.25">
      <c r="A114" s="6" t="s">
        <v>3504</v>
      </c>
      <c r="B114" s="7">
        <v>46121</v>
      </c>
      <c r="C114" s="7">
        <v>46127</v>
      </c>
      <c r="D114" s="6">
        <v>3271</v>
      </c>
      <c r="E114" s="6">
        <v>336</v>
      </c>
      <c r="F114" s="21">
        <v>4</v>
      </c>
      <c r="G114" s="15">
        <v>6</v>
      </c>
      <c r="H114" s="15">
        <v>4953</v>
      </c>
      <c r="I114" s="6" t="s">
        <v>543</v>
      </c>
      <c r="J114" s="15">
        <v>14916424</v>
      </c>
      <c r="K114" s="15" t="s">
        <v>677</v>
      </c>
      <c r="L114" s="15" t="s">
        <v>680</v>
      </c>
      <c r="M114" s="20">
        <v>219900</v>
      </c>
      <c r="N114" s="64">
        <v>0.75</v>
      </c>
      <c r="O114" s="12">
        <f t="shared" si="2"/>
        <v>54975</v>
      </c>
      <c r="P114" s="6" t="s">
        <v>3499</v>
      </c>
    </row>
    <row r="115" spans="1:16" x14ac:dyDescent="0.25">
      <c r="A115" s="6" t="s">
        <v>3504</v>
      </c>
      <c r="B115" s="7">
        <v>46121</v>
      </c>
      <c r="C115" s="7">
        <v>46127</v>
      </c>
      <c r="D115" s="6">
        <v>3271</v>
      </c>
      <c r="E115" s="6">
        <v>336</v>
      </c>
      <c r="F115" s="21">
        <v>4</v>
      </c>
      <c r="G115" s="15">
        <v>6</v>
      </c>
      <c r="H115" s="15">
        <v>4953</v>
      </c>
      <c r="I115" s="6" t="s">
        <v>543</v>
      </c>
      <c r="J115" s="15">
        <v>14916433</v>
      </c>
      <c r="K115" s="15" t="s">
        <v>677</v>
      </c>
      <c r="L115" s="15" t="s">
        <v>681</v>
      </c>
      <c r="M115" s="20">
        <v>219900</v>
      </c>
      <c r="N115" s="64">
        <v>0.75</v>
      </c>
      <c r="O115" s="12">
        <f t="shared" si="2"/>
        <v>54975</v>
      </c>
      <c r="P115" s="6" t="s">
        <v>3499</v>
      </c>
    </row>
    <row r="116" spans="1:16" x14ac:dyDescent="0.25">
      <c r="A116" s="6" t="s">
        <v>3504</v>
      </c>
      <c r="B116" s="7">
        <v>46121</v>
      </c>
      <c r="C116" s="7">
        <v>46127</v>
      </c>
      <c r="D116" s="6">
        <v>3271</v>
      </c>
      <c r="E116" s="6">
        <v>336</v>
      </c>
      <c r="F116" s="21">
        <v>4</v>
      </c>
      <c r="G116" s="15">
        <v>6</v>
      </c>
      <c r="H116" s="15">
        <v>4953</v>
      </c>
      <c r="I116" s="6" t="s">
        <v>543</v>
      </c>
      <c r="J116" s="15">
        <v>14918299</v>
      </c>
      <c r="K116" s="15" t="s">
        <v>682</v>
      </c>
      <c r="L116" s="15" t="s">
        <v>683</v>
      </c>
      <c r="M116" s="20">
        <v>219900</v>
      </c>
      <c r="N116" s="64">
        <v>0.75</v>
      </c>
      <c r="O116" s="12">
        <f t="shared" si="2"/>
        <v>54975</v>
      </c>
      <c r="P116" s="6" t="s">
        <v>3499</v>
      </c>
    </row>
    <row r="117" spans="1:16" x14ac:dyDescent="0.25">
      <c r="A117" s="6" t="s">
        <v>3504</v>
      </c>
      <c r="B117" s="7">
        <v>46121</v>
      </c>
      <c r="C117" s="7">
        <v>46127</v>
      </c>
      <c r="D117" s="6">
        <v>3271</v>
      </c>
      <c r="E117" s="6">
        <v>336</v>
      </c>
      <c r="F117" s="21">
        <v>4</v>
      </c>
      <c r="G117" s="15">
        <v>6</v>
      </c>
      <c r="H117" s="15">
        <v>4953</v>
      </c>
      <c r="I117" s="6" t="s">
        <v>543</v>
      </c>
      <c r="J117" s="15">
        <v>14918333</v>
      </c>
      <c r="K117" s="15" t="s">
        <v>682</v>
      </c>
      <c r="L117" s="15" t="s">
        <v>684</v>
      </c>
      <c r="M117" s="20">
        <v>219900</v>
      </c>
      <c r="N117" s="64">
        <v>0.75</v>
      </c>
      <c r="O117" s="12">
        <f t="shared" si="2"/>
        <v>54975</v>
      </c>
      <c r="P117" s="6" t="s">
        <v>3499</v>
      </c>
    </row>
    <row r="118" spans="1:16" x14ac:dyDescent="0.25">
      <c r="A118" s="6" t="s">
        <v>3504</v>
      </c>
      <c r="B118" s="7">
        <v>46121</v>
      </c>
      <c r="C118" s="7">
        <v>46127</v>
      </c>
      <c r="D118" s="6">
        <v>3271</v>
      </c>
      <c r="E118" s="6">
        <v>336</v>
      </c>
      <c r="F118" s="21">
        <v>4</v>
      </c>
      <c r="G118" s="15">
        <v>6</v>
      </c>
      <c r="H118" s="15">
        <v>4953</v>
      </c>
      <c r="I118" s="6" t="s">
        <v>543</v>
      </c>
      <c r="J118" s="15">
        <v>14918379</v>
      </c>
      <c r="K118" s="15" t="s">
        <v>682</v>
      </c>
      <c r="L118" s="15" t="s">
        <v>685</v>
      </c>
      <c r="M118" s="20">
        <v>219900</v>
      </c>
      <c r="N118" s="64">
        <v>0.75</v>
      </c>
      <c r="O118" s="12">
        <f t="shared" si="2"/>
        <v>54975</v>
      </c>
      <c r="P118" s="6" t="s">
        <v>3499</v>
      </c>
    </row>
    <row r="119" spans="1:16" x14ac:dyDescent="0.25">
      <c r="A119" s="6" t="s">
        <v>3504</v>
      </c>
      <c r="B119" s="7">
        <v>46121</v>
      </c>
      <c r="C119" s="7">
        <v>46127</v>
      </c>
      <c r="D119" s="6">
        <v>3271</v>
      </c>
      <c r="E119" s="6">
        <v>336</v>
      </c>
      <c r="F119" s="21">
        <v>4</v>
      </c>
      <c r="G119" s="15">
        <v>6</v>
      </c>
      <c r="H119" s="15">
        <v>4953</v>
      </c>
      <c r="I119" s="6" t="s">
        <v>543</v>
      </c>
      <c r="J119" s="15">
        <v>14918413</v>
      </c>
      <c r="K119" s="15" t="s">
        <v>682</v>
      </c>
      <c r="L119" s="15" t="s">
        <v>686</v>
      </c>
      <c r="M119" s="20">
        <v>219900</v>
      </c>
      <c r="N119" s="64">
        <v>0.75</v>
      </c>
      <c r="O119" s="12">
        <f t="shared" si="2"/>
        <v>54975</v>
      </c>
      <c r="P119" s="6" t="s">
        <v>3499</v>
      </c>
    </row>
    <row r="120" spans="1:16" x14ac:dyDescent="0.25">
      <c r="A120" s="6" t="s">
        <v>3504</v>
      </c>
      <c r="B120" s="7">
        <v>46121</v>
      </c>
      <c r="C120" s="7">
        <v>46127</v>
      </c>
      <c r="D120" s="6">
        <v>3271</v>
      </c>
      <c r="E120" s="6">
        <v>336</v>
      </c>
      <c r="F120" s="21">
        <v>4</v>
      </c>
      <c r="G120" s="15">
        <v>6</v>
      </c>
      <c r="H120" s="15">
        <v>4953</v>
      </c>
      <c r="I120" s="6" t="s">
        <v>543</v>
      </c>
      <c r="J120" s="15">
        <v>14918646</v>
      </c>
      <c r="K120" s="15" t="s">
        <v>687</v>
      </c>
      <c r="L120" s="15" t="s">
        <v>688</v>
      </c>
      <c r="M120" s="20">
        <v>219900</v>
      </c>
      <c r="N120" s="64">
        <v>0.75</v>
      </c>
      <c r="O120" s="12">
        <f t="shared" si="2"/>
        <v>54975</v>
      </c>
      <c r="P120" s="6" t="s">
        <v>3499</v>
      </c>
    </row>
    <row r="121" spans="1:16" x14ac:dyDescent="0.25">
      <c r="A121" s="6" t="s">
        <v>3504</v>
      </c>
      <c r="B121" s="7">
        <v>46121</v>
      </c>
      <c r="C121" s="7">
        <v>46127</v>
      </c>
      <c r="D121" s="6">
        <v>3271</v>
      </c>
      <c r="E121" s="6">
        <v>336</v>
      </c>
      <c r="F121" s="21">
        <v>4</v>
      </c>
      <c r="G121" s="15">
        <v>6</v>
      </c>
      <c r="H121" s="15">
        <v>4953</v>
      </c>
      <c r="I121" s="6" t="s">
        <v>543</v>
      </c>
      <c r="J121" s="15">
        <v>14918655</v>
      </c>
      <c r="K121" s="15" t="s">
        <v>687</v>
      </c>
      <c r="L121" s="15" t="s">
        <v>689</v>
      </c>
      <c r="M121" s="20">
        <v>219900</v>
      </c>
      <c r="N121" s="64">
        <v>0.75</v>
      </c>
      <c r="O121" s="12">
        <f t="shared" si="2"/>
        <v>54975</v>
      </c>
      <c r="P121" s="6" t="s">
        <v>3499</v>
      </c>
    </row>
    <row r="122" spans="1:16" x14ac:dyDescent="0.25">
      <c r="A122" s="6" t="s">
        <v>3504</v>
      </c>
      <c r="B122" s="7">
        <v>46121</v>
      </c>
      <c r="C122" s="7">
        <v>46127</v>
      </c>
      <c r="D122" s="6">
        <v>3271</v>
      </c>
      <c r="E122" s="6">
        <v>336</v>
      </c>
      <c r="F122" s="21">
        <v>4</v>
      </c>
      <c r="G122" s="15">
        <v>6</v>
      </c>
      <c r="H122" s="15">
        <v>4953</v>
      </c>
      <c r="I122" s="6" t="s">
        <v>543</v>
      </c>
      <c r="J122" s="15">
        <v>14918664</v>
      </c>
      <c r="K122" s="15" t="s">
        <v>687</v>
      </c>
      <c r="L122" s="15" t="s">
        <v>690</v>
      </c>
      <c r="M122" s="20">
        <v>219900</v>
      </c>
      <c r="N122" s="64">
        <v>0.75</v>
      </c>
      <c r="O122" s="12">
        <f t="shared" si="2"/>
        <v>54975</v>
      </c>
      <c r="P122" s="6" t="s">
        <v>3499</v>
      </c>
    </row>
    <row r="123" spans="1:16" x14ac:dyDescent="0.25">
      <c r="A123" s="6" t="s">
        <v>3504</v>
      </c>
      <c r="B123" s="7">
        <v>46121</v>
      </c>
      <c r="C123" s="7">
        <v>46127</v>
      </c>
      <c r="D123" s="6">
        <v>3271</v>
      </c>
      <c r="E123" s="6">
        <v>336</v>
      </c>
      <c r="F123" s="21">
        <v>4</v>
      </c>
      <c r="G123" s="15">
        <v>6</v>
      </c>
      <c r="H123" s="15">
        <v>4953</v>
      </c>
      <c r="I123" s="6" t="s">
        <v>543</v>
      </c>
      <c r="J123" s="15">
        <v>14918673</v>
      </c>
      <c r="K123" s="15" t="s">
        <v>687</v>
      </c>
      <c r="L123" s="15" t="s">
        <v>691</v>
      </c>
      <c r="M123" s="20">
        <v>219900</v>
      </c>
      <c r="N123" s="64">
        <v>0.75</v>
      </c>
      <c r="O123" s="12">
        <f t="shared" si="2"/>
        <v>54975</v>
      </c>
      <c r="P123" s="6" t="s">
        <v>3499</v>
      </c>
    </row>
    <row r="124" spans="1:16" x14ac:dyDescent="0.25">
      <c r="A124" s="6" t="s">
        <v>3504</v>
      </c>
      <c r="B124" s="7">
        <v>46121</v>
      </c>
      <c r="C124" s="7">
        <v>46127</v>
      </c>
      <c r="D124" s="6">
        <v>3271</v>
      </c>
      <c r="E124" s="6">
        <v>336</v>
      </c>
      <c r="F124" s="21">
        <v>4</v>
      </c>
      <c r="G124" s="15">
        <v>6</v>
      </c>
      <c r="H124" s="15">
        <v>4953</v>
      </c>
      <c r="I124" s="6" t="s">
        <v>543</v>
      </c>
      <c r="J124" s="15">
        <v>14918682</v>
      </c>
      <c r="K124" s="15" t="s">
        <v>692</v>
      </c>
      <c r="L124" s="15" t="s">
        <v>693</v>
      </c>
      <c r="M124" s="20">
        <v>219900</v>
      </c>
      <c r="N124" s="64">
        <v>0.75</v>
      </c>
      <c r="O124" s="12">
        <f t="shared" si="2"/>
        <v>54975</v>
      </c>
      <c r="P124" s="6" t="s">
        <v>3499</v>
      </c>
    </row>
    <row r="125" spans="1:16" x14ac:dyDescent="0.25">
      <c r="A125" s="6" t="s">
        <v>3504</v>
      </c>
      <c r="B125" s="7">
        <v>46121</v>
      </c>
      <c r="C125" s="7">
        <v>46127</v>
      </c>
      <c r="D125" s="6">
        <v>3271</v>
      </c>
      <c r="E125" s="6">
        <v>336</v>
      </c>
      <c r="F125" s="21">
        <v>4</v>
      </c>
      <c r="G125" s="15">
        <v>6</v>
      </c>
      <c r="H125" s="15">
        <v>4953</v>
      </c>
      <c r="I125" s="6" t="s">
        <v>543</v>
      </c>
      <c r="J125" s="15">
        <v>14918691</v>
      </c>
      <c r="K125" s="15" t="s">
        <v>692</v>
      </c>
      <c r="L125" s="15" t="s">
        <v>694</v>
      </c>
      <c r="M125" s="20">
        <v>219900</v>
      </c>
      <c r="N125" s="64">
        <v>0.75</v>
      </c>
      <c r="O125" s="12">
        <f t="shared" si="2"/>
        <v>54975</v>
      </c>
      <c r="P125" s="6" t="s">
        <v>3499</v>
      </c>
    </row>
    <row r="126" spans="1:16" x14ac:dyDescent="0.25">
      <c r="A126" s="6" t="s">
        <v>3504</v>
      </c>
      <c r="B126" s="7">
        <v>46121</v>
      </c>
      <c r="C126" s="7">
        <v>46127</v>
      </c>
      <c r="D126" s="6">
        <v>3271</v>
      </c>
      <c r="E126" s="6">
        <v>336</v>
      </c>
      <c r="F126" s="21">
        <v>4</v>
      </c>
      <c r="G126" s="15">
        <v>6</v>
      </c>
      <c r="H126" s="15">
        <v>4953</v>
      </c>
      <c r="I126" s="6" t="s">
        <v>543</v>
      </c>
      <c r="J126" s="15">
        <v>14918708</v>
      </c>
      <c r="K126" s="15" t="s">
        <v>692</v>
      </c>
      <c r="L126" s="15" t="s">
        <v>695</v>
      </c>
      <c r="M126" s="20">
        <v>219900</v>
      </c>
      <c r="N126" s="64">
        <v>0.75</v>
      </c>
      <c r="O126" s="12">
        <f t="shared" si="2"/>
        <v>54975</v>
      </c>
      <c r="P126" s="6" t="s">
        <v>3499</v>
      </c>
    </row>
    <row r="127" spans="1:16" x14ac:dyDescent="0.25">
      <c r="A127" s="6" t="s">
        <v>3504</v>
      </c>
      <c r="B127" s="7">
        <v>46121</v>
      </c>
      <c r="C127" s="7">
        <v>46127</v>
      </c>
      <c r="D127" s="6">
        <v>3271</v>
      </c>
      <c r="E127" s="6">
        <v>336</v>
      </c>
      <c r="F127" s="21">
        <v>4</v>
      </c>
      <c r="G127" s="15">
        <v>6</v>
      </c>
      <c r="H127" s="15">
        <v>4953</v>
      </c>
      <c r="I127" s="6" t="s">
        <v>543</v>
      </c>
      <c r="J127" s="15">
        <v>14918717</v>
      </c>
      <c r="K127" s="15" t="s">
        <v>692</v>
      </c>
      <c r="L127" s="15" t="s">
        <v>696</v>
      </c>
      <c r="M127" s="20">
        <v>219900</v>
      </c>
      <c r="N127" s="64">
        <v>0.75</v>
      </c>
      <c r="O127" s="12">
        <f t="shared" si="2"/>
        <v>54975</v>
      </c>
      <c r="P127" s="6" t="s">
        <v>3499</v>
      </c>
    </row>
    <row r="128" spans="1:16" x14ac:dyDescent="0.25">
      <c r="A128" s="6" t="s">
        <v>3504</v>
      </c>
      <c r="B128" s="7">
        <v>46121</v>
      </c>
      <c r="C128" s="7">
        <v>46127</v>
      </c>
      <c r="D128" s="6">
        <v>3271</v>
      </c>
      <c r="E128" s="6">
        <v>336</v>
      </c>
      <c r="F128" s="21">
        <v>4</v>
      </c>
      <c r="G128" s="15">
        <v>6</v>
      </c>
      <c r="H128" s="15">
        <v>4953</v>
      </c>
      <c r="I128" s="6" t="s">
        <v>543</v>
      </c>
      <c r="J128" s="15">
        <v>14918726</v>
      </c>
      <c r="K128" s="15" t="s">
        <v>697</v>
      </c>
      <c r="L128" s="15" t="s">
        <v>698</v>
      </c>
      <c r="M128" s="20">
        <v>219900</v>
      </c>
      <c r="N128" s="64">
        <v>0.75</v>
      </c>
      <c r="O128" s="12">
        <f t="shared" si="2"/>
        <v>54975</v>
      </c>
      <c r="P128" s="6" t="s">
        <v>3499</v>
      </c>
    </row>
    <row r="129" spans="1:16" x14ac:dyDescent="0.25">
      <c r="A129" s="6" t="s">
        <v>3504</v>
      </c>
      <c r="B129" s="7">
        <v>46121</v>
      </c>
      <c r="C129" s="7">
        <v>46127</v>
      </c>
      <c r="D129" s="6">
        <v>3271</v>
      </c>
      <c r="E129" s="6">
        <v>336</v>
      </c>
      <c r="F129" s="21">
        <v>4</v>
      </c>
      <c r="G129" s="15">
        <v>6</v>
      </c>
      <c r="H129" s="15">
        <v>4953</v>
      </c>
      <c r="I129" s="6" t="s">
        <v>543</v>
      </c>
      <c r="J129" s="15">
        <v>14918735</v>
      </c>
      <c r="K129" s="15" t="s">
        <v>697</v>
      </c>
      <c r="L129" s="15" t="s">
        <v>699</v>
      </c>
      <c r="M129" s="20">
        <v>219900</v>
      </c>
      <c r="N129" s="64">
        <v>0.75</v>
      </c>
      <c r="O129" s="12">
        <f t="shared" si="2"/>
        <v>54975</v>
      </c>
      <c r="P129" s="6" t="s">
        <v>3499</v>
      </c>
    </row>
    <row r="130" spans="1:16" x14ac:dyDescent="0.25">
      <c r="A130" s="6" t="s">
        <v>3504</v>
      </c>
      <c r="B130" s="7">
        <v>46121</v>
      </c>
      <c r="C130" s="7">
        <v>46127</v>
      </c>
      <c r="D130" s="6">
        <v>3271</v>
      </c>
      <c r="E130" s="6">
        <v>336</v>
      </c>
      <c r="F130" s="21">
        <v>4</v>
      </c>
      <c r="G130" s="15">
        <v>6</v>
      </c>
      <c r="H130" s="15">
        <v>4953</v>
      </c>
      <c r="I130" s="6" t="s">
        <v>543</v>
      </c>
      <c r="J130" s="15">
        <v>14918744</v>
      </c>
      <c r="K130" s="15" t="s">
        <v>697</v>
      </c>
      <c r="L130" s="15" t="s">
        <v>700</v>
      </c>
      <c r="M130" s="20">
        <v>219900</v>
      </c>
      <c r="N130" s="64">
        <v>0.75</v>
      </c>
      <c r="O130" s="12">
        <f t="shared" si="2"/>
        <v>54975</v>
      </c>
      <c r="P130" s="6" t="s">
        <v>3499</v>
      </c>
    </row>
    <row r="131" spans="1:16" x14ac:dyDescent="0.25">
      <c r="A131" s="6" t="s">
        <v>3504</v>
      </c>
      <c r="B131" s="7">
        <v>46121</v>
      </c>
      <c r="C131" s="7">
        <v>46127</v>
      </c>
      <c r="D131" s="6">
        <v>3271</v>
      </c>
      <c r="E131" s="6">
        <v>336</v>
      </c>
      <c r="F131" s="21">
        <v>4</v>
      </c>
      <c r="G131" s="15">
        <v>6</v>
      </c>
      <c r="H131" s="15">
        <v>4953</v>
      </c>
      <c r="I131" s="6" t="s">
        <v>543</v>
      </c>
      <c r="J131" s="15">
        <v>14918753</v>
      </c>
      <c r="K131" s="15" t="s">
        <v>697</v>
      </c>
      <c r="L131" s="15" t="s">
        <v>701</v>
      </c>
      <c r="M131" s="20">
        <v>219900</v>
      </c>
      <c r="N131" s="64">
        <v>0.75</v>
      </c>
      <c r="O131" s="12">
        <f t="shared" ref="O131:O194" si="3">M131-((75*M131)/100)</f>
        <v>54975</v>
      </c>
      <c r="P131" s="6" t="s">
        <v>3499</v>
      </c>
    </row>
    <row r="132" spans="1:16" x14ac:dyDescent="0.25">
      <c r="A132" s="6" t="s">
        <v>3504</v>
      </c>
      <c r="B132" s="7">
        <v>46121</v>
      </c>
      <c r="C132" s="7">
        <v>46127</v>
      </c>
      <c r="D132" s="6">
        <v>3271</v>
      </c>
      <c r="E132" s="6">
        <v>336</v>
      </c>
      <c r="F132" s="21">
        <v>4</v>
      </c>
      <c r="G132" s="15">
        <v>6</v>
      </c>
      <c r="H132" s="15">
        <v>4953</v>
      </c>
      <c r="I132" s="6" t="s">
        <v>543</v>
      </c>
      <c r="J132" s="15">
        <v>14918762</v>
      </c>
      <c r="K132" s="15" t="s">
        <v>702</v>
      </c>
      <c r="L132" s="15" t="s">
        <v>703</v>
      </c>
      <c r="M132" s="20">
        <v>219900</v>
      </c>
      <c r="N132" s="64">
        <v>0.75</v>
      </c>
      <c r="O132" s="12">
        <f t="shared" si="3"/>
        <v>54975</v>
      </c>
      <c r="P132" s="6" t="s">
        <v>3499</v>
      </c>
    </row>
    <row r="133" spans="1:16" x14ac:dyDescent="0.25">
      <c r="A133" s="6" t="s">
        <v>3504</v>
      </c>
      <c r="B133" s="7">
        <v>46121</v>
      </c>
      <c r="C133" s="7">
        <v>46127</v>
      </c>
      <c r="D133" s="6">
        <v>3271</v>
      </c>
      <c r="E133" s="6">
        <v>336</v>
      </c>
      <c r="F133" s="21">
        <v>4</v>
      </c>
      <c r="G133" s="15">
        <v>6</v>
      </c>
      <c r="H133" s="15">
        <v>4953</v>
      </c>
      <c r="I133" s="6" t="s">
        <v>543</v>
      </c>
      <c r="J133" s="15">
        <v>14918771</v>
      </c>
      <c r="K133" s="15" t="s">
        <v>702</v>
      </c>
      <c r="L133" s="15" t="s">
        <v>704</v>
      </c>
      <c r="M133" s="20">
        <v>219900</v>
      </c>
      <c r="N133" s="64">
        <v>0.75</v>
      </c>
      <c r="O133" s="12">
        <f t="shared" si="3"/>
        <v>54975</v>
      </c>
      <c r="P133" s="6" t="s">
        <v>3499</v>
      </c>
    </row>
    <row r="134" spans="1:16" x14ac:dyDescent="0.25">
      <c r="A134" s="6" t="s">
        <v>3504</v>
      </c>
      <c r="B134" s="7">
        <v>46121</v>
      </c>
      <c r="C134" s="7">
        <v>46127</v>
      </c>
      <c r="D134" s="6">
        <v>3271</v>
      </c>
      <c r="E134" s="6">
        <v>336</v>
      </c>
      <c r="F134" s="21">
        <v>4</v>
      </c>
      <c r="G134" s="15">
        <v>6</v>
      </c>
      <c r="H134" s="15">
        <v>4953</v>
      </c>
      <c r="I134" s="6" t="s">
        <v>543</v>
      </c>
      <c r="J134" s="15">
        <v>14918780</v>
      </c>
      <c r="K134" s="15" t="s">
        <v>702</v>
      </c>
      <c r="L134" s="15" t="s">
        <v>705</v>
      </c>
      <c r="M134" s="20">
        <v>219900</v>
      </c>
      <c r="N134" s="64">
        <v>0.75</v>
      </c>
      <c r="O134" s="12">
        <f t="shared" si="3"/>
        <v>54975</v>
      </c>
      <c r="P134" s="6" t="s">
        <v>3499</v>
      </c>
    </row>
    <row r="135" spans="1:16" x14ac:dyDescent="0.25">
      <c r="A135" s="6" t="s">
        <v>3504</v>
      </c>
      <c r="B135" s="7">
        <v>46121</v>
      </c>
      <c r="C135" s="7">
        <v>46127</v>
      </c>
      <c r="D135" s="6">
        <v>3271</v>
      </c>
      <c r="E135" s="6">
        <v>336</v>
      </c>
      <c r="F135" s="21">
        <v>4</v>
      </c>
      <c r="G135" s="15">
        <v>6</v>
      </c>
      <c r="H135" s="15">
        <v>4953</v>
      </c>
      <c r="I135" s="6" t="s">
        <v>543</v>
      </c>
      <c r="J135" s="15">
        <v>14918799</v>
      </c>
      <c r="K135" s="15" t="s">
        <v>702</v>
      </c>
      <c r="L135" s="15" t="s">
        <v>706</v>
      </c>
      <c r="M135" s="20">
        <v>219900</v>
      </c>
      <c r="N135" s="64">
        <v>0.75</v>
      </c>
      <c r="O135" s="12">
        <f t="shared" si="3"/>
        <v>54975</v>
      </c>
      <c r="P135" s="6" t="s">
        <v>3499</v>
      </c>
    </row>
    <row r="136" spans="1:16" x14ac:dyDescent="0.25">
      <c r="A136" s="6" t="s">
        <v>3504</v>
      </c>
      <c r="B136" s="7">
        <v>46121</v>
      </c>
      <c r="C136" s="7">
        <v>46127</v>
      </c>
      <c r="D136" s="6">
        <v>3271</v>
      </c>
      <c r="E136" s="6">
        <v>336</v>
      </c>
      <c r="F136" s="21">
        <v>4</v>
      </c>
      <c r="G136" s="15">
        <v>6</v>
      </c>
      <c r="H136" s="15">
        <v>4953</v>
      </c>
      <c r="I136" s="6" t="s">
        <v>543</v>
      </c>
      <c r="J136" s="15">
        <v>14918806</v>
      </c>
      <c r="K136" s="15" t="s">
        <v>707</v>
      </c>
      <c r="L136" s="15" t="s">
        <v>708</v>
      </c>
      <c r="M136" s="20">
        <v>219900</v>
      </c>
      <c r="N136" s="64">
        <v>0.75</v>
      </c>
      <c r="O136" s="12">
        <f t="shared" si="3"/>
        <v>54975</v>
      </c>
      <c r="P136" s="6" t="s">
        <v>3499</v>
      </c>
    </row>
    <row r="137" spans="1:16" x14ac:dyDescent="0.25">
      <c r="A137" s="6" t="s">
        <v>3504</v>
      </c>
      <c r="B137" s="7">
        <v>46121</v>
      </c>
      <c r="C137" s="7">
        <v>46127</v>
      </c>
      <c r="D137" s="6">
        <v>3271</v>
      </c>
      <c r="E137" s="6">
        <v>336</v>
      </c>
      <c r="F137" s="21">
        <v>4</v>
      </c>
      <c r="G137" s="15">
        <v>6</v>
      </c>
      <c r="H137" s="15">
        <v>4953</v>
      </c>
      <c r="I137" s="6" t="s">
        <v>543</v>
      </c>
      <c r="J137" s="15">
        <v>14918815</v>
      </c>
      <c r="K137" s="15" t="s">
        <v>707</v>
      </c>
      <c r="L137" s="15" t="s">
        <v>709</v>
      </c>
      <c r="M137" s="20">
        <v>219900</v>
      </c>
      <c r="N137" s="64">
        <v>0.75</v>
      </c>
      <c r="O137" s="12">
        <f t="shared" si="3"/>
        <v>54975</v>
      </c>
      <c r="P137" s="6" t="s">
        <v>3499</v>
      </c>
    </row>
    <row r="138" spans="1:16" x14ac:dyDescent="0.25">
      <c r="A138" s="6" t="s">
        <v>3504</v>
      </c>
      <c r="B138" s="7">
        <v>46121</v>
      </c>
      <c r="C138" s="7">
        <v>46127</v>
      </c>
      <c r="D138" s="6">
        <v>3271</v>
      </c>
      <c r="E138" s="6">
        <v>336</v>
      </c>
      <c r="F138" s="21">
        <v>4</v>
      </c>
      <c r="G138" s="15">
        <v>6</v>
      </c>
      <c r="H138" s="15">
        <v>4953</v>
      </c>
      <c r="I138" s="6" t="s">
        <v>543</v>
      </c>
      <c r="J138" s="15">
        <v>14918824</v>
      </c>
      <c r="K138" s="15" t="s">
        <v>707</v>
      </c>
      <c r="L138" s="15" t="s">
        <v>710</v>
      </c>
      <c r="M138" s="20">
        <v>219900</v>
      </c>
      <c r="N138" s="64">
        <v>0.75</v>
      </c>
      <c r="O138" s="12">
        <f t="shared" si="3"/>
        <v>54975</v>
      </c>
      <c r="P138" s="6" t="s">
        <v>3499</v>
      </c>
    </row>
    <row r="139" spans="1:16" x14ac:dyDescent="0.25">
      <c r="A139" s="6" t="s">
        <v>3504</v>
      </c>
      <c r="B139" s="7">
        <v>46121</v>
      </c>
      <c r="C139" s="7">
        <v>46127</v>
      </c>
      <c r="D139" s="6">
        <v>3271</v>
      </c>
      <c r="E139" s="6">
        <v>336</v>
      </c>
      <c r="F139" s="21">
        <v>4</v>
      </c>
      <c r="G139" s="15">
        <v>6</v>
      </c>
      <c r="H139" s="15">
        <v>4953</v>
      </c>
      <c r="I139" s="6" t="s">
        <v>543</v>
      </c>
      <c r="J139" s="15">
        <v>14918833</v>
      </c>
      <c r="K139" s="15" t="s">
        <v>707</v>
      </c>
      <c r="L139" s="15" t="s">
        <v>711</v>
      </c>
      <c r="M139" s="20">
        <v>219900</v>
      </c>
      <c r="N139" s="64">
        <v>0.75</v>
      </c>
      <c r="O139" s="12">
        <f t="shared" si="3"/>
        <v>54975</v>
      </c>
      <c r="P139" s="6" t="s">
        <v>3499</v>
      </c>
    </row>
    <row r="140" spans="1:16" x14ac:dyDescent="0.25">
      <c r="A140" s="6" t="s">
        <v>3504</v>
      </c>
      <c r="B140" s="7">
        <v>46121</v>
      </c>
      <c r="C140" s="7">
        <v>46127</v>
      </c>
      <c r="D140" s="6">
        <v>3271</v>
      </c>
      <c r="E140" s="6">
        <v>336</v>
      </c>
      <c r="F140" s="21">
        <v>4</v>
      </c>
      <c r="G140" s="15">
        <v>6</v>
      </c>
      <c r="H140" s="15">
        <v>4953</v>
      </c>
      <c r="I140" s="6" t="s">
        <v>543</v>
      </c>
      <c r="J140" s="15">
        <v>14918842</v>
      </c>
      <c r="K140" s="15" t="s">
        <v>712</v>
      </c>
      <c r="L140" s="15" t="s">
        <v>713</v>
      </c>
      <c r="M140" s="20">
        <v>219900</v>
      </c>
      <c r="N140" s="64">
        <v>0.75</v>
      </c>
      <c r="O140" s="12">
        <f t="shared" si="3"/>
        <v>54975</v>
      </c>
      <c r="P140" s="6" t="s">
        <v>3499</v>
      </c>
    </row>
    <row r="141" spans="1:16" x14ac:dyDescent="0.25">
      <c r="A141" s="6" t="s">
        <v>3504</v>
      </c>
      <c r="B141" s="7">
        <v>46121</v>
      </c>
      <c r="C141" s="7">
        <v>46127</v>
      </c>
      <c r="D141" s="6">
        <v>3271</v>
      </c>
      <c r="E141" s="6">
        <v>336</v>
      </c>
      <c r="F141" s="21">
        <v>4</v>
      </c>
      <c r="G141" s="15">
        <v>6</v>
      </c>
      <c r="H141" s="15">
        <v>4953</v>
      </c>
      <c r="I141" s="6" t="s">
        <v>543</v>
      </c>
      <c r="J141" s="15">
        <v>14918851</v>
      </c>
      <c r="K141" s="15" t="s">
        <v>712</v>
      </c>
      <c r="L141" s="15" t="s">
        <v>714</v>
      </c>
      <c r="M141" s="20">
        <v>219900</v>
      </c>
      <c r="N141" s="64">
        <v>0.75</v>
      </c>
      <c r="O141" s="12">
        <f t="shared" si="3"/>
        <v>54975</v>
      </c>
      <c r="P141" s="6" t="s">
        <v>3499</v>
      </c>
    </row>
    <row r="142" spans="1:16" x14ac:dyDescent="0.25">
      <c r="A142" s="6" t="s">
        <v>3504</v>
      </c>
      <c r="B142" s="7">
        <v>46121</v>
      </c>
      <c r="C142" s="7">
        <v>46127</v>
      </c>
      <c r="D142" s="6">
        <v>3271</v>
      </c>
      <c r="E142" s="6">
        <v>336</v>
      </c>
      <c r="F142" s="21">
        <v>4</v>
      </c>
      <c r="G142" s="15">
        <v>6</v>
      </c>
      <c r="H142" s="15">
        <v>4953</v>
      </c>
      <c r="I142" s="6" t="s">
        <v>543</v>
      </c>
      <c r="J142" s="15">
        <v>14918860</v>
      </c>
      <c r="K142" s="15" t="s">
        <v>712</v>
      </c>
      <c r="L142" s="15" t="s">
        <v>715</v>
      </c>
      <c r="M142" s="20">
        <v>219900</v>
      </c>
      <c r="N142" s="64">
        <v>0.75</v>
      </c>
      <c r="O142" s="12">
        <f t="shared" si="3"/>
        <v>54975</v>
      </c>
      <c r="P142" s="6" t="s">
        <v>3499</v>
      </c>
    </row>
    <row r="143" spans="1:16" x14ac:dyDescent="0.25">
      <c r="A143" s="6" t="s">
        <v>3504</v>
      </c>
      <c r="B143" s="7">
        <v>46121</v>
      </c>
      <c r="C143" s="7">
        <v>46127</v>
      </c>
      <c r="D143" s="6">
        <v>3271</v>
      </c>
      <c r="E143" s="6">
        <v>336</v>
      </c>
      <c r="F143" s="21">
        <v>4</v>
      </c>
      <c r="G143" s="15">
        <v>6</v>
      </c>
      <c r="H143" s="15">
        <v>4953</v>
      </c>
      <c r="I143" s="6" t="s">
        <v>543</v>
      </c>
      <c r="J143" s="15">
        <v>14918879</v>
      </c>
      <c r="K143" s="15" t="s">
        <v>712</v>
      </c>
      <c r="L143" s="15" t="s">
        <v>716</v>
      </c>
      <c r="M143" s="20">
        <v>219900</v>
      </c>
      <c r="N143" s="64">
        <v>0.75</v>
      </c>
      <c r="O143" s="12">
        <f t="shared" si="3"/>
        <v>54975</v>
      </c>
      <c r="P143" s="6" t="s">
        <v>3499</v>
      </c>
    </row>
    <row r="144" spans="1:16" x14ac:dyDescent="0.25">
      <c r="A144" s="6" t="s">
        <v>3504</v>
      </c>
      <c r="B144" s="7">
        <v>46121</v>
      </c>
      <c r="C144" s="7">
        <v>46127</v>
      </c>
      <c r="D144" s="6">
        <v>3271</v>
      </c>
      <c r="E144" s="6">
        <v>336</v>
      </c>
      <c r="F144" s="21">
        <v>4</v>
      </c>
      <c r="G144" s="15">
        <v>6</v>
      </c>
      <c r="H144" s="15">
        <v>4953</v>
      </c>
      <c r="I144" s="6" t="s">
        <v>543</v>
      </c>
      <c r="J144" s="15">
        <v>14918888</v>
      </c>
      <c r="K144" s="15" t="s">
        <v>717</v>
      </c>
      <c r="L144" s="15" t="s">
        <v>718</v>
      </c>
      <c r="M144" s="20">
        <v>219900</v>
      </c>
      <c r="N144" s="64">
        <v>0.75</v>
      </c>
      <c r="O144" s="12">
        <f t="shared" si="3"/>
        <v>54975</v>
      </c>
      <c r="P144" s="6" t="s">
        <v>3499</v>
      </c>
    </row>
    <row r="145" spans="1:16" x14ac:dyDescent="0.25">
      <c r="A145" s="6" t="s">
        <v>3504</v>
      </c>
      <c r="B145" s="7">
        <v>46121</v>
      </c>
      <c r="C145" s="7">
        <v>46127</v>
      </c>
      <c r="D145" s="6">
        <v>3271</v>
      </c>
      <c r="E145" s="6">
        <v>336</v>
      </c>
      <c r="F145" s="21">
        <v>4</v>
      </c>
      <c r="G145" s="15">
        <v>6</v>
      </c>
      <c r="H145" s="15">
        <v>4953</v>
      </c>
      <c r="I145" s="6" t="s">
        <v>543</v>
      </c>
      <c r="J145" s="15">
        <v>14918897</v>
      </c>
      <c r="K145" s="15" t="s">
        <v>717</v>
      </c>
      <c r="L145" s="15" t="s">
        <v>719</v>
      </c>
      <c r="M145" s="20">
        <v>219900</v>
      </c>
      <c r="N145" s="64">
        <v>0.75</v>
      </c>
      <c r="O145" s="12">
        <f t="shared" si="3"/>
        <v>54975</v>
      </c>
      <c r="P145" s="6" t="s">
        <v>3499</v>
      </c>
    </row>
    <row r="146" spans="1:16" x14ac:dyDescent="0.25">
      <c r="A146" s="6" t="s">
        <v>3504</v>
      </c>
      <c r="B146" s="7">
        <v>46121</v>
      </c>
      <c r="C146" s="7">
        <v>46127</v>
      </c>
      <c r="D146" s="6">
        <v>3271</v>
      </c>
      <c r="E146" s="6">
        <v>336</v>
      </c>
      <c r="F146" s="21">
        <v>4</v>
      </c>
      <c r="G146" s="15">
        <v>6</v>
      </c>
      <c r="H146" s="15">
        <v>4953</v>
      </c>
      <c r="I146" s="6" t="s">
        <v>543</v>
      </c>
      <c r="J146" s="15">
        <v>14918904</v>
      </c>
      <c r="K146" s="15" t="s">
        <v>717</v>
      </c>
      <c r="L146" s="15" t="s">
        <v>720</v>
      </c>
      <c r="M146" s="20">
        <v>219900</v>
      </c>
      <c r="N146" s="64">
        <v>0.75</v>
      </c>
      <c r="O146" s="12">
        <f t="shared" si="3"/>
        <v>54975</v>
      </c>
      <c r="P146" s="6" t="s">
        <v>3499</v>
      </c>
    </row>
    <row r="147" spans="1:16" x14ac:dyDescent="0.25">
      <c r="A147" s="6" t="s">
        <v>3504</v>
      </c>
      <c r="B147" s="7">
        <v>46121</v>
      </c>
      <c r="C147" s="7">
        <v>46127</v>
      </c>
      <c r="D147" s="6">
        <v>3271</v>
      </c>
      <c r="E147" s="6">
        <v>336</v>
      </c>
      <c r="F147" s="21">
        <v>4</v>
      </c>
      <c r="G147" s="15">
        <v>6</v>
      </c>
      <c r="H147" s="15">
        <v>4953</v>
      </c>
      <c r="I147" s="6" t="s">
        <v>543</v>
      </c>
      <c r="J147" s="15">
        <v>14918913</v>
      </c>
      <c r="K147" s="15" t="s">
        <v>717</v>
      </c>
      <c r="L147" s="15" t="s">
        <v>721</v>
      </c>
      <c r="M147" s="20">
        <v>219900</v>
      </c>
      <c r="N147" s="64">
        <v>0.75</v>
      </c>
      <c r="O147" s="12">
        <f t="shared" si="3"/>
        <v>54975</v>
      </c>
      <c r="P147" s="6" t="s">
        <v>3499</v>
      </c>
    </row>
    <row r="148" spans="1:16" x14ac:dyDescent="0.25">
      <c r="A148" s="6" t="s">
        <v>3504</v>
      </c>
      <c r="B148" s="7">
        <v>46121</v>
      </c>
      <c r="C148" s="7">
        <v>46127</v>
      </c>
      <c r="D148" s="6">
        <v>3271</v>
      </c>
      <c r="E148" s="6">
        <v>336</v>
      </c>
      <c r="F148" s="21">
        <v>4</v>
      </c>
      <c r="G148" s="15">
        <v>6</v>
      </c>
      <c r="H148" s="15">
        <v>4953</v>
      </c>
      <c r="I148" s="6" t="s">
        <v>543</v>
      </c>
      <c r="J148" s="15">
        <v>14918922</v>
      </c>
      <c r="K148" s="15" t="s">
        <v>722</v>
      </c>
      <c r="L148" s="15" t="s">
        <v>723</v>
      </c>
      <c r="M148" s="20">
        <v>219900</v>
      </c>
      <c r="N148" s="64">
        <v>0.75</v>
      </c>
      <c r="O148" s="12">
        <f t="shared" si="3"/>
        <v>54975</v>
      </c>
      <c r="P148" s="6" t="s">
        <v>3499</v>
      </c>
    </row>
    <row r="149" spans="1:16" x14ac:dyDescent="0.25">
      <c r="A149" s="6" t="s">
        <v>3504</v>
      </c>
      <c r="B149" s="7">
        <v>46121</v>
      </c>
      <c r="C149" s="7">
        <v>46127</v>
      </c>
      <c r="D149" s="6">
        <v>3271</v>
      </c>
      <c r="E149" s="6">
        <v>336</v>
      </c>
      <c r="F149" s="21">
        <v>4</v>
      </c>
      <c r="G149" s="15">
        <v>6</v>
      </c>
      <c r="H149" s="15">
        <v>4953</v>
      </c>
      <c r="I149" s="6" t="s">
        <v>543</v>
      </c>
      <c r="J149" s="15">
        <v>14918931</v>
      </c>
      <c r="K149" s="15" t="s">
        <v>722</v>
      </c>
      <c r="L149" s="15" t="s">
        <v>724</v>
      </c>
      <c r="M149" s="20">
        <v>219900</v>
      </c>
      <c r="N149" s="64">
        <v>0.75</v>
      </c>
      <c r="O149" s="12">
        <f t="shared" si="3"/>
        <v>54975</v>
      </c>
      <c r="P149" s="6" t="s">
        <v>3499</v>
      </c>
    </row>
    <row r="150" spans="1:16" x14ac:dyDescent="0.25">
      <c r="A150" s="6" t="s">
        <v>3504</v>
      </c>
      <c r="B150" s="7">
        <v>46121</v>
      </c>
      <c r="C150" s="7">
        <v>46127</v>
      </c>
      <c r="D150" s="6">
        <v>3271</v>
      </c>
      <c r="E150" s="6">
        <v>336</v>
      </c>
      <c r="F150" s="21">
        <v>4</v>
      </c>
      <c r="G150" s="15">
        <v>6</v>
      </c>
      <c r="H150" s="15">
        <v>4953</v>
      </c>
      <c r="I150" s="6" t="s">
        <v>543</v>
      </c>
      <c r="J150" s="15">
        <v>14918940</v>
      </c>
      <c r="K150" s="15" t="s">
        <v>722</v>
      </c>
      <c r="L150" s="15" t="s">
        <v>725</v>
      </c>
      <c r="M150" s="20">
        <v>219900</v>
      </c>
      <c r="N150" s="64">
        <v>0.75</v>
      </c>
      <c r="O150" s="12">
        <f t="shared" si="3"/>
        <v>54975</v>
      </c>
      <c r="P150" s="6" t="s">
        <v>3499</v>
      </c>
    </row>
    <row r="151" spans="1:16" x14ac:dyDescent="0.25">
      <c r="A151" s="6" t="s">
        <v>3504</v>
      </c>
      <c r="B151" s="7">
        <v>46121</v>
      </c>
      <c r="C151" s="7">
        <v>46127</v>
      </c>
      <c r="D151" s="6">
        <v>3271</v>
      </c>
      <c r="E151" s="6">
        <v>336</v>
      </c>
      <c r="F151" s="21">
        <v>4</v>
      </c>
      <c r="G151" s="15">
        <v>6</v>
      </c>
      <c r="H151" s="15">
        <v>4953</v>
      </c>
      <c r="I151" s="6" t="s">
        <v>543</v>
      </c>
      <c r="J151" s="15">
        <v>14918959</v>
      </c>
      <c r="K151" s="15" t="s">
        <v>722</v>
      </c>
      <c r="L151" s="15" t="s">
        <v>726</v>
      </c>
      <c r="M151" s="20">
        <v>219900</v>
      </c>
      <c r="N151" s="64">
        <v>0.75</v>
      </c>
      <c r="O151" s="12">
        <f t="shared" si="3"/>
        <v>54975</v>
      </c>
      <c r="P151" s="6" t="s">
        <v>3499</v>
      </c>
    </row>
    <row r="152" spans="1:16" x14ac:dyDescent="0.25">
      <c r="A152" s="6" t="s">
        <v>3504</v>
      </c>
      <c r="B152" s="7">
        <v>46121</v>
      </c>
      <c r="C152" s="7">
        <v>46127</v>
      </c>
      <c r="D152" s="6">
        <v>3271</v>
      </c>
      <c r="E152" s="6">
        <v>336</v>
      </c>
      <c r="F152" s="21">
        <v>4</v>
      </c>
      <c r="G152" s="15">
        <v>6</v>
      </c>
      <c r="H152" s="15">
        <v>4953</v>
      </c>
      <c r="I152" s="6" t="s">
        <v>543</v>
      </c>
      <c r="J152" s="15">
        <v>14918968</v>
      </c>
      <c r="K152" s="15" t="s">
        <v>727</v>
      </c>
      <c r="L152" s="15" t="s">
        <v>728</v>
      </c>
      <c r="M152" s="20">
        <v>219900</v>
      </c>
      <c r="N152" s="64">
        <v>0.75</v>
      </c>
      <c r="O152" s="12">
        <f t="shared" si="3"/>
        <v>54975</v>
      </c>
      <c r="P152" s="6" t="s">
        <v>3499</v>
      </c>
    </row>
    <row r="153" spans="1:16" x14ac:dyDescent="0.25">
      <c r="A153" s="6" t="s">
        <v>3504</v>
      </c>
      <c r="B153" s="7">
        <v>46121</v>
      </c>
      <c r="C153" s="7">
        <v>46127</v>
      </c>
      <c r="D153" s="6">
        <v>3271</v>
      </c>
      <c r="E153" s="6">
        <v>336</v>
      </c>
      <c r="F153" s="21">
        <v>4</v>
      </c>
      <c r="G153" s="15">
        <v>6</v>
      </c>
      <c r="H153" s="15">
        <v>4953</v>
      </c>
      <c r="I153" s="6" t="s">
        <v>543</v>
      </c>
      <c r="J153" s="15">
        <v>14918977</v>
      </c>
      <c r="K153" s="15" t="s">
        <v>727</v>
      </c>
      <c r="L153" s="15" t="s">
        <v>729</v>
      </c>
      <c r="M153" s="20">
        <v>219900</v>
      </c>
      <c r="N153" s="64">
        <v>0.75</v>
      </c>
      <c r="O153" s="12">
        <f t="shared" si="3"/>
        <v>54975</v>
      </c>
      <c r="P153" s="6" t="s">
        <v>3499</v>
      </c>
    </row>
    <row r="154" spans="1:16" x14ac:dyDescent="0.25">
      <c r="A154" s="6" t="s">
        <v>3504</v>
      </c>
      <c r="B154" s="7">
        <v>46121</v>
      </c>
      <c r="C154" s="7">
        <v>46127</v>
      </c>
      <c r="D154" s="6">
        <v>3271</v>
      </c>
      <c r="E154" s="6">
        <v>336</v>
      </c>
      <c r="F154" s="21">
        <v>4</v>
      </c>
      <c r="G154" s="15">
        <v>6</v>
      </c>
      <c r="H154" s="15">
        <v>4953</v>
      </c>
      <c r="I154" s="6" t="s">
        <v>543</v>
      </c>
      <c r="J154" s="15">
        <v>14918986</v>
      </c>
      <c r="K154" s="15" t="s">
        <v>727</v>
      </c>
      <c r="L154" s="15" t="s">
        <v>730</v>
      </c>
      <c r="M154" s="20">
        <v>219900</v>
      </c>
      <c r="N154" s="64">
        <v>0.75</v>
      </c>
      <c r="O154" s="12">
        <f t="shared" si="3"/>
        <v>54975</v>
      </c>
      <c r="P154" s="6" t="s">
        <v>3499</v>
      </c>
    </row>
    <row r="155" spans="1:16" x14ac:dyDescent="0.25">
      <c r="A155" s="6" t="s">
        <v>3504</v>
      </c>
      <c r="B155" s="7">
        <v>46121</v>
      </c>
      <c r="C155" s="7">
        <v>46127</v>
      </c>
      <c r="D155" s="6">
        <v>3271</v>
      </c>
      <c r="E155" s="6">
        <v>336</v>
      </c>
      <c r="F155" s="21">
        <v>4</v>
      </c>
      <c r="G155" s="15">
        <v>6</v>
      </c>
      <c r="H155" s="15">
        <v>4953</v>
      </c>
      <c r="I155" s="6" t="s">
        <v>543</v>
      </c>
      <c r="J155" s="15">
        <v>14918995</v>
      </c>
      <c r="K155" s="15" t="s">
        <v>727</v>
      </c>
      <c r="L155" s="15" t="s">
        <v>731</v>
      </c>
      <c r="M155" s="20">
        <v>219900</v>
      </c>
      <c r="N155" s="64">
        <v>0.75</v>
      </c>
      <c r="O155" s="12">
        <f t="shared" si="3"/>
        <v>54975</v>
      </c>
      <c r="P155" s="6" t="s">
        <v>3499</v>
      </c>
    </row>
    <row r="156" spans="1:16" x14ac:dyDescent="0.25">
      <c r="A156" s="6" t="s">
        <v>3504</v>
      </c>
      <c r="B156" s="7">
        <v>46121</v>
      </c>
      <c r="C156" s="7">
        <v>46127</v>
      </c>
      <c r="D156" s="6">
        <v>3271</v>
      </c>
      <c r="E156" s="6">
        <v>336</v>
      </c>
      <c r="F156" s="21">
        <v>4</v>
      </c>
      <c r="G156" s="15">
        <v>6</v>
      </c>
      <c r="H156" s="15">
        <v>4953</v>
      </c>
      <c r="I156" s="6" t="s">
        <v>543</v>
      </c>
      <c r="J156" s="15">
        <v>14919001</v>
      </c>
      <c r="K156" s="15" t="s">
        <v>732</v>
      </c>
      <c r="L156" s="15" t="s">
        <v>733</v>
      </c>
      <c r="M156" s="20">
        <v>219900</v>
      </c>
      <c r="N156" s="64">
        <v>0.75</v>
      </c>
      <c r="O156" s="12">
        <f t="shared" si="3"/>
        <v>54975</v>
      </c>
      <c r="P156" s="6" t="s">
        <v>3499</v>
      </c>
    </row>
    <row r="157" spans="1:16" x14ac:dyDescent="0.25">
      <c r="A157" s="6" t="s">
        <v>3504</v>
      </c>
      <c r="B157" s="7">
        <v>46121</v>
      </c>
      <c r="C157" s="7">
        <v>46127</v>
      </c>
      <c r="D157" s="6">
        <v>3271</v>
      </c>
      <c r="E157" s="6">
        <v>336</v>
      </c>
      <c r="F157" s="21">
        <v>4</v>
      </c>
      <c r="G157" s="15">
        <v>6</v>
      </c>
      <c r="H157" s="15">
        <v>4953</v>
      </c>
      <c r="I157" s="6" t="s">
        <v>543</v>
      </c>
      <c r="J157" s="15">
        <v>14919010</v>
      </c>
      <c r="K157" s="15" t="s">
        <v>732</v>
      </c>
      <c r="L157" s="15" t="s">
        <v>734</v>
      </c>
      <c r="M157" s="20">
        <v>219900</v>
      </c>
      <c r="N157" s="64">
        <v>0.75</v>
      </c>
      <c r="O157" s="12">
        <f t="shared" si="3"/>
        <v>54975</v>
      </c>
      <c r="P157" s="6" t="s">
        <v>3499</v>
      </c>
    </row>
    <row r="158" spans="1:16" x14ac:dyDescent="0.25">
      <c r="A158" s="6" t="s">
        <v>3504</v>
      </c>
      <c r="B158" s="7">
        <v>46121</v>
      </c>
      <c r="C158" s="7">
        <v>46127</v>
      </c>
      <c r="D158" s="6">
        <v>3271</v>
      </c>
      <c r="E158" s="6">
        <v>336</v>
      </c>
      <c r="F158" s="21">
        <v>4</v>
      </c>
      <c r="G158" s="15">
        <v>6</v>
      </c>
      <c r="H158" s="15">
        <v>4953</v>
      </c>
      <c r="I158" s="6" t="s">
        <v>543</v>
      </c>
      <c r="J158" s="15">
        <v>14919029</v>
      </c>
      <c r="K158" s="15" t="s">
        <v>732</v>
      </c>
      <c r="L158" s="15" t="s">
        <v>735</v>
      </c>
      <c r="M158" s="20">
        <v>219900</v>
      </c>
      <c r="N158" s="64">
        <v>0.75</v>
      </c>
      <c r="O158" s="12">
        <f t="shared" si="3"/>
        <v>54975</v>
      </c>
      <c r="P158" s="6" t="s">
        <v>3499</v>
      </c>
    </row>
    <row r="159" spans="1:16" x14ac:dyDescent="0.25">
      <c r="A159" s="6" t="s">
        <v>3504</v>
      </c>
      <c r="B159" s="7">
        <v>46121</v>
      </c>
      <c r="C159" s="7">
        <v>46127</v>
      </c>
      <c r="D159" s="6">
        <v>3271</v>
      </c>
      <c r="E159" s="6">
        <v>336</v>
      </c>
      <c r="F159" s="21">
        <v>4</v>
      </c>
      <c r="G159" s="15">
        <v>6</v>
      </c>
      <c r="H159" s="15">
        <v>4953</v>
      </c>
      <c r="I159" s="6" t="s">
        <v>543</v>
      </c>
      <c r="J159" s="15">
        <v>14919038</v>
      </c>
      <c r="K159" s="15" t="s">
        <v>732</v>
      </c>
      <c r="L159" s="15" t="s">
        <v>736</v>
      </c>
      <c r="M159" s="20">
        <v>219900</v>
      </c>
      <c r="N159" s="64">
        <v>0.75</v>
      </c>
      <c r="O159" s="12">
        <f t="shared" si="3"/>
        <v>54975</v>
      </c>
      <c r="P159" s="6" t="s">
        <v>3499</v>
      </c>
    </row>
    <row r="160" spans="1:16" x14ac:dyDescent="0.25">
      <c r="A160" s="6" t="s">
        <v>3504</v>
      </c>
      <c r="B160" s="7">
        <v>46121</v>
      </c>
      <c r="C160" s="7">
        <v>46127</v>
      </c>
      <c r="D160" s="6">
        <v>3271</v>
      </c>
      <c r="E160" s="6">
        <v>336</v>
      </c>
      <c r="F160" s="21">
        <v>4</v>
      </c>
      <c r="G160" s="15">
        <v>6</v>
      </c>
      <c r="H160" s="15">
        <v>4953</v>
      </c>
      <c r="I160" s="6" t="s">
        <v>543</v>
      </c>
      <c r="J160" s="15">
        <v>14919047</v>
      </c>
      <c r="K160" s="15" t="s">
        <v>737</v>
      </c>
      <c r="L160" s="15" t="s">
        <v>738</v>
      </c>
      <c r="M160" s="20">
        <v>219900</v>
      </c>
      <c r="N160" s="64">
        <v>0.75</v>
      </c>
      <c r="O160" s="12">
        <f t="shared" si="3"/>
        <v>54975</v>
      </c>
      <c r="P160" s="6" t="s">
        <v>3499</v>
      </c>
    </row>
    <row r="161" spans="1:16" x14ac:dyDescent="0.25">
      <c r="A161" s="6" t="s">
        <v>3504</v>
      </c>
      <c r="B161" s="7">
        <v>46121</v>
      </c>
      <c r="C161" s="7">
        <v>46127</v>
      </c>
      <c r="D161" s="6">
        <v>3271</v>
      </c>
      <c r="E161" s="6">
        <v>336</v>
      </c>
      <c r="F161" s="21">
        <v>4</v>
      </c>
      <c r="G161" s="15">
        <v>6</v>
      </c>
      <c r="H161" s="15">
        <v>4953</v>
      </c>
      <c r="I161" s="6" t="s">
        <v>543</v>
      </c>
      <c r="J161" s="15">
        <v>14919056</v>
      </c>
      <c r="K161" s="15" t="s">
        <v>737</v>
      </c>
      <c r="L161" s="15" t="s">
        <v>739</v>
      </c>
      <c r="M161" s="20">
        <v>219900</v>
      </c>
      <c r="N161" s="64">
        <v>0.75</v>
      </c>
      <c r="O161" s="12">
        <f t="shared" si="3"/>
        <v>54975</v>
      </c>
      <c r="P161" s="6" t="s">
        <v>3499</v>
      </c>
    </row>
    <row r="162" spans="1:16" x14ac:dyDescent="0.25">
      <c r="A162" s="6" t="s">
        <v>3504</v>
      </c>
      <c r="B162" s="7">
        <v>46121</v>
      </c>
      <c r="C162" s="7">
        <v>46127</v>
      </c>
      <c r="D162" s="6">
        <v>3271</v>
      </c>
      <c r="E162" s="6">
        <v>336</v>
      </c>
      <c r="F162" s="21">
        <v>4</v>
      </c>
      <c r="G162" s="15">
        <v>6</v>
      </c>
      <c r="H162" s="15">
        <v>4953</v>
      </c>
      <c r="I162" s="6" t="s">
        <v>543</v>
      </c>
      <c r="J162" s="15">
        <v>14919065</v>
      </c>
      <c r="K162" s="15" t="s">
        <v>737</v>
      </c>
      <c r="L162" s="15" t="s">
        <v>740</v>
      </c>
      <c r="M162" s="20">
        <v>219900</v>
      </c>
      <c r="N162" s="64">
        <v>0.75</v>
      </c>
      <c r="O162" s="12">
        <f t="shared" si="3"/>
        <v>54975</v>
      </c>
      <c r="P162" s="6" t="s">
        <v>3499</v>
      </c>
    </row>
    <row r="163" spans="1:16" x14ac:dyDescent="0.25">
      <c r="A163" s="6" t="s">
        <v>3504</v>
      </c>
      <c r="B163" s="7">
        <v>46121</v>
      </c>
      <c r="C163" s="7">
        <v>46127</v>
      </c>
      <c r="D163" s="6">
        <v>3271</v>
      </c>
      <c r="E163" s="6">
        <v>336</v>
      </c>
      <c r="F163" s="21">
        <v>4</v>
      </c>
      <c r="G163" s="15">
        <v>6</v>
      </c>
      <c r="H163" s="15">
        <v>81543</v>
      </c>
      <c r="I163" s="6" t="s">
        <v>543</v>
      </c>
      <c r="J163" s="15">
        <v>14919074</v>
      </c>
      <c r="K163" s="15" t="s">
        <v>737</v>
      </c>
      <c r="L163" s="15" t="s">
        <v>741</v>
      </c>
      <c r="M163" s="20">
        <v>219900</v>
      </c>
      <c r="N163" s="64">
        <v>0.75</v>
      </c>
      <c r="O163" s="12">
        <f t="shared" si="3"/>
        <v>54975</v>
      </c>
      <c r="P163" s="6" t="s">
        <v>3499</v>
      </c>
    </row>
    <row r="164" spans="1:16" x14ac:dyDescent="0.25">
      <c r="A164" s="6" t="s">
        <v>3504</v>
      </c>
      <c r="B164" s="7">
        <v>46121</v>
      </c>
      <c r="C164" s="7">
        <v>46127</v>
      </c>
      <c r="D164" s="6">
        <v>3271</v>
      </c>
      <c r="E164" s="6">
        <v>336</v>
      </c>
      <c r="F164" s="21">
        <v>4</v>
      </c>
      <c r="G164" s="15">
        <v>6</v>
      </c>
      <c r="H164" s="15">
        <v>81543</v>
      </c>
      <c r="I164" s="6" t="s">
        <v>543</v>
      </c>
      <c r="J164" s="15">
        <v>14919083</v>
      </c>
      <c r="K164" s="15" t="s">
        <v>742</v>
      </c>
      <c r="L164" s="15" t="s">
        <v>743</v>
      </c>
      <c r="M164" s="20">
        <v>219900</v>
      </c>
      <c r="N164" s="64">
        <v>0.75</v>
      </c>
      <c r="O164" s="12">
        <f t="shared" si="3"/>
        <v>54975</v>
      </c>
      <c r="P164" s="6" t="s">
        <v>3499</v>
      </c>
    </row>
    <row r="165" spans="1:16" x14ac:dyDescent="0.25">
      <c r="A165" s="6" t="s">
        <v>3504</v>
      </c>
      <c r="B165" s="7">
        <v>46121</v>
      </c>
      <c r="C165" s="7">
        <v>46127</v>
      </c>
      <c r="D165" s="6">
        <v>3271</v>
      </c>
      <c r="E165" s="6">
        <v>336</v>
      </c>
      <c r="F165" s="21">
        <v>4</v>
      </c>
      <c r="G165" s="15">
        <v>6</v>
      </c>
      <c r="H165" s="15">
        <v>81543</v>
      </c>
      <c r="I165" s="6" t="s">
        <v>543</v>
      </c>
      <c r="J165" s="15">
        <v>14919092</v>
      </c>
      <c r="K165" s="15" t="s">
        <v>742</v>
      </c>
      <c r="L165" s="15" t="s">
        <v>744</v>
      </c>
      <c r="M165" s="20">
        <v>219900</v>
      </c>
      <c r="N165" s="64">
        <v>0.75</v>
      </c>
      <c r="O165" s="12">
        <f t="shared" si="3"/>
        <v>54975</v>
      </c>
      <c r="P165" s="6" t="s">
        <v>3499</v>
      </c>
    </row>
    <row r="166" spans="1:16" x14ac:dyDescent="0.25">
      <c r="A166" s="6" t="s">
        <v>3504</v>
      </c>
      <c r="B166" s="7">
        <v>46121</v>
      </c>
      <c r="C166" s="7">
        <v>46127</v>
      </c>
      <c r="D166" s="6">
        <v>3271</v>
      </c>
      <c r="E166" s="6">
        <v>336</v>
      </c>
      <c r="F166" s="21">
        <v>4</v>
      </c>
      <c r="G166" s="15">
        <v>6</v>
      </c>
      <c r="H166" s="15">
        <v>81543</v>
      </c>
      <c r="I166" s="6" t="s">
        <v>543</v>
      </c>
      <c r="J166" s="15">
        <v>14919109</v>
      </c>
      <c r="K166" s="15" t="s">
        <v>742</v>
      </c>
      <c r="L166" s="15" t="s">
        <v>745</v>
      </c>
      <c r="M166" s="20">
        <v>219900</v>
      </c>
      <c r="N166" s="64">
        <v>0.75</v>
      </c>
      <c r="O166" s="12">
        <f t="shared" si="3"/>
        <v>54975</v>
      </c>
      <c r="P166" s="6" t="s">
        <v>3499</v>
      </c>
    </row>
    <row r="167" spans="1:16" x14ac:dyDescent="0.25">
      <c r="A167" s="6" t="s">
        <v>3504</v>
      </c>
      <c r="B167" s="7">
        <v>46121</v>
      </c>
      <c r="C167" s="7">
        <v>46127</v>
      </c>
      <c r="D167" s="6">
        <v>3271</v>
      </c>
      <c r="E167" s="6">
        <v>336</v>
      </c>
      <c r="F167" s="21">
        <v>4</v>
      </c>
      <c r="G167" s="15">
        <v>6</v>
      </c>
      <c r="H167" s="15">
        <v>81543</v>
      </c>
      <c r="I167" s="6" t="s">
        <v>543</v>
      </c>
      <c r="J167" s="15">
        <v>14919118</v>
      </c>
      <c r="K167" s="15" t="s">
        <v>742</v>
      </c>
      <c r="L167" s="15" t="s">
        <v>746</v>
      </c>
      <c r="M167" s="20">
        <v>219900</v>
      </c>
      <c r="N167" s="64">
        <v>0.75</v>
      </c>
      <c r="O167" s="12">
        <f t="shared" si="3"/>
        <v>54975</v>
      </c>
      <c r="P167" s="6" t="s">
        <v>3499</v>
      </c>
    </row>
    <row r="168" spans="1:16" x14ac:dyDescent="0.25">
      <c r="A168" s="6" t="s">
        <v>3504</v>
      </c>
      <c r="B168" s="7">
        <v>46121</v>
      </c>
      <c r="C168" s="7">
        <v>46127</v>
      </c>
      <c r="D168" s="6">
        <v>3271</v>
      </c>
      <c r="E168" s="6">
        <v>336</v>
      </c>
      <c r="F168" s="21">
        <v>4</v>
      </c>
      <c r="G168" s="15">
        <v>6</v>
      </c>
      <c r="H168" s="15">
        <v>81543</v>
      </c>
      <c r="I168" s="6" t="s">
        <v>543</v>
      </c>
      <c r="J168" s="15">
        <v>14919127</v>
      </c>
      <c r="K168" s="15" t="s">
        <v>747</v>
      </c>
      <c r="L168" s="15" t="s">
        <v>748</v>
      </c>
      <c r="M168" s="20">
        <v>219900</v>
      </c>
      <c r="N168" s="64">
        <v>0.75</v>
      </c>
      <c r="O168" s="12">
        <f t="shared" si="3"/>
        <v>54975</v>
      </c>
      <c r="P168" s="6" t="s">
        <v>3499</v>
      </c>
    </row>
    <row r="169" spans="1:16" x14ac:dyDescent="0.25">
      <c r="A169" s="6" t="s">
        <v>3504</v>
      </c>
      <c r="B169" s="7">
        <v>46121</v>
      </c>
      <c r="C169" s="7">
        <v>46127</v>
      </c>
      <c r="D169" s="6">
        <v>3271</v>
      </c>
      <c r="E169" s="6">
        <v>336</v>
      </c>
      <c r="F169" s="21">
        <v>4</v>
      </c>
      <c r="G169" s="15">
        <v>6</v>
      </c>
      <c r="H169" s="15">
        <v>81543</v>
      </c>
      <c r="I169" s="6" t="s">
        <v>543</v>
      </c>
      <c r="J169" s="15">
        <v>14919136</v>
      </c>
      <c r="K169" s="15" t="s">
        <v>747</v>
      </c>
      <c r="L169" s="15" t="s">
        <v>749</v>
      </c>
      <c r="M169" s="20">
        <v>219900</v>
      </c>
      <c r="N169" s="64">
        <v>0.75</v>
      </c>
      <c r="O169" s="12">
        <f t="shared" si="3"/>
        <v>54975</v>
      </c>
      <c r="P169" s="6" t="s">
        <v>3499</v>
      </c>
    </row>
    <row r="170" spans="1:16" x14ac:dyDescent="0.25">
      <c r="A170" s="6" t="s">
        <v>3504</v>
      </c>
      <c r="B170" s="7">
        <v>46121</v>
      </c>
      <c r="C170" s="7">
        <v>46127</v>
      </c>
      <c r="D170" s="6">
        <v>3271</v>
      </c>
      <c r="E170" s="6">
        <v>336</v>
      </c>
      <c r="F170" s="21">
        <v>4</v>
      </c>
      <c r="G170" s="15">
        <v>6</v>
      </c>
      <c r="H170" s="15">
        <v>81543</v>
      </c>
      <c r="I170" s="6" t="s">
        <v>543</v>
      </c>
      <c r="J170" s="15">
        <v>14919145</v>
      </c>
      <c r="K170" s="15" t="s">
        <v>747</v>
      </c>
      <c r="L170" s="15" t="s">
        <v>750</v>
      </c>
      <c r="M170" s="20">
        <v>219900</v>
      </c>
      <c r="N170" s="64">
        <v>0.75</v>
      </c>
      <c r="O170" s="12">
        <f t="shared" si="3"/>
        <v>54975</v>
      </c>
      <c r="P170" s="6" t="s">
        <v>3499</v>
      </c>
    </row>
    <row r="171" spans="1:16" x14ac:dyDescent="0.25">
      <c r="A171" s="6" t="s">
        <v>3504</v>
      </c>
      <c r="B171" s="7">
        <v>46121</v>
      </c>
      <c r="C171" s="7">
        <v>46127</v>
      </c>
      <c r="D171" s="6">
        <v>3271</v>
      </c>
      <c r="E171" s="6">
        <v>336</v>
      </c>
      <c r="F171" s="21">
        <v>4</v>
      </c>
      <c r="G171" s="15">
        <v>6</v>
      </c>
      <c r="H171" s="15">
        <v>81543</v>
      </c>
      <c r="I171" s="6" t="s">
        <v>543</v>
      </c>
      <c r="J171" s="15">
        <v>14919154</v>
      </c>
      <c r="K171" s="15" t="s">
        <v>747</v>
      </c>
      <c r="L171" s="15" t="s">
        <v>751</v>
      </c>
      <c r="M171" s="20">
        <v>219900</v>
      </c>
      <c r="N171" s="64">
        <v>0.75</v>
      </c>
      <c r="O171" s="12">
        <f t="shared" si="3"/>
        <v>54975</v>
      </c>
      <c r="P171" s="6" t="s">
        <v>3499</v>
      </c>
    </row>
    <row r="172" spans="1:16" x14ac:dyDescent="0.25">
      <c r="A172" s="6" t="s">
        <v>3504</v>
      </c>
      <c r="B172" s="7">
        <v>46121</v>
      </c>
      <c r="C172" s="7">
        <v>46127</v>
      </c>
      <c r="D172" s="6">
        <v>3271</v>
      </c>
      <c r="E172" s="6">
        <v>336</v>
      </c>
      <c r="F172" s="21">
        <v>4</v>
      </c>
      <c r="G172" s="15">
        <v>6</v>
      </c>
      <c r="H172" s="15">
        <v>81543</v>
      </c>
      <c r="I172" s="6" t="s">
        <v>543</v>
      </c>
      <c r="J172" s="15">
        <v>14919163</v>
      </c>
      <c r="K172" s="15" t="s">
        <v>752</v>
      </c>
      <c r="L172" s="15" t="s">
        <v>753</v>
      </c>
      <c r="M172" s="20">
        <v>219900</v>
      </c>
      <c r="N172" s="64">
        <v>0.75</v>
      </c>
      <c r="O172" s="12">
        <f t="shared" si="3"/>
        <v>54975</v>
      </c>
      <c r="P172" s="6" t="s">
        <v>3499</v>
      </c>
    </row>
    <row r="173" spans="1:16" x14ac:dyDescent="0.25">
      <c r="A173" s="6" t="s">
        <v>3504</v>
      </c>
      <c r="B173" s="7">
        <v>46121</v>
      </c>
      <c r="C173" s="7">
        <v>46127</v>
      </c>
      <c r="D173" s="6">
        <v>3271</v>
      </c>
      <c r="E173" s="6">
        <v>336</v>
      </c>
      <c r="F173" s="21">
        <v>4</v>
      </c>
      <c r="G173" s="15">
        <v>6</v>
      </c>
      <c r="H173" s="15">
        <v>81543</v>
      </c>
      <c r="I173" s="6" t="s">
        <v>543</v>
      </c>
      <c r="J173" s="15">
        <v>14919172</v>
      </c>
      <c r="K173" s="15" t="s">
        <v>752</v>
      </c>
      <c r="L173" s="15" t="s">
        <v>754</v>
      </c>
      <c r="M173" s="20">
        <v>219900</v>
      </c>
      <c r="N173" s="64">
        <v>0.75</v>
      </c>
      <c r="O173" s="12">
        <f t="shared" si="3"/>
        <v>54975</v>
      </c>
      <c r="P173" s="6" t="s">
        <v>3499</v>
      </c>
    </row>
    <row r="174" spans="1:16" x14ac:dyDescent="0.25">
      <c r="A174" s="6" t="s">
        <v>3504</v>
      </c>
      <c r="B174" s="7">
        <v>46121</v>
      </c>
      <c r="C174" s="7">
        <v>46127</v>
      </c>
      <c r="D174" s="6">
        <v>3271</v>
      </c>
      <c r="E174" s="6">
        <v>336</v>
      </c>
      <c r="F174" s="21">
        <v>4</v>
      </c>
      <c r="G174" s="15">
        <v>6</v>
      </c>
      <c r="H174" s="15">
        <v>81543</v>
      </c>
      <c r="I174" s="6" t="s">
        <v>543</v>
      </c>
      <c r="J174" s="15">
        <v>14919181</v>
      </c>
      <c r="K174" s="15" t="s">
        <v>752</v>
      </c>
      <c r="L174" s="15" t="s">
        <v>755</v>
      </c>
      <c r="M174" s="20">
        <v>219900</v>
      </c>
      <c r="N174" s="64">
        <v>0.75</v>
      </c>
      <c r="O174" s="12">
        <f t="shared" si="3"/>
        <v>54975</v>
      </c>
      <c r="P174" s="6" t="s">
        <v>3499</v>
      </c>
    </row>
    <row r="175" spans="1:16" x14ac:dyDescent="0.25">
      <c r="A175" s="6" t="s">
        <v>3504</v>
      </c>
      <c r="B175" s="7">
        <v>46121</v>
      </c>
      <c r="C175" s="7">
        <v>46127</v>
      </c>
      <c r="D175" s="6">
        <v>3271</v>
      </c>
      <c r="E175" s="6">
        <v>336</v>
      </c>
      <c r="F175" s="21">
        <v>4</v>
      </c>
      <c r="G175" s="15">
        <v>6</v>
      </c>
      <c r="H175" s="15">
        <v>81543</v>
      </c>
      <c r="I175" s="6" t="s">
        <v>543</v>
      </c>
      <c r="J175" s="15">
        <v>14919190</v>
      </c>
      <c r="K175" s="15" t="s">
        <v>752</v>
      </c>
      <c r="L175" s="15" t="s">
        <v>756</v>
      </c>
      <c r="M175" s="20">
        <v>219900</v>
      </c>
      <c r="N175" s="64">
        <v>0.75</v>
      </c>
      <c r="O175" s="12">
        <f t="shared" si="3"/>
        <v>54975</v>
      </c>
      <c r="P175" s="6" t="s">
        <v>3499</v>
      </c>
    </row>
    <row r="176" spans="1:16" x14ac:dyDescent="0.25">
      <c r="A176" s="6" t="s">
        <v>3504</v>
      </c>
      <c r="B176" s="7">
        <v>46121</v>
      </c>
      <c r="C176" s="7">
        <v>46127</v>
      </c>
      <c r="D176" s="6">
        <v>3271</v>
      </c>
      <c r="E176" s="6">
        <v>336</v>
      </c>
      <c r="F176" s="21">
        <v>4</v>
      </c>
      <c r="G176" s="15">
        <v>6</v>
      </c>
      <c r="H176" s="15">
        <v>81543</v>
      </c>
      <c r="I176" s="6" t="s">
        <v>543</v>
      </c>
      <c r="J176" s="15">
        <v>14919207</v>
      </c>
      <c r="K176" s="15" t="s">
        <v>757</v>
      </c>
      <c r="L176" s="15" t="s">
        <v>758</v>
      </c>
      <c r="M176" s="20">
        <v>219900</v>
      </c>
      <c r="N176" s="64">
        <v>0.75</v>
      </c>
      <c r="O176" s="12">
        <f t="shared" si="3"/>
        <v>54975</v>
      </c>
      <c r="P176" s="6" t="s">
        <v>3499</v>
      </c>
    </row>
    <row r="177" spans="1:16" x14ac:dyDescent="0.25">
      <c r="A177" s="6" t="s">
        <v>3504</v>
      </c>
      <c r="B177" s="7">
        <v>46121</v>
      </c>
      <c r="C177" s="7">
        <v>46127</v>
      </c>
      <c r="D177" s="6">
        <v>3271</v>
      </c>
      <c r="E177" s="6">
        <v>336</v>
      </c>
      <c r="F177" s="21">
        <v>4</v>
      </c>
      <c r="G177" s="15">
        <v>6</v>
      </c>
      <c r="H177" s="15">
        <v>81543</v>
      </c>
      <c r="I177" s="6" t="s">
        <v>543</v>
      </c>
      <c r="J177" s="15">
        <v>14919216</v>
      </c>
      <c r="K177" s="15" t="s">
        <v>757</v>
      </c>
      <c r="L177" s="15" t="s">
        <v>759</v>
      </c>
      <c r="M177" s="20">
        <v>219900</v>
      </c>
      <c r="N177" s="64">
        <v>0.75</v>
      </c>
      <c r="O177" s="12">
        <f t="shared" si="3"/>
        <v>54975</v>
      </c>
      <c r="P177" s="6" t="s">
        <v>3499</v>
      </c>
    </row>
    <row r="178" spans="1:16" x14ac:dyDescent="0.25">
      <c r="A178" s="6" t="s">
        <v>3504</v>
      </c>
      <c r="B178" s="7">
        <v>46121</v>
      </c>
      <c r="C178" s="7">
        <v>46127</v>
      </c>
      <c r="D178" s="6">
        <v>3271</v>
      </c>
      <c r="E178" s="6">
        <v>336</v>
      </c>
      <c r="F178" s="21">
        <v>4</v>
      </c>
      <c r="G178" s="15">
        <v>6</v>
      </c>
      <c r="H178" s="15">
        <v>81543</v>
      </c>
      <c r="I178" s="6" t="s">
        <v>543</v>
      </c>
      <c r="J178" s="15">
        <v>14919225</v>
      </c>
      <c r="K178" s="15" t="s">
        <v>757</v>
      </c>
      <c r="L178" s="15" t="s">
        <v>760</v>
      </c>
      <c r="M178" s="20">
        <v>219900</v>
      </c>
      <c r="N178" s="64">
        <v>0.75</v>
      </c>
      <c r="O178" s="12">
        <f t="shared" si="3"/>
        <v>54975</v>
      </c>
      <c r="P178" s="6" t="s">
        <v>3499</v>
      </c>
    </row>
    <row r="179" spans="1:16" x14ac:dyDescent="0.25">
      <c r="A179" s="6" t="s">
        <v>3504</v>
      </c>
      <c r="B179" s="7">
        <v>46121</v>
      </c>
      <c r="C179" s="7">
        <v>46127</v>
      </c>
      <c r="D179" s="6">
        <v>3271</v>
      </c>
      <c r="E179" s="6">
        <v>336</v>
      </c>
      <c r="F179" s="21">
        <v>4</v>
      </c>
      <c r="G179" s="6">
        <v>6</v>
      </c>
      <c r="H179" s="6">
        <v>4953</v>
      </c>
      <c r="I179" s="6" t="s">
        <v>543</v>
      </c>
      <c r="J179" s="6">
        <v>14919234</v>
      </c>
      <c r="K179" s="6" t="s">
        <v>757</v>
      </c>
      <c r="L179" s="6" t="s">
        <v>761</v>
      </c>
      <c r="M179" s="14">
        <v>219900</v>
      </c>
      <c r="N179" s="64">
        <v>0.75</v>
      </c>
      <c r="O179" s="12">
        <f t="shared" si="3"/>
        <v>54975</v>
      </c>
      <c r="P179" s="6" t="s">
        <v>3499</v>
      </c>
    </row>
    <row r="180" spans="1:16" x14ac:dyDescent="0.25">
      <c r="A180" s="6" t="s">
        <v>3504</v>
      </c>
      <c r="B180" s="7">
        <v>46121</v>
      </c>
      <c r="C180" s="7">
        <v>46127</v>
      </c>
      <c r="D180" s="6">
        <v>3271</v>
      </c>
      <c r="E180" s="6">
        <v>336</v>
      </c>
      <c r="F180" s="21">
        <v>4</v>
      </c>
      <c r="G180" s="6">
        <v>6</v>
      </c>
      <c r="H180" s="6">
        <v>4953</v>
      </c>
      <c r="I180" s="6" t="s">
        <v>543</v>
      </c>
      <c r="J180" s="6">
        <v>14919243</v>
      </c>
      <c r="K180" s="6" t="s">
        <v>762</v>
      </c>
      <c r="L180" s="6" t="s">
        <v>763</v>
      </c>
      <c r="M180" s="14">
        <v>219900</v>
      </c>
      <c r="N180" s="64">
        <v>0.75</v>
      </c>
      <c r="O180" s="12">
        <f t="shared" si="3"/>
        <v>54975</v>
      </c>
      <c r="P180" s="6" t="s">
        <v>3499</v>
      </c>
    </row>
    <row r="181" spans="1:16" x14ac:dyDescent="0.25">
      <c r="A181" s="6" t="s">
        <v>3504</v>
      </c>
      <c r="B181" s="7">
        <v>46121</v>
      </c>
      <c r="C181" s="7">
        <v>46127</v>
      </c>
      <c r="D181" s="6">
        <v>3271</v>
      </c>
      <c r="E181" s="6">
        <v>336</v>
      </c>
      <c r="F181" s="21">
        <v>4</v>
      </c>
      <c r="G181" s="6">
        <v>6</v>
      </c>
      <c r="H181" s="6">
        <v>4953</v>
      </c>
      <c r="I181" s="6" t="s">
        <v>543</v>
      </c>
      <c r="J181" s="6">
        <v>14919252</v>
      </c>
      <c r="K181" s="6" t="s">
        <v>762</v>
      </c>
      <c r="L181" s="6" t="s">
        <v>764</v>
      </c>
      <c r="M181" s="14">
        <v>219900</v>
      </c>
      <c r="N181" s="64">
        <v>0.75</v>
      </c>
      <c r="O181" s="12">
        <f t="shared" si="3"/>
        <v>54975</v>
      </c>
      <c r="P181" s="6" t="s">
        <v>3499</v>
      </c>
    </row>
    <row r="182" spans="1:16" x14ac:dyDescent="0.25">
      <c r="A182" s="6" t="s">
        <v>3504</v>
      </c>
      <c r="B182" s="7">
        <v>46121</v>
      </c>
      <c r="C182" s="7">
        <v>46127</v>
      </c>
      <c r="D182" s="6">
        <v>3271</v>
      </c>
      <c r="E182" s="6">
        <v>336</v>
      </c>
      <c r="F182" s="21">
        <v>4</v>
      </c>
      <c r="G182" s="6">
        <v>6</v>
      </c>
      <c r="H182" s="6">
        <v>4953</v>
      </c>
      <c r="I182" s="6" t="s">
        <v>543</v>
      </c>
      <c r="J182" s="6">
        <v>14919261</v>
      </c>
      <c r="K182" s="6" t="s">
        <v>762</v>
      </c>
      <c r="L182" s="6" t="s">
        <v>765</v>
      </c>
      <c r="M182" s="14">
        <v>219900</v>
      </c>
      <c r="N182" s="64">
        <v>0.75</v>
      </c>
      <c r="O182" s="12">
        <f t="shared" si="3"/>
        <v>54975</v>
      </c>
      <c r="P182" s="6" t="s">
        <v>3499</v>
      </c>
    </row>
    <row r="183" spans="1:16" x14ac:dyDescent="0.25">
      <c r="A183" s="6" t="s">
        <v>3504</v>
      </c>
      <c r="B183" s="7">
        <v>46121</v>
      </c>
      <c r="C183" s="7">
        <v>46127</v>
      </c>
      <c r="D183" s="6">
        <v>3271</v>
      </c>
      <c r="E183" s="6">
        <v>336</v>
      </c>
      <c r="F183" s="21">
        <v>4</v>
      </c>
      <c r="G183" s="6">
        <v>6</v>
      </c>
      <c r="H183" s="6">
        <v>4953</v>
      </c>
      <c r="I183" s="6" t="s">
        <v>543</v>
      </c>
      <c r="J183" s="6">
        <v>14919270</v>
      </c>
      <c r="K183" s="6" t="s">
        <v>762</v>
      </c>
      <c r="L183" s="6" t="s">
        <v>766</v>
      </c>
      <c r="M183" s="14">
        <v>219900</v>
      </c>
      <c r="N183" s="64">
        <v>0.75</v>
      </c>
      <c r="O183" s="12">
        <f t="shared" si="3"/>
        <v>54975</v>
      </c>
      <c r="P183" s="6" t="s">
        <v>3499</v>
      </c>
    </row>
    <row r="184" spans="1:16" x14ac:dyDescent="0.25">
      <c r="A184" s="6" t="s">
        <v>3504</v>
      </c>
      <c r="B184" s="7">
        <v>46121</v>
      </c>
      <c r="C184" s="7">
        <v>46127</v>
      </c>
      <c r="D184" s="6">
        <v>3271</v>
      </c>
      <c r="E184" s="6">
        <v>336</v>
      </c>
      <c r="F184" s="21">
        <v>4</v>
      </c>
      <c r="G184" s="6">
        <v>6</v>
      </c>
      <c r="H184" s="6">
        <v>4953</v>
      </c>
      <c r="I184" s="6" t="s">
        <v>543</v>
      </c>
      <c r="J184" s="6">
        <v>14919289</v>
      </c>
      <c r="K184" s="6" t="s">
        <v>767</v>
      </c>
      <c r="L184" s="6" t="s">
        <v>768</v>
      </c>
      <c r="M184" s="14">
        <v>219900</v>
      </c>
      <c r="N184" s="64">
        <v>0.75</v>
      </c>
      <c r="O184" s="12">
        <f t="shared" si="3"/>
        <v>54975</v>
      </c>
      <c r="P184" s="6" t="s">
        <v>3499</v>
      </c>
    </row>
    <row r="185" spans="1:16" x14ac:dyDescent="0.25">
      <c r="A185" s="6" t="s">
        <v>3504</v>
      </c>
      <c r="B185" s="7">
        <v>46121</v>
      </c>
      <c r="C185" s="7">
        <v>46127</v>
      </c>
      <c r="D185" s="6">
        <v>3271</v>
      </c>
      <c r="E185" s="6">
        <v>336</v>
      </c>
      <c r="F185" s="21">
        <v>4</v>
      </c>
      <c r="G185" s="6">
        <v>6</v>
      </c>
      <c r="H185" s="6">
        <v>4953</v>
      </c>
      <c r="I185" s="6" t="s">
        <v>543</v>
      </c>
      <c r="J185" s="6">
        <v>14919298</v>
      </c>
      <c r="K185" s="6" t="s">
        <v>767</v>
      </c>
      <c r="L185" s="6" t="s">
        <v>769</v>
      </c>
      <c r="M185" s="14">
        <v>219900</v>
      </c>
      <c r="N185" s="64">
        <v>0.75</v>
      </c>
      <c r="O185" s="12">
        <f t="shared" si="3"/>
        <v>54975</v>
      </c>
      <c r="P185" s="6" t="s">
        <v>3499</v>
      </c>
    </row>
    <row r="186" spans="1:16" x14ac:dyDescent="0.25">
      <c r="A186" s="6" t="s">
        <v>3504</v>
      </c>
      <c r="B186" s="7">
        <v>46121</v>
      </c>
      <c r="C186" s="7">
        <v>46127</v>
      </c>
      <c r="D186" s="6">
        <v>3271</v>
      </c>
      <c r="E186" s="6">
        <v>336</v>
      </c>
      <c r="F186" s="21">
        <v>4</v>
      </c>
      <c r="G186" s="6">
        <v>6</v>
      </c>
      <c r="H186" s="6">
        <v>4953</v>
      </c>
      <c r="I186" s="6" t="s">
        <v>543</v>
      </c>
      <c r="J186" s="6">
        <v>14919305</v>
      </c>
      <c r="K186" s="6" t="s">
        <v>767</v>
      </c>
      <c r="L186" s="6" t="s">
        <v>770</v>
      </c>
      <c r="M186" s="14">
        <v>219900</v>
      </c>
      <c r="N186" s="64">
        <v>0.75</v>
      </c>
      <c r="O186" s="12">
        <f t="shared" si="3"/>
        <v>54975</v>
      </c>
      <c r="P186" s="6" t="s">
        <v>3499</v>
      </c>
    </row>
    <row r="187" spans="1:16" x14ac:dyDescent="0.25">
      <c r="A187" s="6" t="s">
        <v>3504</v>
      </c>
      <c r="B187" s="7">
        <v>46121</v>
      </c>
      <c r="C187" s="7">
        <v>46127</v>
      </c>
      <c r="D187" s="6">
        <v>3271</v>
      </c>
      <c r="E187" s="6">
        <v>336</v>
      </c>
      <c r="F187" s="21">
        <v>4</v>
      </c>
      <c r="G187" s="6">
        <v>6</v>
      </c>
      <c r="H187" s="6">
        <v>4953</v>
      </c>
      <c r="I187" s="6" t="s">
        <v>543</v>
      </c>
      <c r="J187" s="6">
        <v>14919314</v>
      </c>
      <c r="K187" s="6" t="s">
        <v>767</v>
      </c>
      <c r="L187" s="6" t="s">
        <v>771</v>
      </c>
      <c r="M187" s="14">
        <v>219900</v>
      </c>
      <c r="N187" s="64">
        <v>0.75</v>
      </c>
      <c r="O187" s="12">
        <f t="shared" si="3"/>
        <v>54975</v>
      </c>
      <c r="P187" s="6" t="s">
        <v>3499</v>
      </c>
    </row>
    <row r="188" spans="1:16" x14ac:dyDescent="0.25">
      <c r="A188" s="6" t="s">
        <v>3504</v>
      </c>
      <c r="B188" s="7">
        <v>46121</v>
      </c>
      <c r="C188" s="7">
        <v>46127</v>
      </c>
      <c r="D188" s="6">
        <v>3271</v>
      </c>
      <c r="E188" s="6">
        <v>336</v>
      </c>
      <c r="F188" s="21">
        <v>4</v>
      </c>
      <c r="G188" s="6">
        <v>6</v>
      </c>
      <c r="H188" s="6">
        <v>4953</v>
      </c>
      <c r="I188" s="6" t="s">
        <v>543</v>
      </c>
      <c r="J188" s="6">
        <v>14919323</v>
      </c>
      <c r="K188" s="6" t="s">
        <v>772</v>
      </c>
      <c r="L188" s="6" t="s">
        <v>773</v>
      </c>
      <c r="M188" s="14">
        <v>219900</v>
      </c>
      <c r="N188" s="64">
        <v>0.75</v>
      </c>
      <c r="O188" s="12">
        <f t="shared" si="3"/>
        <v>54975</v>
      </c>
      <c r="P188" s="6" t="s">
        <v>3499</v>
      </c>
    </row>
    <row r="189" spans="1:16" x14ac:dyDescent="0.25">
      <c r="A189" s="6" t="s">
        <v>3504</v>
      </c>
      <c r="B189" s="7">
        <v>46121</v>
      </c>
      <c r="C189" s="7">
        <v>46127</v>
      </c>
      <c r="D189" s="6">
        <v>3271</v>
      </c>
      <c r="E189" s="6">
        <v>336</v>
      </c>
      <c r="F189" s="21">
        <v>4</v>
      </c>
      <c r="G189" s="6">
        <v>6</v>
      </c>
      <c r="H189" s="6">
        <v>4953</v>
      </c>
      <c r="I189" s="6" t="s">
        <v>543</v>
      </c>
      <c r="J189" s="6">
        <v>14919332</v>
      </c>
      <c r="K189" s="6" t="s">
        <v>772</v>
      </c>
      <c r="L189" s="6" t="s">
        <v>774</v>
      </c>
      <c r="M189" s="14">
        <v>219900</v>
      </c>
      <c r="N189" s="64">
        <v>0.75</v>
      </c>
      <c r="O189" s="12">
        <f t="shared" si="3"/>
        <v>54975</v>
      </c>
      <c r="P189" s="6" t="s">
        <v>3499</v>
      </c>
    </row>
    <row r="190" spans="1:16" x14ac:dyDescent="0.25">
      <c r="A190" s="6" t="s">
        <v>3504</v>
      </c>
      <c r="B190" s="7">
        <v>46121</v>
      </c>
      <c r="C190" s="7">
        <v>46127</v>
      </c>
      <c r="D190" s="6">
        <v>3271</v>
      </c>
      <c r="E190" s="6">
        <v>336</v>
      </c>
      <c r="F190" s="21">
        <v>4</v>
      </c>
      <c r="G190" s="6">
        <v>6</v>
      </c>
      <c r="H190" s="6">
        <v>4953</v>
      </c>
      <c r="I190" s="6" t="s">
        <v>543</v>
      </c>
      <c r="J190" s="6">
        <v>14919341</v>
      </c>
      <c r="K190" s="6" t="s">
        <v>772</v>
      </c>
      <c r="L190" s="6" t="s">
        <v>775</v>
      </c>
      <c r="M190" s="14">
        <v>219900</v>
      </c>
      <c r="N190" s="64">
        <v>0.75</v>
      </c>
      <c r="O190" s="12">
        <f t="shared" si="3"/>
        <v>54975</v>
      </c>
      <c r="P190" s="6" t="s">
        <v>3499</v>
      </c>
    </row>
    <row r="191" spans="1:16" x14ac:dyDescent="0.25">
      <c r="A191" s="6" t="s">
        <v>3504</v>
      </c>
      <c r="B191" s="7">
        <v>46121</v>
      </c>
      <c r="C191" s="7">
        <v>46127</v>
      </c>
      <c r="D191" s="6">
        <v>3271</v>
      </c>
      <c r="E191" s="6">
        <v>336</v>
      </c>
      <c r="F191" s="21">
        <v>4</v>
      </c>
      <c r="G191" s="6">
        <v>6</v>
      </c>
      <c r="H191" s="6">
        <v>81684</v>
      </c>
      <c r="I191" s="6" t="s">
        <v>543</v>
      </c>
      <c r="J191" s="6">
        <v>14919350</v>
      </c>
      <c r="K191" s="6" t="s">
        <v>772</v>
      </c>
      <c r="L191" s="6" t="s">
        <v>776</v>
      </c>
      <c r="M191" s="14">
        <v>219900</v>
      </c>
      <c r="N191" s="64">
        <v>0.75</v>
      </c>
      <c r="O191" s="12">
        <f t="shared" si="3"/>
        <v>54975</v>
      </c>
      <c r="P191" s="6" t="s">
        <v>3499</v>
      </c>
    </row>
    <row r="192" spans="1:16" x14ac:dyDescent="0.25">
      <c r="A192" s="6" t="s">
        <v>3504</v>
      </c>
      <c r="B192" s="7">
        <v>46121</v>
      </c>
      <c r="C192" s="7">
        <v>46127</v>
      </c>
      <c r="D192" s="6">
        <v>3271</v>
      </c>
      <c r="E192" s="6">
        <v>336</v>
      </c>
      <c r="F192" s="21">
        <v>4</v>
      </c>
      <c r="G192" s="6">
        <v>6</v>
      </c>
      <c r="H192" s="6">
        <v>81684</v>
      </c>
      <c r="I192" s="6" t="s">
        <v>543</v>
      </c>
      <c r="J192" s="6">
        <v>14919369</v>
      </c>
      <c r="K192" s="6" t="s">
        <v>777</v>
      </c>
      <c r="L192" s="6" t="s">
        <v>778</v>
      </c>
      <c r="M192" s="14">
        <v>219900</v>
      </c>
      <c r="N192" s="64">
        <v>0.75</v>
      </c>
      <c r="O192" s="12">
        <f t="shared" si="3"/>
        <v>54975</v>
      </c>
      <c r="P192" s="6" t="s">
        <v>3499</v>
      </c>
    </row>
    <row r="193" spans="1:16" x14ac:dyDescent="0.25">
      <c r="A193" s="6" t="s">
        <v>3504</v>
      </c>
      <c r="B193" s="7">
        <v>46121</v>
      </c>
      <c r="C193" s="7">
        <v>46127</v>
      </c>
      <c r="D193" s="6">
        <v>3271</v>
      </c>
      <c r="E193" s="6">
        <v>336</v>
      </c>
      <c r="F193" s="21">
        <v>4</v>
      </c>
      <c r="G193" s="6">
        <v>6</v>
      </c>
      <c r="H193" s="6">
        <v>81684</v>
      </c>
      <c r="I193" s="6" t="s">
        <v>543</v>
      </c>
      <c r="J193" s="6">
        <v>14919378</v>
      </c>
      <c r="K193" s="6" t="s">
        <v>777</v>
      </c>
      <c r="L193" s="6" t="s">
        <v>779</v>
      </c>
      <c r="M193" s="14">
        <v>219900</v>
      </c>
      <c r="N193" s="64">
        <v>0.75</v>
      </c>
      <c r="O193" s="12">
        <f t="shared" si="3"/>
        <v>54975</v>
      </c>
      <c r="P193" s="6" t="s">
        <v>3499</v>
      </c>
    </row>
    <row r="194" spans="1:16" x14ac:dyDescent="0.25">
      <c r="A194" s="6" t="s">
        <v>3504</v>
      </c>
      <c r="B194" s="7">
        <v>46121</v>
      </c>
      <c r="C194" s="7">
        <v>46127</v>
      </c>
      <c r="D194" s="6">
        <v>3271</v>
      </c>
      <c r="E194" s="6">
        <v>336</v>
      </c>
      <c r="F194" s="21">
        <v>4</v>
      </c>
      <c r="G194" s="6">
        <v>6</v>
      </c>
      <c r="H194" s="6">
        <v>81684</v>
      </c>
      <c r="I194" s="6" t="s">
        <v>543</v>
      </c>
      <c r="J194" s="6">
        <v>14919387</v>
      </c>
      <c r="K194" s="6" t="s">
        <v>777</v>
      </c>
      <c r="L194" s="6" t="s">
        <v>780</v>
      </c>
      <c r="M194" s="14">
        <v>219900</v>
      </c>
      <c r="N194" s="64">
        <v>0.75</v>
      </c>
      <c r="O194" s="12">
        <f t="shared" si="3"/>
        <v>54975</v>
      </c>
      <c r="P194" s="6" t="s">
        <v>3499</v>
      </c>
    </row>
    <row r="195" spans="1:16" x14ac:dyDescent="0.25">
      <c r="A195" s="6" t="s">
        <v>3504</v>
      </c>
      <c r="B195" s="7">
        <v>46121</v>
      </c>
      <c r="C195" s="7">
        <v>46127</v>
      </c>
      <c r="D195" s="6">
        <v>3271</v>
      </c>
      <c r="E195" s="6">
        <v>336</v>
      </c>
      <c r="F195" s="21">
        <v>4</v>
      </c>
      <c r="G195" s="6">
        <v>6</v>
      </c>
      <c r="H195" s="6">
        <v>81684</v>
      </c>
      <c r="I195" s="6" t="s">
        <v>543</v>
      </c>
      <c r="J195" s="6">
        <v>14919396</v>
      </c>
      <c r="K195" s="6" t="s">
        <v>777</v>
      </c>
      <c r="L195" s="6" t="s">
        <v>781</v>
      </c>
      <c r="M195" s="14">
        <v>219900</v>
      </c>
      <c r="N195" s="64">
        <v>0.75</v>
      </c>
      <c r="O195" s="12">
        <f t="shared" ref="O195:O258" si="4">M195-((75*M195)/100)</f>
        <v>54975</v>
      </c>
      <c r="P195" s="6" t="s">
        <v>3499</v>
      </c>
    </row>
    <row r="196" spans="1:16" x14ac:dyDescent="0.25">
      <c r="A196" s="6" t="s">
        <v>3504</v>
      </c>
      <c r="B196" s="7">
        <v>46121</v>
      </c>
      <c r="C196" s="7">
        <v>46127</v>
      </c>
      <c r="D196" s="6">
        <v>3271</v>
      </c>
      <c r="E196" s="6">
        <v>336</v>
      </c>
      <c r="F196" s="21">
        <v>4</v>
      </c>
      <c r="G196" s="6">
        <v>6</v>
      </c>
      <c r="H196" s="6">
        <v>81684</v>
      </c>
      <c r="I196" s="6" t="s">
        <v>543</v>
      </c>
      <c r="J196" s="6">
        <v>14919403</v>
      </c>
      <c r="K196" s="6" t="s">
        <v>782</v>
      </c>
      <c r="L196" s="6" t="s">
        <v>783</v>
      </c>
      <c r="M196" s="14">
        <v>219900</v>
      </c>
      <c r="N196" s="64">
        <v>0.75</v>
      </c>
      <c r="O196" s="12">
        <f t="shared" si="4"/>
        <v>54975</v>
      </c>
      <c r="P196" s="6" t="s">
        <v>3499</v>
      </c>
    </row>
    <row r="197" spans="1:16" x14ac:dyDescent="0.25">
      <c r="A197" s="6" t="s">
        <v>3504</v>
      </c>
      <c r="B197" s="7">
        <v>46121</v>
      </c>
      <c r="C197" s="7">
        <v>46127</v>
      </c>
      <c r="D197" s="6">
        <v>3271</v>
      </c>
      <c r="E197" s="6">
        <v>336</v>
      </c>
      <c r="F197" s="21">
        <v>4</v>
      </c>
      <c r="G197" s="6">
        <v>6</v>
      </c>
      <c r="H197" s="6">
        <v>81684</v>
      </c>
      <c r="I197" s="6" t="s">
        <v>543</v>
      </c>
      <c r="J197" s="6">
        <v>14919412</v>
      </c>
      <c r="K197" s="6" t="s">
        <v>782</v>
      </c>
      <c r="L197" s="6" t="s">
        <v>784</v>
      </c>
      <c r="M197" s="14">
        <v>219900</v>
      </c>
      <c r="N197" s="64">
        <v>0.75</v>
      </c>
      <c r="O197" s="12">
        <f t="shared" si="4"/>
        <v>54975</v>
      </c>
      <c r="P197" s="6" t="s">
        <v>3499</v>
      </c>
    </row>
    <row r="198" spans="1:16" x14ac:dyDescent="0.25">
      <c r="A198" s="6" t="s">
        <v>3504</v>
      </c>
      <c r="B198" s="7">
        <v>46121</v>
      </c>
      <c r="C198" s="7">
        <v>46127</v>
      </c>
      <c r="D198" s="6">
        <v>3271</v>
      </c>
      <c r="E198" s="6">
        <v>336</v>
      </c>
      <c r="F198" s="21">
        <v>4</v>
      </c>
      <c r="G198" s="6">
        <v>6</v>
      </c>
      <c r="H198" s="6">
        <v>81684</v>
      </c>
      <c r="I198" s="6" t="s">
        <v>543</v>
      </c>
      <c r="J198" s="6">
        <v>14919421</v>
      </c>
      <c r="K198" s="6" t="s">
        <v>782</v>
      </c>
      <c r="L198" s="6" t="s">
        <v>785</v>
      </c>
      <c r="M198" s="14">
        <v>219900</v>
      </c>
      <c r="N198" s="64">
        <v>0.75</v>
      </c>
      <c r="O198" s="12">
        <f t="shared" si="4"/>
        <v>54975</v>
      </c>
      <c r="P198" s="6" t="s">
        <v>3499</v>
      </c>
    </row>
    <row r="199" spans="1:16" x14ac:dyDescent="0.25">
      <c r="A199" s="6" t="s">
        <v>3504</v>
      </c>
      <c r="B199" s="7">
        <v>46121</v>
      </c>
      <c r="C199" s="7">
        <v>46127</v>
      </c>
      <c r="D199" s="6">
        <v>3271</v>
      </c>
      <c r="E199" s="6">
        <v>336</v>
      </c>
      <c r="F199" s="21">
        <v>4</v>
      </c>
      <c r="G199" s="6">
        <v>6</v>
      </c>
      <c r="H199" s="6">
        <v>81684</v>
      </c>
      <c r="I199" s="6" t="s">
        <v>543</v>
      </c>
      <c r="J199" s="6">
        <v>14919430</v>
      </c>
      <c r="K199" s="6" t="s">
        <v>782</v>
      </c>
      <c r="L199" s="6" t="s">
        <v>786</v>
      </c>
      <c r="M199" s="14">
        <v>219900</v>
      </c>
      <c r="N199" s="64">
        <v>0.75</v>
      </c>
      <c r="O199" s="12">
        <f t="shared" si="4"/>
        <v>54975</v>
      </c>
      <c r="P199" s="6" t="s">
        <v>3499</v>
      </c>
    </row>
    <row r="200" spans="1:16" x14ac:dyDescent="0.25">
      <c r="A200" s="6" t="s">
        <v>3504</v>
      </c>
      <c r="B200" s="7">
        <v>46121</v>
      </c>
      <c r="C200" s="7">
        <v>46127</v>
      </c>
      <c r="D200" s="6">
        <v>3271</v>
      </c>
      <c r="E200" s="6">
        <v>336</v>
      </c>
      <c r="F200" s="21">
        <v>4</v>
      </c>
      <c r="G200" s="6">
        <v>6</v>
      </c>
      <c r="H200" s="6">
        <v>81684</v>
      </c>
      <c r="I200" s="6" t="s">
        <v>543</v>
      </c>
      <c r="J200" s="6">
        <v>15372920</v>
      </c>
      <c r="K200" s="6" t="s">
        <v>787</v>
      </c>
      <c r="L200" s="6" t="s">
        <v>788</v>
      </c>
      <c r="M200" s="14">
        <v>219900</v>
      </c>
      <c r="N200" s="64">
        <v>0.75</v>
      </c>
      <c r="O200" s="12">
        <f t="shared" si="4"/>
        <v>54975</v>
      </c>
      <c r="P200" s="6" t="s">
        <v>3499</v>
      </c>
    </row>
    <row r="201" spans="1:16" x14ac:dyDescent="0.25">
      <c r="A201" s="6" t="s">
        <v>3504</v>
      </c>
      <c r="B201" s="7">
        <v>46121</v>
      </c>
      <c r="C201" s="7">
        <v>46127</v>
      </c>
      <c r="D201" s="6">
        <v>3271</v>
      </c>
      <c r="E201" s="6">
        <v>336</v>
      </c>
      <c r="F201" s="21">
        <v>4</v>
      </c>
      <c r="G201" s="6">
        <v>6</v>
      </c>
      <c r="H201" s="6">
        <v>81684</v>
      </c>
      <c r="I201" s="6" t="s">
        <v>543</v>
      </c>
      <c r="J201" s="6">
        <v>15372939</v>
      </c>
      <c r="K201" s="6" t="s">
        <v>787</v>
      </c>
      <c r="L201" s="6" t="s">
        <v>789</v>
      </c>
      <c r="M201" s="14">
        <v>219900</v>
      </c>
      <c r="N201" s="64">
        <v>0.75</v>
      </c>
      <c r="O201" s="12">
        <f t="shared" si="4"/>
        <v>54975</v>
      </c>
      <c r="P201" s="6" t="s">
        <v>3499</v>
      </c>
    </row>
    <row r="202" spans="1:16" x14ac:dyDescent="0.25">
      <c r="A202" s="6" t="s">
        <v>3504</v>
      </c>
      <c r="B202" s="7">
        <v>46121</v>
      </c>
      <c r="C202" s="7">
        <v>46127</v>
      </c>
      <c r="D202" s="6">
        <v>3271</v>
      </c>
      <c r="E202" s="6">
        <v>336</v>
      </c>
      <c r="F202" s="21">
        <v>4</v>
      </c>
      <c r="G202" s="6">
        <v>6</v>
      </c>
      <c r="H202" s="6">
        <v>81684</v>
      </c>
      <c r="I202" s="6" t="s">
        <v>543</v>
      </c>
      <c r="J202" s="6">
        <v>15372948</v>
      </c>
      <c r="K202" s="6" t="s">
        <v>787</v>
      </c>
      <c r="L202" s="6" t="s">
        <v>790</v>
      </c>
      <c r="M202" s="14">
        <v>219900</v>
      </c>
      <c r="N202" s="64">
        <v>0.75</v>
      </c>
      <c r="O202" s="12">
        <f t="shared" si="4"/>
        <v>54975</v>
      </c>
      <c r="P202" s="6" t="s">
        <v>3499</v>
      </c>
    </row>
    <row r="203" spans="1:16" x14ac:dyDescent="0.25">
      <c r="A203" s="6" t="s">
        <v>3504</v>
      </c>
      <c r="B203" s="7">
        <v>46121</v>
      </c>
      <c r="C203" s="7">
        <v>46127</v>
      </c>
      <c r="D203" s="6">
        <v>3271</v>
      </c>
      <c r="E203" s="6">
        <v>336</v>
      </c>
      <c r="F203" s="21">
        <v>4</v>
      </c>
      <c r="G203" s="6">
        <v>6</v>
      </c>
      <c r="H203" s="6">
        <v>81684</v>
      </c>
      <c r="I203" s="6" t="s">
        <v>543</v>
      </c>
      <c r="J203" s="6">
        <v>15372957</v>
      </c>
      <c r="K203" s="6" t="s">
        <v>787</v>
      </c>
      <c r="L203" s="6" t="s">
        <v>791</v>
      </c>
      <c r="M203" s="14">
        <v>219900</v>
      </c>
      <c r="N203" s="64">
        <v>0.75</v>
      </c>
      <c r="O203" s="12">
        <f t="shared" si="4"/>
        <v>54975</v>
      </c>
      <c r="P203" s="6" t="s">
        <v>3499</v>
      </c>
    </row>
    <row r="204" spans="1:16" x14ac:dyDescent="0.25">
      <c r="A204" s="6" t="s">
        <v>3504</v>
      </c>
      <c r="B204" s="7">
        <v>46121</v>
      </c>
      <c r="C204" s="7">
        <v>46127</v>
      </c>
      <c r="D204" s="6">
        <v>3271</v>
      </c>
      <c r="E204" s="6">
        <v>336</v>
      </c>
      <c r="F204" s="21">
        <v>4</v>
      </c>
      <c r="G204" s="6">
        <v>6</v>
      </c>
      <c r="H204" s="6">
        <v>81684</v>
      </c>
      <c r="I204" s="6" t="s">
        <v>543</v>
      </c>
      <c r="J204" s="6">
        <v>15372966</v>
      </c>
      <c r="K204" s="6" t="s">
        <v>792</v>
      </c>
      <c r="L204" s="6" t="s">
        <v>793</v>
      </c>
      <c r="M204" s="14">
        <v>219900</v>
      </c>
      <c r="N204" s="64">
        <v>0.75</v>
      </c>
      <c r="O204" s="12">
        <f t="shared" si="4"/>
        <v>54975</v>
      </c>
      <c r="P204" s="6" t="s">
        <v>3499</v>
      </c>
    </row>
    <row r="205" spans="1:16" x14ac:dyDescent="0.25">
      <c r="A205" s="6" t="s">
        <v>3504</v>
      </c>
      <c r="B205" s="7">
        <v>46121</v>
      </c>
      <c r="C205" s="7">
        <v>46127</v>
      </c>
      <c r="D205" s="6">
        <v>3271</v>
      </c>
      <c r="E205" s="6">
        <v>336</v>
      </c>
      <c r="F205" s="21">
        <v>4</v>
      </c>
      <c r="G205" s="6">
        <v>6</v>
      </c>
      <c r="H205" s="6">
        <v>81684</v>
      </c>
      <c r="I205" s="6" t="s">
        <v>543</v>
      </c>
      <c r="J205" s="6">
        <v>15372975</v>
      </c>
      <c r="K205" s="6" t="s">
        <v>792</v>
      </c>
      <c r="L205" s="6" t="s">
        <v>794</v>
      </c>
      <c r="M205" s="14">
        <v>219900</v>
      </c>
      <c r="N205" s="64">
        <v>0.75</v>
      </c>
      <c r="O205" s="12">
        <f t="shared" si="4"/>
        <v>54975</v>
      </c>
      <c r="P205" s="6" t="s">
        <v>3499</v>
      </c>
    </row>
    <row r="206" spans="1:16" x14ac:dyDescent="0.25">
      <c r="A206" s="6" t="s">
        <v>3504</v>
      </c>
      <c r="B206" s="7">
        <v>46121</v>
      </c>
      <c r="C206" s="7">
        <v>46127</v>
      </c>
      <c r="D206" s="6">
        <v>3271</v>
      </c>
      <c r="E206" s="6">
        <v>336</v>
      </c>
      <c r="F206" s="21">
        <v>4</v>
      </c>
      <c r="G206" s="6">
        <v>6</v>
      </c>
      <c r="H206" s="6">
        <v>81684</v>
      </c>
      <c r="I206" s="6" t="s">
        <v>543</v>
      </c>
      <c r="J206" s="6">
        <v>15372984</v>
      </c>
      <c r="K206" s="6" t="s">
        <v>792</v>
      </c>
      <c r="L206" s="6" t="s">
        <v>795</v>
      </c>
      <c r="M206" s="14">
        <v>219900</v>
      </c>
      <c r="N206" s="64">
        <v>0.75</v>
      </c>
      <c r="O206" s="12">
        <f t="shared" si="4"/>
        <v>54975</v>
      </c>
      <c r="P206" s="6" t="s">
        <v>3499</v>
      </c>
    </row>
    <row r="207" spans="1:16" x14ac:dyDescent="0.25">
      <c r="A207" s="6" t="s">
        <v>3504</v>
      </c>
      <c r="B207" s="7">
        <v>46121</v>
      </c>
      <c r="C207" s="7">
        <v>46127</v>
      </c>
      <c r="D207" s="6">
        <v>3271</v>
      </c>
      <c r="E207" s="6">
        <v>336</v>
      </c>
      <c r="F207" s="21">
        <v>4</v>
      </c>
      <c r="G207" s="6">
        <v>6</v>
      </c>
      <c r="H207" s="6">
        <v>81684</v>
      </c>
      <c r="I207" s="6" t="s">
        <v>543</v>
      </c>
      <c r="J207" s="6">
        <v>15372993</v>
      </c>
      <c r="K207" s="6" t="s">
        <v>792</v>
      </c>
      <c r="L207" s="6" t="s">
        <v>796</v>
      </c>
      <c r="M207" s="14">
        <v>219900</v>
      </c>
      <c r="N207" s="64">
        <v>0.75</v>
      </c>
      <c r="O207" s="12">
        <f t="shared" si="4"/>
        <v>54975</v>
      </c>
      <c r="P207" s="6" t="s">
        <v>3499</v>
      </c>
    </row>
    <row r="208" spans="1:16" x14ac:dyDescent="0.25">
      <c r="A208" s="6" t="s">
        <v>3504</v>
      </c>
      <c r="B208" s="7">
        <v>46121</v>
      </c>
      <c r="C208" s="7">
        <v>46127</v>
      </c>
      <c r="D208" s="6">
        <v>3271</v>
      </c>
      <c r="E208" s="6">
        <v>336</v>
      </c>
      <c r="F208" s="21">
        <v>4</v>
      </c>
      <c r="G208" s="6">
        <v>6</v>
      </c>
      <c r="H208" s="6">
        <v>81684</v>
      </c>
      <c r="I208" s="6" t="s">
        <v>543</v>
      </c>
      <c r="J208" s="6">
        <v>15373009</v>
      </c>
      <c r="K208" s="6" t="s">
        <v>797</v>
      </c>
      <c r="L208" s="6" t="s">
        <v>798</v>
      </c>
      <c r="M208" s="14">
        <v>219900</v>
      </c>
      <c r="N208" s="64">
        <v>0.75</v>
      </c>
      <c r="O208" s="12">
        <f t="shared" si="4"/>
        <v>54975</v>
      </c>
      <c r="P208" s="6" t="s">
        <v>3499</v>
      </c>
    </row>
    <row r="209" spans="1:16" x14ac:dyDescent="0.25">
      <c r="A209" s="6" t="s">
        <v>3504</v>
      </c>
      <c r="B209" s="7">
        <v>46121</v>
      </c>
      <c r="C209" s="7">
        <v>46127</v>
      </c>
      <c r="D209" s="6">
        <v>3271</v>
      </c>
      <c r="E209" s="6">
        <v>336</v>
      </c>
      <c r="F209" s="21">
        <v>4</v>
      </c>
      <c r="G209" s="6">
        <v>6</v>
      </c>
      <c r="H209" s="6">
        <v>81684</v>
      </c>
      <c r="I209" s="6" t="s">
        <v>543</v>
      </c>
      <c r="J209" s="6">
        <v>15373018</v>
      </c>
      <c r="K209" s="6" t="s">
        <v>797</v>
      </c>
      <c r="L209" s="6" t="s">
        <v>799</v>
      </c>
      <c r="M209" s="14">
        <v>219900</v>
      </c>
      <c r="N209" s="64">
        <v>0.75</v>
      </c>
      <c r="O209" s="12">
        <f t="shared" si="4"/>
        <v>54975</v>
      </c>
      <c r="P209" s="6" t="s">
        <v>3499</v>
      </c>
    </row>
    <row r="210" spans="1:16" x14ac:dyDescent="0.25">
      <c r="A210" s="6" t="s">
        <v>3504</v>
      </c>
      <c r="B210" s="7">
        <v>46121</v>
      </c>
      <c r="C210" s="7">
        <v>46127</v>
      </c>
      <c r="D210" s="6">
        <v>3271</v>
      </c>
      <c r="E210" s="6">
        <v>336</v>
      </c>
      <c r="F210" s="21">
        <v>4</v>
      </c>
      <c r="G210" s="6">
        <v>6</v>
      </c>
      <c r="H210" s="6">
        <v>81684</v>
      </c>
      <c r="I210" s="6" t="s">
        <v>543</v>
      </c>
      <c r="J210" s="6">
        <v>15373027</v>
      </c>
      <c r="K210" s="6" t="s">
        <v>797</v>
      </c>
      <c r="L210" s="6" t="s">
        <v>800</v>
      </c>
      <c r="M210" s="14">
        <v>219900</v>
      </c>
      <c r="N210" s="64">
        <v>0.75</v>
      </c>
      <c r="O210" s="12">
        <f t="shared" si="4"/>
        <v>54975</v>
      </c>
      <c r="P210" s="6" t="s">
        <v>3499</v>
      </c>
    </row>
    <row r="211" spans="1:16" x14ac:dyDescent="0.25">
      <c r="A211" s="6" t="s">
        <v>3504</v>
      </c>
      <c r="B211" s="7">
        <v>46121</v>
      </c>
      <c r="C211" s="7">
        <v>46127</v>
      </c>
      <c r="D211" s="6">
        <v>3271</v>
      </c>
      <c r="E211" s="6">
        <v>336</v>
      </c>
      <c r="F211" s="21">
        <v>4</v>
      </c>
      <c r="G211" s="6">
        <v>6</v>
      </c>
      <c r="H211" s="6">
        <v>81684</v>
      </c>
      <c r="I211" s="6" t="s">
        <v>543</v>
      </c>
      <c r="J211" s="6">
        <v>15373036</v>
      </c>
      <c r="K211" s="6" t="s">
        <v>797</v>
      </c>
      <c r="L211" s="6" t="s">
        <v>801</v>
      </c>
      <c r="M211" s="14">
        <v>219900</v>
      </c>
      <c r="N211" s="64">
        <v>0.75</v>
      </c>
      <c r="O211" s="12">
        <f t="shared" si="4"/>
        <v>54975</v>
      </c>
      <c r="P211" s="6" t="s">
        <v>3499</v>
      </c>
    </row>
    <row r="212" spans="1:16" x14ac:dyDescent="0.25">
      <c r="A212" s="6" t="s">
        <v>3504</v>
      </c>
      <c r="B212" s="7">
        <v>46121</v>
      </c>
      <c r="C212" s="7">
        <v>46127</v>
      </c>
      <c r="D212" s="6">
        <v>3271</v>
      </c>
      <c r="E212" s="6">
        <v>336</v>
      </c>
      <c r="F212" s="21">
        <v>4</v>
      </c>
      <c r="G212" s="6">
        <v>6</v>
      </c>
      <c r="H212" s="6">
        <v>81684</v>
      </c>
      <c r="I212" s="6" t="s">
        <v>543</v>
      </c>
      <c r="J212" s="6">
        <v>15373045</v>
      </c>
      <c r="K212" s="6" t="s">
        <v>802</v>
      </c>
      <c r="L212" s="6" t="s">
        <v>803</v>
      </c>
      <c r="M212" s="14">
        <v>219900</v>
      </c>
      <c r="N212" s="64">
        <v>0.75</v>
      </c>
      <c r="O212" s="12">
        <f t="shared" si="4"/>
        <v>54975</v>
      </c>
      <c r="P212" s="6" t="s">
        <v>3499</v>
      </c>
    </row>
    <row r="213" spans="1:16" x14ac:dyDescent="0.25">
      <c r="A213" s="6" t="s">
        <v>3504</v>
      </c>
      <c r="B213" s="7">
        <v>46121</v>
      </c>
      <c r="C213" s="7">
        <v>46127</v>
      </c>
      <c r="D213" s="6">
        <v>3271</v>
      </c>
      <c r="E213" s="6">
        <v>336</v>
      </c>
      <c r="F213" s="21">
        <v>4</v>
      </c>
      <c r="G213" s="6">
        <v>6</v>
      </c>
      <c r="H213" s="6">
        <v>81684</v>
      </c>
      <c r="I213" s="6" t="s">
        <v>543</v>
      </c>
      <c r="J213" s="6">
        <v>15373054</v>
      </c>
      <c r="K213" s="6" t="s">
        <v>802</v>
      </c>
      <c r="L213" s="6" t="s">
        <v>804</v>
      </c>
      <c r="M213" s="14">
        <v>219900</v>
      </c>
      <c r="N213" s="64">
        <v>0.75</v>
      </c>
      <c r="O213" s="12">
        <f t="shared" si="4"/>
        <v>54975</v>
      </c>
      <c r="P213" s="6" t="s">
        <v>3499</v>
      </c>
    </row>
    <row r="214" spans="1:16" x14ac:dyDescent="0.25">
      <c r="A214" s="6" t="s">
        <v>3504</v>
      </c>
      <c r="B214" s="7">
        <v>46121</v>
      </c>
      <c r="C214" s="7">
        <v>46127</v>
      </c>
      <c r="D214" s="6">
        <v>3271</v>
      </c>
      <c r="E214" s="6">
        <v>336</v>
      </c>
      <c r="F214" s="21">
        <v>4</v>
      </c>
      <c r="G214" s="6">
        <v>6</v>
      </c>
      <c r="H214" s="6">
        <v>81684</v>
      </c>
      <c r="I214" s="6" t="s">
        <v>543</v>
      </c>
      <c r="J214" s="6">
        <v>15373063</v>
      </c>
      <c r="K214" s="6" t="s">
        <v>802</v>
      </c>
      <c r="L214" s="6" t="s">
        <v>805</v>
      </c>
      <c r="M214" s="14">
        <v>219900</v>
      </c>
      <c r="N214" s="64">
        <v>0.75</v>
      </c>
      <c r="O214" s="12">
        <f t="shared" si="4"/>
        <v>54975</v>
      </c>
      <c r="P214" s="6" t="s">
        <v>3499</v>
      </c>
    </row>
    <row r="215" spans="1:16" x14ac:dyDescent="0.25">
      <c r="A215" s="6" t="s">
        <v>3504</v>
      </c>
      <c r="B215" s="7">
        <v>46121</v>
      </c>
      <c r="C215" s="7">
        <v>46127</v>
      </c>
      <c r="D215" s="6">
        <v>3271</v>
      </c>
      <c r="E215" s="6">
        <v>336</v>
      </c>
      <c r="F215" s="21">
        <v>4</v>
      </c>
      <c r="G215" s="6">
        <v>6</v>
      </c>
      <c r="H215" s="6">
        <v>81684</v>
      </c>
      <c r="I215" s="6" t="s">
        <v>543</v>
      </c>
      <c r="J215" s="6">
        <v>15373072</v>
      </c>
      <c r="K215" s="6" t="s">
        <v>802</v>
      </c>
      <c r="L215" s="6" t="s">
        <v>806</v>
      </c>
      <c r="M215" s="14">
        <v>219900</v>
      </c>
      <c r="N215" s="64">
        <v>0.75</v>
      </c>
      <c r="O215" s="12">
        <f t="shared" si="4"/>
        <v>54975</v>
      </c>
      <c r="P215" s="6" t="s">
        <v>3499</v>
      </c>
    </row>
    <row r="216" spans="1:16" x14ac:dyDescent="0.25">
      <c r="A216" s="6" t="s">
        <v>3504</v>
      </c>
      <c r="B216" s="7">
        <v>46121</v>
      </c>
      <c r="C216" s="7">
        <v>46127</v>
      </c>
      <c r="D216" s="6">
        <v>3271</v>
      </c>
      <c r="E216" s="6">
        <v>336</v>
      </c>
      <c r="F216" s="21">
        <v>4</v>
      </c>
      <c r="G216" s="6">
        <v>6</v>
      </c>
      <c r="H216" s="6">
        <v>81684</v>
      </c>
      <c r="I216" s="6" t="s">
        <v>543</v>
      </c>
      <c r="J216" s="6">
        <v>16281357</v>
      </c>
      <c r="K216" s="6" t="s">
        <v>807</v>
      </c>
      <c r="L216" s="6" t="s">
        <v>808</v>
      </c>
      <c r="M216" s="14">
        <v>219900</v>
      </c>
      <c r="N216" s="64">
        <v>0.75</v>
      </c>
      <c r="O216" s="12">
        <f t="shared" si="4"/>
        <v>54975</v>
      </c>
      <c r="P216" s="6" t="s">
        <v>3499</v>
      </c>
    </row>
    <row r="217" spans="1:16" x14ac:dyDescent="0.25">
      <c r="A217" s="6" t="s">
        <v>3504</v>
      </c>
      <c r="B217" s="7">
        <v>46121</v>
      </c>
      <c r="C217" s="7">
        <v>46127</v>
      </c>
      <c r="D217" s="6">
        <v>3271</v>
      </c>
      <c r="E217" s="6">
        <v>336</v>
      </c>
      <c r="F217" s="21">
        <v>4</v>
      </c>
      <c r="G217" s="6">
        <v>6</v>
      </c>
      <c r="H217" s="6">
        <v>81684</v>
      </c>
      <c r="I217" s="6" t="s">
        <v>543</v>
      </c>
      <c r="J217" s="6">
        <v>16281366</v>
      </c>
      <c r="K217" s="6" t="s">
        <v>807</v>
      </c>
      <c r="L217" s="6" t="s">
        <v>809</v>
      </c>
      <c r="M217" s="14">
        <v>219900</v>
      </c>
      <c r="N217" s="64">
        <v>0.75</v>
      </c>
      <c r="O217" s="12">
        <f t="shared" si="4"/>
        <v>54975</v>
      </c>
      <c r="P217" s="6" t="s">
        <v>3499</v>
      </c>
    </row>
    <row r="218" spans="1:16" x14ac:dyDescent="0.25">
      <c r="A218" s="6" t="s">
        <v>3504</v>
      </c>
      <c r="B218" s="7">
        <v>46121</v>
      </c>
      <c r="C218" s="7">
        <v>46127</v>
      </c>
      <c r="D218" s="6">
        <v>3271</v>
      </c>
      <c r="E218" s="6">
        <v>336</v>
      </c>
      <c r="F218" s="21">
        <v>4</v>
      </c>
      <c r="G218" s="6">
        <v>6</v>
      </c>
      <c r="H218" s="6">
        <v>81684</v>
      </c>
      <c r="I218" s="6" t="s">
        <v>543</v>
      </c>
      <c r="J218" s="6">
        <v>16281375</v>
      </c>
      <c r="K218" s="6" t="s">
        <v>807</v>
      </c>
      <c r="L218" s="6" t="s">
        <v>810</v>
      </c>
      <c r="M218" s="14">
        <v>219900</v>
      </c>
      <c r="N218" s="64">
        <v>0.75</v>
      </c>
      <c r="O218" s="12">
        <f t="shared" si="4"/>
        <v>54975</v>
      </c>
      <c r="P218" s="6" t="s">
        <v>3499</v>
      </c>
    </row>
    <row r="219" spans="1:16" x14ac:dyDescent="0.25">
      <c r="A219" s="6" t="s">
        <v>3504</v>
      </c>
      <c r="B219" s="7">
        <v>46121</v>
      </c>
      <c r="C219" s="7">
        <v>46127</v>
      </c>
      <c r="D219" s="6">
        <v>3271</v>
      </c>
      <c r="E219" s="6">
        <v>336</v>
      </c>
      <c r="F219" s="21">
        <v>4</v>
      </c>
      <c r="G219" s="6">
        <v>6</v>
      </c>
      <c r="H219" s="6">
        <v>81684</v>
      </c>
      <c r="I219" s="6" t="s">
        <v>543</v>
      </c>
      <c r="J219" s="6">
        <v>16281384</v>
      </c>
      <c r="K219" s="6" t="s">
        <v>807</v>
      </c>
      <c r="L219" s="6" t="s">
        <v>811</v>
      </c>
      <c r="M219" s="14">
        <v>219900</v>
      </c>
      <c r="N219" s="64">
        <v>0.75</v>
      </c>
      <c r="O219" s="12">
        <f t="shared" si="4"/>
        <v>54975</v>
      </c>
      <c r="P219" s="6" t="s">
        <v>3499</v>
      </c>
    </row>
    <row r="220" spans="1:16" x14ac:dyDescent="0.25">
      <c r="A220" s="6" t="s">
        <v>3504</v>
      </c>
      <c r="B220" s="7">
        <v>46121</v>
      </c>
      <c r="C220" s="7">
        <v>46127</v>
      </c>
      <c r="D220" s="6">
        <v>3271</v>
      </c>
      <c r="E220" s="6">
        <v>336</v>
      </c>
      <c r="F220" s="21">
        <v>4</v>
      </c>
      <c r="G220" s="6">
        <v>6</v>
      </c>
      <c r="H220" s="6">
        <v>81684</v>
      </c>
      <c r="I220" s="6" t="s">
        <v>543</v>
      </c>
      <c r="J220" s="6">
        <v>14917441</v>
      </c>
      <c r="K220" s="6" t="s">
        <v>812</v>
      </c>
      <c r="L220" s="6" t="s">
        <v>813</v>
      </c>
      <c r="M220" s="14">
        <v>219900</v>
      </c>
      <c r="N220" s="64">
        <v>0.75</v>
      </c>
      <c r="O220" s="12">
        <f t="shared" si="4"/>
        <v>54975</v>
      </c>
      <c r="P220" s="6" t="s">
        <v>3499</v>
      </c>
    </row>
    <row r="221" spans="1:16" x14ac:dyDescent="0.25">
      <c r="A221" s="6" t="s">
        <v>3504</v>
      </c>
      <c r="B221" s="7">
        <v>46121</v>
      </c>
      <c r="C221" s="7">
        <v>46127</v>
      </c>
      <c r="D221" s="6">
        <v>3271</v>
      </c>
      <c r="E221" s="6">
        <v>336</v>
      </c>
      <c r="F221" s="21">
        <v>4</v>
      </c>
      <c r="G221" s="6">
        <v>6</v>
      </c>
      <c r="H221" s="6">
        <v>81684</v>
      </c>
      <c r="I221" s="6" t="s">
        <v>543</v>
      </c>
      <c r="J221" s="6">
        <v>14917450</v>
      </c>
      <c r="K221" s="6" t="s">
        <v>812</v>
      </c>
      <c r="L221" s="6" t="s">
        <v>814</v>
      </c>
      <c r="M221" s="14">
        <v>219900</v>
      </c>
      <c r="N221" s="64">
        <v>0.75</v>
      </c>
      <c r="O221" s="12">
        <f t="shared" si="4"/>
        <v>54975</v>
      </c>
      <c r="P221" s="6" t="s">
        <v>3499</v>
      </c>
    </row>
    <row r="222" spans="1:16" x14ac:dyDescent="0.25">
      <c r="A222" s="6" t="s">
        <v>3504</v>
      </c>
      <c r="B222" s="7">
        <v>46121</v>
      </c>
      <c r="C222" s="7">
        <v>46127</v>
      </c>
      <c r="D222" s="6">
        <v>3271</v>
      </c>
      <c r="E222" s="6">
        <v>336</v>
      </c>
      <c r="F222" s="21">
        <v>4</v>
      </c>
      <c r="G222" s="6">
        <v>6</v>
      </c>
      <c r="H222" s="6">
        <v>81684</v>
      </c>
      <c r="I222" s="6" t="s">
        <v>543</v>
      </c>
      <c r="J222" s="6">
        <v>14917469</v>
      </c>
      <c r="K222" s="6" t="s">
        <v>812</v>
      </c>
      <c r="L222" s="6" t="s">
        <v>815</v>
      </c>
      <c r="M222" s="14">
        <v>219900</v>
      </c>
      <c r="N222" s="64">
        <v>0.75</v>
      </c>
      <c r="O222" s="12">
        <f t="shared" si="4"/>
        <v>54975</v>
      </c>
      <c r="P222" s="6" t="s">
        <v>3499</v>
      </c>
    </row>
    <row r="223" spans="1:16" x14ac:dyDescent="0.25">
      <c r="A223" s="6" t="s">
        <v>3504</v>
      </c>
      <c r="B223" s="7">
        <v>46121</v>
      </c>
      <c r="C223" s="7">
        <v>46127</v>
      </c>
      <c r="D223" s="6">
        <v>3271</v>
      </c>
      <c r="E223" s="6">
        <v>336</v>
      </c>
      <c r="F223" s="21">
        <v>4</v>
      </c>
      <c r="G223" s="6">
        <v>6</v>
      </c>
      <c r="H223" s="6">
        <v>81684</v>
      </c>
      <c r="I223" s="6" t="s">
        <v>543</v>
      </c>
      <c r="J223" s="6">
        <v>14917478</v>
      </c>
      <c r="K223" s="6" t="s">
        <v>812</v>
      </c>
      <c r="L223" s="6" t="s">
        <v>816</v>
      </c>
      <c r="M223" s="14">
        <v>219900</v>
      </c>
      <c r="N223" s="64">
        <v>0.75</v>
      </c>
      <c r="O223" s="12">
        <f t="shared" si="4"/>
        <v>54975</v>
      </c>
      <c r="P223" s="6" t="s">
        <v>3499</v>
      </c>
    </row>
    <row r="224" spans="1:16" x14ac:dyDescent="0.25">
      <c r="A224" s="6" t="s">
        <v>3504</v>
      </c>
      <c r="B224" s="7">
        <v>46121</v>
      </c>
      <c r="C224" s="7">
        <v>46127</v>
      </c>
      <c r="D224" s="6">
        <v>3271</v>
      </c>
      <c r="E224" s="6">
        <v>336</v>
      </c>
      <c r="F224" s="21">
        <v>4</v>
      </c>
      <c r="G224" s="6">
        <v>6</v>
      </c>
      <c r="H224" s="6">
        <v>81684</v>
      </c>
      <c r="I224" s="6" t="s">
        <v>543</v>
      </c>
      <c r="J224" s="6">
        <v>14917727</v>
      </c>
      <c r="K224" s="6" t="s">
        <v>817</v>
      </c>
      <c r="L224" s="6" t="s">
        <v>818</v>
      </c>
      <c r="M224" s="14">
        <v>219900</v>
      </c>
      <c r="N224" s="64">
        <v>0.75</v>
      </c>
      <c r="O224" s="12">
        <f t="shared" si="4"/>
        <v>54975</v>
      </c>
      <c r="P224" s="6" t="s">
        <v>3499</v>
      </c>
    </row>
    <row r="225" spans="1:16" x14ac:dyDescent="0.25">
      <c r="A225" s="6" t="s">
        <v>3504</v>
      </c>
      <c r="B225" s="7">
        <v>46121</v>
      </c>
      <c r="C225" s="7">
        <v>46127</v>
      </c>
      <c r="D225" s="6">
        <v>3271</v>
      </c>
      <c r="E225" s="6">
        <v>336</v>
      </c>
      <c r="F225" s="21">
        <v>4</v>
      </c>
      <c r="G225" s="6">
        <v>6</v>
      </c>
      <c r="H225" s="6">
        <v>81684</v>
      </c>
      <c r="I225" s="6" t="s">
        <v>543</v>
      </c>
      <c r="J225" s="6">
        <v>14917736</v>
      </c>
      <c r="K225" s="6" t="s">
        <v>817</v>
      </c>
      <c r="L225" s="6" t="s">
        <v>819</v>
      </c>
      <c r="M225" s="14">
        <v>219900</v>
      </c>
      <c r="N225" s="64">
        <v>0.75</v>
      </c>
      <c r="O225" s="12">
        <f t="shared" si="4"/>
        <v>54975</v>
      </c>
      <c r="P225" s="6" t="s">
        <v>3499</v>
      </c>
    </row>
    <row r="226" spans="1:16" x14ac:dyDescent="0.25">
      <c r="A226" s="6" t="s">
        <v>3504</v>
      </c>
      <c r="B226" s="7">
        <v>46121</v>
      </c>
      <c r="C226" s="7">
        <v>46127</v>
      </c>
      <c r="D226" s="6">
        <v>3271</v>
      </c>
      <c r="E226" s="6">
        <v>336</v>
      </c>
      <c r="F226" s="21">
        <v>4</v>
      </c>
      <c r="G226" s="6">
        <v>6</v>
      </c>
      <c r="H226" s="6">
        <v>81684</v>
      </c>
      <c r="I226" s="6" t="s">
        <v>543</v>
      </c>
      <c r="J226" s="6">
        <v>14917745</v>
      </c>
      <c r="K226" s="6" t="s">
        <v>817</v>
      </c>
      <c r="L226" s="6" t="s">
        <v>820</v>
      </c>
      <c r="M226" s="14">
        <v>219900</v>
      </c>
      <c r="N226" s="64">
        <v>0.75</v>
      </c>
      <c r="O226" s="12">
        <f t="shared" si="4"/>
        <v>54975</v>
      </c>
      <c r="P226" s="6" t="s">
        <v>3499</v>
      </c>
    </row>
    <row r="227" spans="1:16" x14ac:dyDescent="0.25">
      <c r="A227" s="6" t="s">
        <v>3504</v>
      </c>
      <c r="B227" s="7">
        <v>46121</v>
      </c>
      <c r="C227" s="7">
        <v>46127</v>
      </c>
      <c r="D227" s="6">
        <v>3271</v>
      </c>
      <c r="E227" s="6">
        <v>336</v>
      </c>
      <c r="F227" s="21">
        <v>4</v>
      </c>
      <c r="G227" s="6">
        <v>6</v>
      </c>
      <c r="H227" s="6">
        <v>81684</v>
      </c>
      <c r="I227" s="6" t="s">
        <v>543</v>
      </c>
      <c r="J227" s="6">
        <v>14917754</v>
      </c>
      <c r="K227" s="6" t="s">
        <v>817</v>
      </c>
      <c r="L227" s="6" t="s">
        <v>821</v>
      </c>
      <c r="M227" s="14">
        <v>219900</v>
      </c>
      <c r="N227" s="64">
        <v>0.75</v>
      </c>
      <c r="O227" s="12">
        <f t="shared" si="4"/>
        <v>54975</v>
      </c>
      <c r="P227" s="6" t="s">
        <v>3499</v>
      </c>
    </row>
    <row r="228" spans="1:16" x14ac:dyDescent="0.25">
      <c r="A228" s="6" t="s">
        <v>3504</v>
      </c>
      <c r="B228" s="7">
        <v>46121</v>
      </c>
      <c r="C228" s="7">
        <v>46127</v>
      </c>
      <c r="D228" s="6">
        <v>3271</v>
      </c>
      <c r="E228" s="6">
        <v>336</v>
      </c>
      <c r="F228" s="21">
        <v>4</v>
      </c>
      <c r="G228" s="6">
        <v>6</v>
      </c>
      <c r="H228" s="6">
        <v>81684</v>
      </c>
      <c r="I228" s="6" t="s">
        <v>543</v>
      </c>
      <c r="J228" s="6">
        <v>14917807</v>
      </c>
      <c r="K228" s="6" t="s">
        <v>822</v>
      </c>
      <c r="L228" s="6" t="s">
        <v>823</v>
      </c>
      <c r="M228" s="14">
        <v>219900</v>
      </c>
      <c r="N228" s="64">
        <v>0.75</v>
      </c>
      <c r="O228" s="12">
        <f t="shared" si="4"/>
        <v>54975</v>
      </c>
      <c r="P228" s="6" t="s">
        <v>3499</v>
      </c>
    </row>
    <row r="229" spans="1:16" x14ac:dyDescent="0.25">
      <c r="A229" s="6" t="s">
        <v>3504</v>
      </c>
      <c r="B229" s="7">
        <v>46121</v>
      </c>
      <c r="C229" s="7">
        <v>46127</v>
      </c>
      <c r="D229" s="6">
        <v>3271</v>
      </c>
      <c r="E229" s="6">
        <v>336</v>
      </c>
      <c r="F229" s="21">
        <v>4</v>
      </c>
      <c r="G229" s="6">
        <v>6</v>
      </c>
      <c r="H229" s="6">
        <v>81684</v>
      </c>
      <c r="I229" s="6" t="s">
        <v>543</v>
      </c>
      <c r="J229" s="6">
        <v>14917816</v>
      </c>
      <c r="K229" s="6" t="s">
        <v>822</v>
      </c>
      <c r="L229" s="6" t="s">
        <v>824</v>
      </c>
      <c r="M229" s="14">
        <v>219900</v>
      </c>
      <c r="N229" s="64">
        <v>0.75</v>
      </c>
      <c r="O229" s="12">
        <f t="shared" si="4"/>
        <v>54975</v>
      </c>
      <c r="P229" s="6" t="s">
        <v>3499</v>
      </c>
    </row>
    <row r="230" spans="1:16" x14ac:dyDescent="0.25">
      <c r="A230" s="6" t="s">
        <v>3504</v>
      </c>
      <c r="B230" s="7">
        <v>46121</v>
      </c>
      <c r="C230" s="7">
        <v>46127</v>
      </c>
      <c r="D230" s="6">
        <v>3271</v>
      </c>
      <c r="E230" s="6">
        <v>336</v>
      </c>
      <c r="F230" s="21">
        <v>4</v>
      </c>
      <c r="G230" s="6">
        <v>6</v>
      </c>
      <c r="H230" s="6">
        <v>81684</v>
      </c>
      <c r="I230" s="6" t="s">
        <v>543</v>
      </c>
      <c r="J230" s="6">
        <v>14917825</v>
      </c>
      <c r="K230" s="6" t="s">
        <v>822</v>
      </c>
      <c r="L230" s="6" t="s">
        <v>825</v>
      </c>
      <c r="M230" s="14">
        <v>219900</v>
      </c>
      <c r="N230" s="64">
        <v>0.75</v>
      </c>
      <c r="O230" s="12">
        <f t="shared" si="4"/>
        <v>54975</v>
      </c>
      <c r="P230" s="6" t="s">
        <v>3499</v>
      </c>
    </row>
    <row r="231" spans="1:16" x14ac:dyDescent="0.25">
      <c r="A231" s="6" t="s">
        <v>3504</v>
      </c>
      <c r="B231" s="7">
        <v>46121</v>
      </c>
      <c r="C231" s="7">
        <v>46127</v>
      </c>
      <c r="D231" s="6">
        <v>3271</v>
      </c>
      <c r="E231" s="6">
        <v>336</v>
      </c>
      <c r="F231" s="21">
        <v>4</v>
      </c>
      <c r="G231" s="6">
        <v>6</v>
      </c>
      <c r="H231" s="6">
        <v>81684</v>
      </c>
      <c r="I231" s="6" t="s">
        <v>543</v>
      </c>
      <c r="J231" s="6">
        <v>14917834</v>
      </c>
      <c r="K231" s="6" t="s">
        <v>822</v>
      </c>
      <c r="L231" s="6" t="s">
        <v>826</v>
      </c>
      <c r="M231" s="14">
        <v>219900</v>
      </c>
      <c r="N231" s="64">
        <v>0.75</v>
      </c>
      <c r="O231" s="12">
        <f t="shared" si="4"/>
        <v>54975</v>
      </c>
      <c r="P231" s="6" t="s">
        <v>3499</v>
      </c>
    </row>
    <row r="232" spans="1:16" x14ac:dyDescent="0.25">
      <c r="A232" s="6" t="s">
        <v>3504</v>
      </c>
      <c r="B232" s="7">
        <v>46121</v>
      </c>
      <c r="C232" s="7">
        <v>46127</v>
      </c>
      <c r="D232" s="6">
        <v>3271</v>
      </c>
      <c r="E232" s="6">
        <v>336</v>
      </c>
      <c r="F232" s="21">
        <v>4</v>
      </c>
      <c r="G232" s="6">
        <v>6</v>
      </c>
      <c r="H232" s="6">
        <v>81684</v>
      </c>
      <c r="I232" s="6" t="s">
        <v>543</v>
      </c>
      <c r="J232" s="6">
        <v>14917843</v>
      </c>
      <c r="K232" s="6" t="s">
        <v>827</v>
      </c>
      <c r="L232" s="6" t="s">
        <v>828</v>
      </c>
      <c r="M232" s="14">
        <v>219900</v>
      </c>
      <c r="N232" s="64">
        <v>0.75</v>
      </c>
      <c r="O232" s="12">
        <f t="shared" si="4"/>
        <v>54975</v>
      </c>
      <c r="P232" s="6" t="s">
        <v>3499</v>
      </c>
    </row>
    <row r="233" spans="1:16" x14ac:dyDescent="0.25">
      <c r="A233" s="6" t="s">
        <v>3504</v>
      </c>
      <c r="B233" s="7">
        <v>46121</v>
      </c>
      <c r="C233" s="7">
        <v>46127</v>
      </c>
      <c r="D233" s="6">
        <v>3271</v>
      </c>
      <c r="E233" s="6">
        <v>336</v>
      </c>
      <c r="F233" s="21">
        <v>4</v>
      </c>
      <c r="G233" s="6">
        <v>6</v>
      </c>
      <c r="H233" s="6">
        <v>81684</v>
      </c>
      <c r="I233" s="6" t="s">
        <v>543</v>
      </c>
      <c r="J233" s="6">
        <v>14917852</v>
      </c>
      <c r="K233" s="6" t="s">
        <v>827</v>
      </c>
      <c r="L233" s="6" t="s">
        <v>829</v>
      </c>
      <c r="M233" s="14">
        <v>219900</v>
      </c>
      <c r="N233" s="64">
        <v>0.75</v>
      </c>
      <c r="O233" s="12">
        <f t="shared" si="4"/>
        <v>54975</v>
      </c>
      <c r="P233" s="6" t="s">
        <v>3499</v>
      </c>
    </row>
    <row r="234" spans="1:16" x14ac:dyDescent="0.25">
      <c r="A234" s="6" t="s">
        <v>3504</v>
      </c>
      <c r="B234" s="7">
        <v>46121</v>
      </c>
      <c r="C234" s="7">
        <v>46127</v>
      </c>
      <c r="D234" s="6">
        <v>3271</v>
      </c>
      <c r="E234" s="6">
        <v>336</v>
      </c>
      <c r="F234" s="21">
        <v>4</v>
      </c>
      <c r="G234" s="6">
        <v>6</v>
      </c>
      <c r="H234" s="6">
        <v>81684</v>
      </c>
      <c r="I234" s="6" t="s">
        <v>543</v>
      </c>
      <c r="J234" s="6">
        <v>14917861</v>
      </c>
      <c r="K234" s="6" t="s">
        <v>827</v>
      </c>
      <c r="L234" s="6" t="s">
        <v>830</v>
      </c>
      <c r="M234" s="14">
        <v>219900</v>
      </c>
      <c r="N234" s="64">
        <v>0.75</v>
      </c>
      <c r="O234" s="12">
        <f t="shared" si="4"/>
        <v>54975</v>
      </c>
      <c r="P234" s="6" t="s">
        <v>3499</v>
      </c>
    </row>
    <row r="235" spans="1:16" x14ac:dyDescent="0.25">
      <c r="A235" s="6" t="s">
        <v>3504</v>
      </c>
      <c r="B235" s="7">
        <v>46121</v>
      </c>
      <c r="C235" s="7">
        <v>46127</v>
      </c>
      <c r="D235" s="6">
        <v>3271</v>
      </c>
      <c r="E235" s="6">
        <v>336</v>
      </c>
      <c r="F235" s="21">
        <v>4</v>
      </c>
      <c r="G235" s="6">
        <v>6</v>
      </c>
      <c r="H235" s="6">
        <v>81684</v>
      </c>
      <c r="I235" s="6" t="s">
        <v>543</v>
      </c>
      <c r="J235" s="6">
        <v>14917870</v>
      </c>
      <c r="K235" s="6" t="s">
        <v>827</v>
      </c>
      <c r="L235" s="6" t="s">
        <v>831</v>
      </c>
      <c r="M235" s="14">
        <v>219900</v>
      </c>
      <c r="N235" s="64">
        <v>0.75</v>
      </c>
      <c r="O235" s="12">
        <f t="shared" si="4"/>
        <v>54975</v>
      </c>
      <c r="P235" s="6" t="s">
        <v>3499</v>
      </c>
    </row>
    <row r="236" spans="1:16" x14ac:dyDescent="0.25">
      <c r="A236" s="6" t="s">
        <v>3504</v>
      </c>
      <c r="B236" s="7">
        <v>46121</v>
      </c>
      <c r="C236" s="7">
        <v>46127</v>
      </c>
      <c r="D236" s="6">
        <v>3271</v>
      </c>
      <c r="E236" s="6">
        <v>336</v>
      </c>
      <c r="F236" s="21">
        <v>4</v>
      </c>
      <c r="G236" s="6">
        <v>6</v>
      </c>
      <c r="H236" s="6">
        <v>81684</v>
      </c>
      <c r="I236" s="6" t="s">
        <v>543</v>
      </c>
      <c r="J236" s="6">
        <v>14917889</v>
      </c>
      <c r="K236" s="6" t="s">
        <v>832</v>
      </c>
      <c r="L236" s="6" t="s">
        <v>833</v>
      </c>
      <c r="M236" s="14">
        <v>219900</v>
      </c>
      <c r="N236" s="64">
        <v>0.75</v>
      </c>
      <c r="O236" s="12">
        <f t="shared" si="4"/>
        <v>54975</v>
      </c>
      <c r="P236" s="6" t="s">
        <v>3499</v>
      </c>
    </row>
    <row r="237" spans="1:16" x14ac:dyDescent="0.25">
      <c r="A237" s="6" t="s">
        <v>3504</v>
      </c>
      <c r="B237" s="7">
        <v>46121</v>
      </c>
      <c r="C237" s="7">
        <v>46127</v>
      </c>
      <c r="D237" s="6">
        <v>3271</v>
      </c>
      <c r="E237" s="6">
        <v>336</v>
      </c>
      <c r="F237" s="21">
        <v>4</v>
      </c>
      <c r="G237" s="6">
        <v>6</v>
      </c>
      <c r="H237" s="6">
        <v>81684</v>
      </c>
      <c r="I237" s="6" t="s">
        <v>543</v>
      </c>
      <c r="J237" s="6">
        <v>14917898</v>
      </c>
      <c r="K237" s="6" t="s">
        <v>832</v>
      </c>
      <c r="L237" s="6" t="s">
        <v>834</v>
      </c>
      <c r="M237" s="14">
        <v>219900</v>
      </c>
      <c r="N237" s="64">
        <v>0.75</v>
      </c>
      <c r="O237" s="12">
        <f t="shared" si="4"/>
        <v>54975</v>
      </c>
      <c r="P237" s="6" t="s">
        <v>3499</v>
      </c>
    </row>
    <row r="238" spans="1:16" x14ac:dyDescent="0.25">
      <c r="A238" s="6" t="s">
        <v>3504</v>
      </c>
      <c r="B238" s="7">
        <v>46121</v>
      </c>
      <c r="C238" s="7">
        <v>46127</v>
      </c>
      <c r="D238" s="6">
        <v>3271</v>
      </c>
      <c r="E238" s="6">
        <v>336</v>
      </c>
      <c r="F238" s="21">
        <v>4</v>
      </c>
      <c r="G238" s="6">
        <v>6</v>
      </c>
      <c r="H238" s="6">
        <v>81684</v>
      </c>
      <c r="I238" s="6" t="s">
        <v>543</v>
      </c>
      <c r="J238" s="6">
        <v>14917905</v>
      </c>
      <c r="K238" s="6" t="s">
        <v>832</v>
      </c>
      <c r="L238" s="6" t="s">
        <v>835</v>
      </c>
      <c r="M238" s="14">
        <v>219900</v>
      </c>
      <c r="N238" s="64">
        <v>0.75</v>
      </c>
      <c r="O238" s="12">
        <f t="shared" si="4"/>
        <v>54975</v>
      </c>
      <c r="P238" s="6" t="s">
        <v>3499</v>
      </c>
    </row>
    <row r="239" spans="1:16" s="61" customFormat="1" x14ac:dyDescent="0.25">
      <c r="A239" s="55" t="s">
        <v>3504</v>
      </c>
      <c r="B239" s="56">
        <v>46121</v>
      </c>
      <c r="C239" s="56">
        <v>46127</v>
      </c>
      <c r="D239" s="55">
        <v>3271</v>
      </c>
      <c r="E239" s="55">
        <v>336</v>
      </c>
      <c r="F239" s="55">
        <v>4</v>
      </c>
      <c r="G239" s="55">
        <v>6</v>
      </c>
      <c r="H239" s="55">
        <v>81676</v>
      </c>
      <c r="I239" s="55" t="s">
        <v>543</v>
      </c>
      <c r="J239" s="55">
        <v>15132573</v>
      </c>
      <c r="K239" s="55" t="s">
        <v>863</v>
      </c>
      <c r="L239" s="59" t="s">
        <v>864</v>
      </c>
      <c r="M239" s="19">
        <v>79900</v>
      </c>
      <c r="N239" s="62">
        <v>0.75</v>
      </c>
      <c r="O239" s="60">
        <f t="shared" si="4"/>
        <v>19975</v>
      </c>
      <c r="P239" s="55" t="s">
        <v>3499</v>
      </c>
    </row>
    <row r="240" spans="1:16" s="61" customFormat="1" x14ac:dyDescent="0.25">
      <c r="A240" s="55" t="s">
        <v>3504</v>
      </c>
      <c r="B240" s="56">
        <v>46121</v>
      </c>
      <c r="C240" s="56">
        <v>46127</v>
      </c>
      <c r="D240" s="55">
        <v>3271</v>
      </c>
      <c r="E240" s="55">
        <v>336</v>
      </c>
      <c r="F240" s="55">
        <v>4</v>
      </c>
      <c r="G240" s="55">
        <v>6</v>
      </c>
      <c r="H240" s="55">
        <v>81676</v>
      </c>
      <c r="I240" s="55" t="s">
        <v>543</v>
      </c>
      <c r="J240" s="55">
        <v>15132582</v>
      </c>
      <c r="K240" s="55" t="s">
        <v>863</v>
      </c>
      <c r="L240" s="59" t="s">
        <v>865</v>
      </c>
      <c r="M240" s="19">
        <v>79900</v>
      </c>
      <c r="N240" s="62">
        <v>0.75</v>
      </c>
      <c r="O240" s="60">
        <f t="shared" si="4"/>
        <v>19975</v>
      </c>
      <c r="P240" s="55" t="s">
        <v>3499</v>
      </c>
    </row>
    <row r="241" spans="1:16" s="61" customFormat="1" x14ac:dyDescent="0.25">
      <c r="A241" s="55" t="s">
        <v>3504</v>
      </c>
      <c r="B241" s="56">
        <v>46121</v>
      </c>
      <c r="C241" s="56">
        <v>46127</v>
      </c>
      <c r="D241" s="55">
        <v>3271</v>
      </c>
      <c r="E241" s="55">
        <v>336</v>
      </c>
      <c r="F241" s="55">
        <v>4</v>
      </c>
      <c r="G241" s="55">
        <v>6</v>
      </c>
      <c r="H241" s="55">
        <v>81676</v>
      </c>
      <c r="I241" s="55" t="s">
        <v>543</v>
      </c>
      <c r="J241" s="55">
        <v>15132591</v>
      </c>
      <c r="K241" s="55" t="s">
        <v>863</v>
      </c>
      <c r="L241" s="59" t="s">
        <v>866</v>
      </c>
      <c r="M241" s="19">
        <v>79900</v>
      </c>
      <c r="N241" s="62">
        <v>0.75</v>
      </c>
      <c r="O241" s="60">
        <f t="shared" si="4"/>
        <v>19975</v>
      </c>
      <c r="P241" s="55" t="s">
        <v>3499</v>
      </c>
    </row>
    <row r="242" spans="1:16" s="61" customFormat="1" x14ac:dyDescent="0.25">
      <c r="A242" s="55" t="s">
        <v>3504</v>
      </c>
      <c r="B242" s="56">
        <v>46121</v>
      </c>
      <c r="C242" s="56">
        <v>46127</v>
      </c>
      <c r="D242" s="55">
        <v>3271</v>
      </c>
      <c r="E242" s="55">
        <v>336</v>
      </c>
      <c r="F242" s="55">
        <v>4</v>
      </c>
      <c r="G242" s="55">
        <v>6</v>
      </c>
      <c r="H242" s="55">
        <v>81684</v>
      </c>
      <c r="I242" s="55" t="s">
        <v>543</v>
      </c>
      <c r="J242" s="55">
        <v>15713936</v>
      </c>
      <c r="K242" s="55" t="s">
        <v>867</v>
      </c>
      <c r="L242" s="59" t="s">
        <v>868</v>
      </c>
      <c r="M242" s="19">
        <v>79900</v>
      </c>
      <c r="N242" s="62">
        <v>0.75</v>
      </c>
      <c r="O242" s="60">
        <f t="shared" si="4"/>
        <v>19975</v>
      </c>
      <c r="P242" s="55" t="s">
        <v>3499</v>
      </c>
    </row>
    <row r="243" spans="1:16" s="61" customFormat="1" x14ac:dyDescent="0.25">
      <c r="A243" s="55" t="s">
        <v>3504</v>
      </c>
      <c r="B243" s="56">
        <v>46121</v>
      </c>
      <c r="C243" s="56">
        <v>46127</v>
      </c>
      <c r="D243" s="55">
        <v>3271</v>
      </c>
      <c r="E243" s="55">
        <v>336</v>
      </c>
      <c r="F243" s="55">
        <v>4</v>
      </c>
      <c r="G243" s="55">
        <v>6</v>
      </c>
      <c r="H243" s="55">
        <v>81684</v>
      </c>
      <c r="I243" s="55" t="s">
        <v>543</v>
      </c>
      <c r="J243" s="55">
        <v>15713945</v>
      </c>
      <c r="K243" s="55" t="s">
        <v>867</v>
      </c>
      <c r="L243" s="59" t="s">
        <v>869</v>
      </c>
      <c r="M243" s="19">
        <v>79900</v>
      </c>
      <c r="N243" s="62">
        <v>0.75</v>
      </c>
      <c r="O243" s="60">
        <f t="shared" si="4"/>
        <v>19975</v>
      </c>
      <c r="P243" s="55" t="s">
        <v>3499</v>
      </c>
    </row>
    <row r="244" spans="1:16" s="61" customFormat="1" x14ac:dyDescent="0.25">
      <c r="A244" s="55" t="s">
        <v>3504</v>
      </c>
      <c r="B244" s="56">
        <v>46121</v>
      </c>
      <c r="C244" s="56">
        <v>46127</v>
      </c>
      <c r="D244" s="55">
        <v>3271</v>
      </c>
      <c r="E244" s="55">
        <v>336</v>
      </c>
      <c r="F244" s="55">
        <v>4</v>
      </c>
      <c r="G244" s="55">
        <v>6</v>
      </c>
      <c r="H244" s="55">
        <v>81684</v>
      </c>
      <c r="I244" s="55" t="s">
        <v>543</v>
      </c>
      <c r="J244" s="55">
        <v>15713954</v>
      </c>
      <c r="K244" s="55" t="s">
        <v>867</v>
      </c>
      <c r="L244" s="59" t="s">
        <v>870</v>
      </c>
      <c r="M244" s="19">
        <v>79900</v>
      </c>
      <c r="N244" s="62">
        <v>0.75</v>
      </c>
      <c r="O244" s="60">
        <f t="shared" si="4"/>
        <v>19975</v>
      </c>
      <c r="P244" s="55" t="s">
        <v>3499</v>
      </c>
    </row>
    <row r="245" spans="1:16" s="61" customFormat="1" x14ac:dyDescent="0.25">
      <c r="A245" s="55" t="s">
        <v>3504</v>
      </c>
      <c r="B245" s="56">
        <v>46121</v>
      </c>
      <c r="C245" s="56">
        <v>46127</v>
      </c>
      <c r="D245" s="55">
        <v>3271</v>
      </c>
      <c r="E245" s="55">
        <v>336</v>
      </c>
      <c r="F245" s="55">
        <v>4</v>
      </c>
      <c r="G245" s="55">
        <v>6</v>
      </c>
      <c r="H245" s="55">
        <v>81684</v>
      </c>
      <c r="I245" s="55" t="s">
        <v>543</v>
      </c>
      <c r="J245" s="55">
        <v>15713963</v>
      </c>
      <c r="K245" s="55" t="s">
        <v>867</v>
      </c>
      <c r="L245" s="59" t="s">
        <v>871</v>
      </c>
      <c r="M245" s="19">
        <v>79900</v>
      </c>
      <c r="N245" s="62">
        <v>0.75</v>
      </c>
      <c r="O245" s="60">
        <f t="shared" si="4"/>
        <v>19975</v>
      </c>
      <c r="P245" s="55" t="s">
        <v>3499</v>
      </c>
    </row>
    <row r="246" spans="1:16" s="61" customFormat="1" x14ac:dyDescent="0.25">
      <c r="A246" s="55" t="s">
        <v>3504</v>
      </c>
      <c r="B246" s="56">
        <v>46121</v>
      </c>
      <c r="C246" s="56">
        <v>46127</v>
      </c>
      <c r="D246" s="55">
        <v>3271</v>
      </c>
      <c r="E246" s="55">
        <v>336</v>
      </c>
      <c r="F246" s="55">
        <v>4</v>
      </c>
      <c r="G246" s="55">
        <v>6</v>
      </c>
      <c r="H246" s="58">
        <v>4953</v>
      </c>
      <c r="I246" s="55" t="s">
        <v>543</v>
      </c>
      <c r="J246" s="55">
        <v>15714631</v>
      </c>
      <c r="K246" s="55" t="s">
        <v>872</v>
      </c>
      <c r="L246" s="59" t="s">
        <v>873</v>
      </c>
      <c r="M246" s="19">
        <v>79900</v>
      </c>
      <c r="N246" s="62">
        <v>0.75</v>
      </c>
      <c r="O246" s="60">
        <f t="shared" si="4"/>
        <v>19975</v>
      </c>
      <c r="P246" s="55" t="s">
        <v>3499</v>
      </c>
    </row>
    <row r="247" spans="1:16" s="61" customFormat="1" x14ac:dyDescent="0.25">
      <c r="A247" s="55" t="s">
        <v>3504</v>
      </c>
      <c r="B247" s="56">
        <v>46121</v>
      </c>
      <c r="C247" s="56">
        <v>46127</v>
      </c>
      <c r="D247" s="55">
        <v>3271</v>
      </c>
      <c r="E247" s="55">
        <v>336</v>
      </c>
      <c r="F247" s="55">
        <v>4</v>
      </c>
      <c r="G247" s="55">
        <v>6</v>
      </c>
      <c r="H247" s="58">
        <v>4953</v>
      </c>
      <c r="I247" s="55" t="s">
        <v>543</v>
      </c>
      <c r="J247" s="55">
        <v>15714640</v>
      </c>
      <c r="K247" s="55" t="s">
        <v>872</v>
      </c>
      <c r="L247" s="59" t="s">
        <v>874</v>
      </c>
      <c r="M247" s="19">
        <v>79900</v>
      </c>
      <c r="N247" s="62">
        <v>0.75</v>
      </c>
      <c r="O247" s="60">
        <f t="shared" si="4"/>
        <v>19975</v>
      </c>
      <c r="P247" s="55" t="s">
        <v>3499</v>
      </c>
    </row>
    <row r="248" spans="1:16" s="61" customFormat="1" x14ac:dyDescent="0.25">
      <c r="A248" s="55" t="s">
        <v>3504</v>
      </c>
      <c r="B248" s="56">
        <v>46121</v>
      </c>
      <c r="C248" s="56">
        <v>46127</v>
      </c>
      <c r="D248" s="55">
        <v>3271</v>
      </c>
      <c r="E248" s="55">
        <v>336</v>
      </c>
      <c r="F248" s="55">
        <v>4</v>
      </c>
      <c r="G248" s="55">
        <v>6</v>
      </c>
      <c r="H248" s="58">
        <v>4953</v>
      </c>
      <c r="I248" s="55" t="s">
        <v>543</v>
      </c>
      <c r="J248" s="55">
        <v>15714659</v>
      </c>
      <c r="K248" s="55" t="s">
        <v>872</v>
      </c>
      <c r="L248" s="59" t="s">
        <v>875</v>
      </c>
      <c r="M248" s="19">
        <v>79900</v>
      </c>
      <c r="N248" s="62">
        <v>0.75</v>
      </c>
      <c r="O248" s="60">
        <f t="shared" si="4"/>
        <v>19975</v>
      </c>
      <c r="P248" s="55" t="s">
        <v>3499</v>
      </c>
    </row>
    <row r="249" spans="1:16" s="61" customFormat="1" x14ac:dyDescent="0.25">
      <c r="A249" s="55" t="s">
        <v>3504</v>
      </c>
      <c r="B249" s="56">
        <v>46121</v>
      </c>
      <c r="C249" s="56">
        <v>46127</v>
      </c>
      <c r="D249" s="55">
        <v>3271</v>
      </c>
      <c r="E249" s="55">
        <v>336</v>
      </c>
      <c r="F249" s="55">
        <v>4</v>
      </c>
      <c r="G249" s="55">
        <v>6</v>
      </c>
      <c r="H249" s="55">
        <v>4953</v>
      </c>
      <c r="I249" s="55" t="s">
        <v>543</v>
      </c>
      <c r="J249" s="55">
        <v>15714720</v>
      </c>
      <c r="K249" s="55" t="s">
        <v>876</v>
      </c>
      <c r="L249" s="59" t="s">
        <v>877</v>
      </c>
      <c r="M249" s="19">
        <v>79900</v>
      </c>
      <c r="N249" s="62">
        <v>0.75</v>
      </c>
      <c r="O249" s="60">
        <f t="shared" si="4"/>
        <v>19975</v>
      </c>
      <c r="P249" s="55" t="s">
        <v>3499</v>
      </c>
    </row>
    <row r="250" spans="1:16" s="61" customFormat="1" x14ac:dyDescent="0.25">
      <c r="A250" s="55" t="s">
        <v>3504</v>
      </c>
      <c r="B250" s="56">
        <v>46121</v>
      </c>
      <c r="C250" s="56">
        <v>46127</v>
      </c>
      <c r="D250" s="55">
        <v>3271</v>
      </c>
      <c r="E250" s="55">
        <v>336</v>
      </c>
      <c r="F250" s="55">
        <v>4</v>
      </c>
      <c r="G250" s="55">
        <v>6</v>
      </c>
      <c r="H250" s="55">
        <v>4953</v>
      </c>
      <c r="I250" s="55" t="s">
        <v>543</v>
      </c>
      <c r="J250" s="55">
        <v>15714748</v>
      </c>
      <c r="K250" s="55" t="s">
        <v>876</v>
      </c>
      <c r="L250" s="59" t="s">
        <v>878</v>
      </c>
      <c r="M250" s="19">
        <v>79900</v>
      </c>
      <c r="N250" s="62">
        <v>0.75</v>
      </c>
      <c r="O250" s="60">
        <f t="shared" si="4"/>
        <v>19975</v>
      </c>
      <c r="P250" s="55" t="s">
        <v>3499</v>
      </c>
    </row>
    <row r="251" spans="1:16" s="61" customFormat="1" x14ac:dyDescent="0.25">
      <c r="A251" s="55" t="s">
        <v>3504</v>
      </c>
      <c r="B251" s="56">
        <v>46121</v>
      </c>
      <c r="C251" s="56">
        <v>46127</v>
      </c>
      <c r="D251" s="55">
        <v>3271</v>
      </c>
      <c r="E251" s="55">
        <v>336</v>
      </c>
      <c r="F251" s="55">
        <v>4</v>
      </c>
      <c r="G251" s="55">
        <v>6</v>
      </c>
      <c r="H251" s="55">
        <v>4953</v>
      </c>
      <c r="I251" s="55" t="s">
        <v>543</v>
      </c>
      <c r="J251" s="55">
        <v>16813988</v>
      </c>
      <c r="K251" s="55" t="s">
        <v>879</v>
      </c>
      <c r="L251" s="59" t="s">
        <v>880</v>
      </c>
      <c r="M251" s="19">
        <v>79900</v>
      </c>
      <c r="N251" s="62">
        <v>0.75</v>
      </c>
      <c r="O251" s="60">
        <f t="shared" si="4"/>
        <v>19975</v>
      </c>
      <c r="P251" s="55" t="s">
        <v>3499</v>
      </c>
    </row>
    <row r="252" spans="1:16" s="61" customFormat="1" x14ac:dyDescent="0.25">
      <c r="A252" s="55" t="s">
        <v>3504</v>
      </c>
      <c r="B252" s="56">
        <v>46121</v>
      </c>
      <c r="C252" s="56">
        <v>46127</v>
      </c>
      <c r="D252" s="55">
        <v>3271</v>
      </c>
      <c r="E252" s="55">
        <v>336</v>
      </c>
      <c r="F252" s="55">
        <v>4</v>
      </c>
      <c r="G252" s="55">
        <v>6</v>
      </c>
      <c r="H252" s="55">
        <v>4953</v>
      </c>
      <c r="I252" s="55" t="s">
        <v>543</v>
      </c>
      <c r="J252" s="55">
        <v>18738762</v>
      </c>
      <c r="K252" s="55" t="s">
        <v>881</v>
      </c>
      <c r="L252" s="59" t="s">
        <v>882</v>
      </c>
      <c r="M252" s="19">
        <v>79900</v>
      </c>
      <c r="N252" s="62">
        <v>0.75</v>
      </c>
      <c r="O252" s="60">
        <f t="shared" si="4"/>
        <v>19975</v>
      </c>
      <c r="P252" s="55" t="s">
        <v>3499</v>
      </c>
    </row>
    <row r="253" spans="1:16" s="61" customFormat="1" x14ac:dyDescent="0.25">
      <c r="A253" s="55" t="s">
        <v>3504</v>
      </c>
      <c r="B253" s="56">
        <v>46121</v>
      </c>
      <c r="C253" s="56">
        <v>46127</v>
      </c>
      <c r="D253" s="55">
        <v>3271</v>
      </c>
      <c r="E253" s="55">
        <v>336</v>
      </c>
      <c r="F253" s="55">
        <v>4</v>
      </c>
      <c r="G253" s="55">
        <v>6</v>
      </c>
      <c r="H253" s="55">
        <v>4953</v>
      </c>
      <c r="I253" s="55" t="s">
        <v>543</v>
      </c>
      <c r="J253" s="55">
        <v>18738771</v>
      </c>
      <c r="K253" s="55" t="s">
        <v>881</v>
      </c>
      <c r="L253" s="59" t="s">
        <v>883</v>
      </c>
      <c r="M253" s="19">
        <v>79900</v>
      </c>
      <c r="N253" s="62">
        <v>0.75</v>
      </c>
      <c r="O253" s="60">
        <f t="shared" si="4"/>
        <v>19975</v>
      </c>
      <c r="P253" s="55" t="s">
        <v>3499</v>
      </c>
    </row>
    <row r="254" spans="1:16" s="61" customFormat="1" x14ac:dyDescent="0.25">
      <c r="A254" s="55" t="s">
        <v>3504</v>
      </c>
      <c r="B254" s="56">
        <v>46121</v>
      </c>
      <c r="C254" s="56">
        <v>46127</v>
      </c>
      <c r="D254" s="55">
        <v>3271</v>
      </c>
      <c r="E254" s="55">
        <v>336</v>
      </c>
      <c r="F254" s="55">
        <v>4</v>
      </c>
      <c r="G254" s="55">
        <v>6</v>
      </c>
      <c r="H254" s="55">
        <v>4953</v>
      </c>
      <c r="I254" s="55" t="s">
        <v>543</v>
      </c>
      <c r="J254" s="55">
        <v>18738780</v>
      </c>
      <c r="K254" s="55" t="s">
        <v>881</v>
      </c>
      <c r="L254" s="59" t="s">
        <v>884</v>
      </c>
      <c r="M254" s="19">
        <v>79900</v>
      </c>
      <c r="N254" s="62">
        <v>0.75</v>
      </c>
      <c r="O254" s="60">
        <f t="shared" si="4"/>
        <v>19975</v>
      </c>
      <c r="P254" s="55" t="s">
        <v>3499</v>
      </c>
    </row>
    <row r="255" spans="1:16" s="61" customFormat="1" x14ac:dyDescent="0.25">
      <c r="A255" s="55" t="s">
        <v>3504</v>
      </c>
      <c r="B255" s="56">
        <v>46121</v>
      </c>
      <c r="C255" s="56">
        <v>46127</v>
      </c>
      <c r="D255" s="55">
        <v>3271</v>
      </c>
      <c r="E255" s="55">
        <v>336</v>
      </c>
      <c r="F255" s="55">
        <v>4</v>
      </c>
      <c r="G255" s="55">
        <v>6</v>
      </c>
      <c r="H255" s="55">
        <v>4953</v>
      </c>
      <c r="I255" s="55" t="s">
        <v>543</v>
      </c>
      <c r="J255" s="55">
        <v>18738799</v>
      </c>
      <c r="K255" s="55" t="s">
        <v>881</v>
      </c>
      <c r="L255" s="59" t="s">
        <v>885</v>
      </c>
      <c r="M255" s="19">
        <v>79900</v>
      </c>
      <c r="N255" s="62">
        <v>0.75</v>
      </c>
      <c r="O255" s="60">
        <f t="shared" si="4"/>
        <v>19975</v>
      </c>
      <c r="P255" s="55" t="s">
        <v>3499</v>
      </c>
    </row>
    <row r="256" spans="1:16" x14ac:dyDescent="0.25">
      <c r="A256" s="6" t="s">
        <v>3504</v>
      </c>
      <c r="B256" s="56">
        <v>46121</v>
      </c>
      <c r="C256" s="56">
        <v>46127</v>
      </c>
      <c r="D256" s="55">
        <v>3271</v>
      </c>
      <c r="E256" s="55">
        <v>336</v>
      </c>
      <c r="F256" s="55">
        <v>4</v>
      </c>
      <c r="G256" s="55">
        <v>6</v>
      </c>
      <c r="H256" s="15">
        <v>4953</v>
      </c>
      <c r="I256" s="55" t="s">
        <v>543</v>
      </c>
      <c r="J256" s="27">
        <v>15373447</v>
      </c>
      <c r="K256" s="15" t="s">
        <v>3523</v>
      </c>
      <c r="L256" s="27" t="s">
        <v>3519</v>
      </c>
      <c r="M256" s="60">
        <v>79900</v>
      </c>
      <c r="N256" s="62">
        <v>0.75</v>
      </c>
      <c r="O256" s="60">
        <f t="shared" si="4"/>
        <v>19975</v>
      </c>
      <c r="P256" s="55" t="s">
        <v>3499</v>
      </c>
    </row>
    <row r="257" spans="1:16" x14ac:dyDescent="0.25">
      <c r="A257" s="6" t="s">
        <v>3504</v>
      </c>
      <c r="B257" s="56">
        <v>46121</v>
      </c>
      <c r="C257" s="56">
        <v>46127</v>
      </c>
      <c r="D257" s="55">
        <v>3271</v>
      </c>
      <c r="E257" s="55">
        <v>336</v>
      </c>
      <c r="F257" s="55">
        <v>4</v>
      </c>
      <c r="G257" s="55">
        <v>6</v>
      </c>
      <c r="H257" s="15">
        <v>4953</v>
      </c>
      <c r="I257" s="55" t="s">
        <v>543</v>
      </c>
      <c r="J257" s="27">
        <v>15373456</v>
      </c>
      <c r="K257" s="15" t="s">
        <v>3523</v>
      </c>
      <c r="L257" s="27" t="s">
        <v>3520</v>
      </c>
      <c r="M257" s="60">
        <v>79900</v>
      </c>
      <c r="N257" s="62">
        <v>0.75</v>
      </c>
      <c r="O257" s="60">
        <f t="shared" si="4"/>
        <v>19975</v>
      </c>
      <c r="P257" s="55" t="s">
        <v>3499</v>
      </c>
    </row>
    <row r="258" spans="1:16" x14ac:dyDescent="0.25">
      <c r="A258" s="6" t="s">
        <v>3504</v>
      </c>
      <c r="B258" s="56">
        <v>46121</v>
      </c>
      <c r="C258" s="56">
        <v>46127</v>
      </c>
      <c r="D258" s="55">
        <v>3271</v>
      </c>
      <c r="E258" s="55">
        <v>336</v>
      </c>
      <c r="F258" s="55">
        <v>4</v>
      </c>
      <c r="G258" s="55">
        <v>6</v>
      </c>
      <c r="H258" s="15">
        <v>4953</v>
      </c>
      <c r="I258" s="55" t="s">
        <v>543</v>
      </c>
      <c r="J258" s="27">
        <v>15373465</v>
      </c>
      <c r="K258" s="15" t="s">
        <v>3523</v>
      </c>
      <c r="L258" s="27" t="s">
        <v>3521</v>
      </c>
      <c r="M258" s="60">
        <v>79900</v>
      </c>
      <c r="N258" s="62">
        <v>0.75</v>
      </c>
      <c r="O258" s="60">
        <f t="shared" si="4"/>
        <v>19975</v>
      </c>
      <c r="P258" s="55" t="s">
        <v>3499</v>
      </c>
    </row>
    <row r="259" spans="1:16" x14ac:dyDescent="0.25">
      <c r="A259" s="6" t="s">
        <v>3504</v>
      </c>
      <c r="B259" s="56">
        <v>46121</v>
      </c>
      <c r="C259" s="56">
        <v>46127</v>
      </c>
      <c r="D259" s="55">
        <v>3271</v>
      </c>
      <c r="E259" s="55">
        <v>336</v>
      </c>
      <c r="F259" s="55">
        <v>4</v>
      </c>
      <c r="G259" s="55">
        <v>6</v>
      </c>
      <c r="H259" s="15">
        <v>4953</v>
      </c>
      <c r="I259" s="55" t="s">
        <v>543</v>
      </c>
      <c r="J259" s="27">
        <v>15373474</v>
      </c>
      <c r="K259" s="15" t="s">
        <v>3523</v>
      </c>
      <c r="L259" s="27" t="s">
        <v>3522</v>
      </c>
      <c r="M259" s="60">
        <v>79900</v>
      </c>
      <c r="N259" s="62">
        <v>0.75</v>
      </c>
      <c r="O259" s="60">
        <f t="shared" ref="O259:O262" si="5">M259-((75*M259)/100)</f>
        <v>19975</v>
      </c>
      <c r="P259" s="55" t="s">
        <v>3499</v>
      </c>
    </row>
    <row r="260" spans="1:16" x14ac:dyDescent="0.25">
      <c r="A260" s="6" t="s">
        <v>3504</v>
      </c>
      <c r="B260" s="56">
        <v>46121</v>
      </c>
      <c r="C260" s="56">
        <v>46127</v>
      </c>
      <c r="D260" s="55">
        <v>3271</v>
      </c>
      <c r="E260" s="55">
        <v>336</v>
      </c>
      <c r="F260" s="55">
        <v>4</v>
      </c>
      <c r="G260" s="55">
        <v>6</v>
      </c>
      <c r="H260" s="15">
        <v>81676</v>
      </c>
      <c r="I260" s="55" t="s">
        <v>543</v>
      </c>
      <c r="J260" s="27">
        <v>15132724</v>
      </c>
      <c r="K260" s="15" t="s">
        <v>3528</v>
      </c>
      <c r="L260" s="27" t="s">
        <v>3524</v>
      </c>
      <c r="M260" s="60">
        <v>79900</v>
      </c>
      <c r="N260" s="62">
        <v>0.75</v>
      </c>
      <c r="O260" s="60">
        <f t="shared" si="5"/>
        <v>19975</v>
      </c>
      <c r="P260" s="55" t="s">
        <v>3499</v>
      </c>
    </row>
    <row r="261" spans="1:16" x14ac:dyDescent="0.25">
      <c r="A261" s="6" t="s">
        <v>3504</v>
      </c>
      <c r="B261" s="56">
        <v>46121</v>
      </c>
      <c r="C261" s="56">
        <v>46127</v>
      </c>
      <c r="D261" s="55">
        <v>3271</v>
      </c>
      <c r="E261" s="55">
        <v>336</v>
      </c>
      <c r="F261" s="55">
        <v>4</v>
      </c>
      <c r="G261" s="55">
        <v>6</v>
      </c>
      <c r="H261" s="15">
        <v>81676</v>
      </c>
      <c r="I261" s="55" t="s">
        <v>543</v>
      </c>
      <c r="J261" s="27">
        <v>15132733</v>
      </c>
      <c r="K261" s="15" t="s">
        <v>3528</v>
      </c>
      <c r="L261" s="27" t="s">
        <v>3525</v>
      </c>
      <c r="M261" s="60">
        <v>79900</v>
      </c>
      <c r="N261" s="62">
        <v>0.75</v>
      </c>
      <c r="O261" s="60">
        <f t="shared" si="5"/>
        <v>19975</v>
      </c>
      <c r="P261" s="55" t="s">
        <v>3499</v>
      </c>
    </row>
    <row r="262" spans="1:16" x14ac:dyDescent="0.25">
      <c r="A262" s="6" t="s">
        <v>3504</v>
      </c>
      <c r="B262" s="56">
        <v>46121</v>
      </c>
      <c r="C262" s="56">
        <v>46127</v>
      </c>
      <c r="D262" s="55">
        <v>3271</v>
      </c>
      <c r="E262" s="55">
        <v>336</v>
      </c>
      <c r="F262" s="55">
        <v>4</v>
      </c>
      <c r="G262" s="55">
        <v>6</v>
      </c>
      <c r="H262" s="15">
        <v>81676</v>
      </c>
      <c r="I262" s="55" t="s">
        <v>543</v>
      </c>
      <c r="J262" s="27">
        <v>15132742</v>
      </c>
      <c r="K262" s="15" t="s">
        <v>3528</v>
      </c>
      <c r="L262" s="27" t="s">
        <v>3526</v>
      </c>
      <c r="M262" s="60">
        <v>79900</v>
      </c>
      <c r="N262" s="62">
        <v>0.75</v>
      </c>
      <c r="O262" s="60">
        <f t="shared" si="5"/>
        <v>19975</v>
      </c>
      <c r="P262" s="55" t="s">
        <v>3499</v>
      </c>
    </row>
    <row r="263" spans="1:16" x14ac:dyDescent="0.25">
      <c r="A263" s="6" t="s">
        <v>3504</v>
      </c>
      <c r="B263" s="56">
        <v>46121</v>
      </c>
      <c r="C263" s="56">
        <v>46127</v>
      </c>
      <c r="D263" s="55">
        <v>3271</v>
      </c>
      <c r="E263" s="55">
        <v>336</v>
      </c>
      <c r="F263" s="55">
        <v>4</v>
      </c>
      <c r="G263" s="55">
        <v>6</v>
      </c>
      <c r="H263" s="15">
        <v>81676</v>
      </c>
      <c r="I263" s="55" t="s">
        <v>543</v>
      </c>
      <c r="J263" s="27">
        <v>15132751</v>
      </c>
      <c r="K263" s="15" t="s">
        <v>3528</v>
      </c>
      <c r="L263" s="27" t="s">
        <v>3527</v>
      </c>
      <c r="M263" s="60">
        <v>79900</v>
      </c>
      <c r="N263" s="62">
        <v>0.75</v>
      </c>
      <c r="O263" s="60">
        <f t="shared" ref="O263" si="6">M263-((75*M263)/100)</f>
        <v>19975</v>
      </c>
      <c r="P263" s="55" t="s">
        <v>3499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89F3-1229-40B2-9FFF-E02F12A1ADFA}">
  <sheetPr>
    <tabColor rgb="FF00B050"/>
  </sheetPr>
  <dimension ref="A1:P33"/>
  <sheetViews>
    <sheetView workbookViewId="0">
      <selection activeCell="L10" sqref="L10"/>
    </sheetView>
  </sheetViews>
  <sheetFormatPr defaultRowHeight="15" x14ac:dyDescent="0.25"/>
  <cols>
    <col min="1" max="1" width="26.5703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1.7109375" bestFit="1" customWidth="1"/>
    <col min="12" max="12" width="80.42578125" bestFit="1" customWidth="1"/>
    <col min="13" max="13" width="14.42578125" bestFit="1" customWidth="1"/>
    <col min="14" max="14" width="7.42578125" bestFit="1" customWidth="1"/>
    <col min="15" max="15" width="10.85546875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3531</v>
      </c>
      <c r="B2" s="7">
        <v>46121</v>
      </c>
      <c r="C2" s="7">
        <v>46127</v>
      </c>
      <c r="D2" s="28">
        <v>3270</v>
      </c>
      <c r="E2" s="28">
        <v>336</v>
      </c>
      <c r="F2" s="28">
        <v>4</v>
      </c>
      <c r="G2" s="29">
        <v>4</v>
      </c>
      <c r="H2" s="29">
        <v>81305</v>
      </c>
      <c r="I2" s="29" t="s">
        <v>16</v>
      </c>
      <c r="J2" s="29">
        <v>18936566</v>
      </c>
      <c r="K2" s="29" t="s">
        <v>982</v>
      </c>
      <c r="L2" s="30" t="s">
        <v>983</v>
      </c>
      <c r="M2" s="31">
        <v>139900</v>
      </c>
      <c r="N2" s="64">
        <v>0.75</v>
      </c>
      <c r="O2" s="12">
        <f>M2-((75*M2)/100)</f>
        <v>34975</v>
      </c>
      <c r="P2" s="6" t="s">
        <v>3499</v>
      </c>
    </row>
    <row r="3" spans="1:16" x14ac:dyDescent="0.25">
      <c r="A3" s="6" t="s">
        <v>3531</v>
      </c>
      <c r="B3" s="7">
        <v>46121</v>
      </c>
      <c r="C3" s="7">
        <v>46127</v>
      </c>
      <c r="D3" s="28">
        <v>3270</v>
      </c>
      <c r="E3" s="28">
        <v>336</v>
      </c>
      <c r="F3" s="28">
        <v>4</v>
      </c>
      <c r="G3" s="29">
        <v>4</v>
      </c>
      <c r="H3" s="29">
        <v>81305</v>
      </c>
      <c r="I3" s="29" t="s">
        <v>16</v>
      </c>
      <c r="J3" s="29">
        <v>18936575</v>
      </c>
      <c r="K3" s="29" t="s">
        <v>982</v>
      </c>
      <c r="L3" s="30" t="s">
        <v>984</v>
      </c>
      <c r="M3" s="31">
        <v>139900</v>
      </c>
      <c r="N3" s="64">
        <v>0.75</v>
      </c>
      <c r="O3" s="12">
        <f t="shared" ref="O3:O33" si="0">M3-((75*M3)/100)</f>
        <v>34975</v>
      </c>
      <c r="P3" s="6" t="s">
        <v>3499</v>
      </c>
    </row>
    <row r="4" spans="1:16" x14ac:dyDescent="0.25">
      <c r="A4" s="6" t="s">
        <v>3531</v>
      </c>
      <c r="B4" s="7">
        <v>46121</v>
      </c>
      <c r="C4" s="7">
        <v>46127</v>
      </c>
      <c r="D4" s="28">
        <v>3270</v>
      </c>
      <c r="E4" s="28">
        <v>336</v>
      </c>
      <c r="F4" s="28">
        <v>4</v>
      </c>
      <c r="G4" s="29">
        <v>4</v>
      </c>
      <c r="H4" s="29">
        <v>81305</v>
      </c>
      <c r="I4" s="29" t="s">
        <v>16</v>
      </c>
      <c r="J4" s="29">
        <v>18936584</v>
      </c>
      <c r="K4" s="29" t="s">
        <v>982</v>
      </c>
      <c r="L4" s="30" t="s">
        <v>985</v>
      </c>
      <c r="M4" s="31">
        <v>139900</v>
      </c>
      <c r="N4" s="64">
        <v>0.75</v>
      </c>
      <c r="O4" s="12">
        <f t="shared" si="0"/>
        <v>34975</v>
      </c>
      <c r="P4" s="6" t="s">
        <v>3499</v>
      </c>
    </row>
    <row r="5" spans="1:16" x14ac:dyDescent="0.25">
      <c r="A5" s="6" t="s">
        <v>3531</v>
      </c>
      <c r="B5" s="7">
        <v>46121</v>
      </c>
      <c r="C5" s="7">
        <v>46127</v>
      </c>
      <c r="D5" s="28">
        <v>3270</v>
      </c>
      <c r="E5" s="28">
        <v>336</v>
      </c>
      <c r="F5" s="28">
        <v>4</v>
      </c>
      <c r="G5" s="29">
        <v>4</v>
      </c>
      <c r="H5" s="29">
        <v>81305</v>
      </c>
      <c r="I5" s="29" t="s">
        <v>16</v>
      </c>
      <c r="J5" s="29">
        <v>18936593</v>
      </c>
      <c r="K5" s="29" t="s">
        <v>982</v>
      </c>
      <c r="L5" s="30" t="s">
        <v>986</v>
      </c>
      <c r="M5" s="31">
        <v>139900</v>
      </c>
      <c r="N5" s="64">
        <v>0.75</v>
      </c>
      <c r="O5" s="12">
        <f t="shared" si="0"/>
        <v>34975</v>
      </c>
      <c r="P5" s="6" t="s">
        <v>3499</v>
      </c>
    </row>
    <row r="6" spans="1:16" x14ac:dyDescent="0.25">
      <c r="A6" s="6" t="s">
        <v>3531</v>
      </c>
      <c r="B6" s="7">
        <v>46121</v>
      </c>
      <c r="C6" s="7">
        <v>46127</v>
      </c>
      <c r="D6" s="28">
        <v>3270</v>
      </c>
      <c r="E6" s="28">
        <v>336</v>
      </c>
      <c r="F6" s="28">
        <v>4</v>
      </c>
      <c r="G6" s="32">
        <v>4</v>
      </c>
      <c r="H6" s="32">
        <v>81683</v>
      </c>
      <c r="I6" s="32" t="s">
        <v>16</v>
      </c>
      <c r="J6" s="32">
        <v>23397666</v>
      </c>
      <c r="K6" s="32" t="s">
        <v>987</v>
      </c>
      <c r="L6" s="33" t="s">
        <v>988</v>
      </c>
      <c r="M6" s="34">
        <v>199900</v>
      </c>
      <c r="N6" s="64">
        <v>0.75</v>
      </c>
      <c r="O6" s="12">
        <f t="shared" si="0"/>
        <v>49975</v>
      </c>
      <c r="P6" s="6" t="s">
        <v>3499</v>
      </c>
    </row>
    <row r="7" spans="1:16" x14ac:dyDescent="0.25">
      <c r="A7" s="6" t="s">
        <v>3531</v>
      </c>
      <c r="B7" s="7">
        <v>46121</v>
      </c>
      <c r="C7" s="7">
        <v>46127</v>
      </c>
      <c r="D7" s="28">
        <v>3270</v>
      </c>
      <c r="E7" s="28">
        <v>336</v>
      </c>
      <c r="F7" s="28">
        <v>4</v>
      </c>
      <c r="G7" s="32">
        <v>4</v>
      </c>
      <c r="H7" s="32">
        <v>81683</v>
      </c>
      <c r="I7" s="32" t="s">
        <v>16</v>
      </c>
      <c r="J7" s="32">
        <v>23397675</v>
      </c>
      <c r="K7" s="32" t="s">
        <v>987</v>
      </c>
      <c r="L7" s="33" t="s">
        <v>989</v>
      </c>
      <c r="M7" s="34">
        <v>199900</v>
      </c>
      <c r="N7" s="64">
        <v>0.75</v>
      </c>
      <c r="O7" s="12">
        <f t="shared" si="0"/>
        <v>49975</v>
      </c>
      <c r="P7" s="6" t="s">
        <v>3499</v>
      </c>
    </row>
    <row r="8" spans="1:16" x14ac:dyDescent="0.25">
      <c r="A8" s="6" t="s">
        <v>3531</v>
      </c>
      <c r="B8" s="7">
        <v>46121</v>
      </c>
      <c r="C8" s="7">
        <v>46127</v>
      </c>
      <c r="D8" s="28">
        <v>3270</v>
      </c>
      <c r="E8" s="28">
        <v>336</v>
      </c>
      <c r="F8" s="28">
        <v>4</v>
      </c>
      <c r="G8" s="32">
        <v>4</v>
      </c>
      <c r="H8" s="32">
        <v>81683</v>
      </c>
      <c r="I8" s="32" t="s">
        <v>16</v>
      </c>
      <c r="J8" s="32">
        <v>23397684</v>
      </c>
      <c r="K8" s="32" t="s">
        <v>987</v>
      </c>
      <c r="L8" s="33" t="s">
        <v>990</v>
      </c>
      <c r="M8" s="34">
        <v>199900</v>
      </c>
      <c r="N8" s="64">
        <v>0.75</v>
      </c>
      <c r="O8" s="12">
        <f t="shared" si="0"/>
        <v>49975</v>
      </c>
      <c r="P8" s="6" t="s">
        <v>3499</v>
      </c>
    </row>
    <row r="9" spans="1:16" x14ac:dyDescent="0.25">
      <c r="A9" s="6" t="s">
        <v>3531</v>
      </c>
      <c r="B9" s="7">
        <v>46121</v>
      </c>
      <c r="C9" s="7">
        <v>46127</v>
      </c>
      <c r="D9" s="28">
        <v>3270</v>
      </c>
      <c r="E9" s="28">
        <v>336</v>
      </c>
      <c r="F9" s="28">
        <v>4</v>
      </c>
      <c r="G9" s="32">
        <v>4</v>
      </c>
      <c r="H9" s="32">
        <v>81683</v>
      </c>
      <c r="I9" s="32" t="s">
        <v>16</v>
      </c>
      <c r="J9" s="32">
        <v>23397693</v>
      </c>
      <c r="K9" s="32" t="s">
        <v>987</v>
      </c>
      <c r="L9" s="33" t="s">
        <v>991</v>
      </c>
      <c r="M9" s="34">
        <v>199900</v>
      </c>
      <c r="N9" s="64">
        <v>0.75</v>
      </c>
      <c r="O9" s="12">
        <f t="shared" si="0"/>
        <v>49975</v>
      </c>
      <c r="P9" s="6" t="s">
        <v>3499</v>
      </c>
    </row>
    <row r="10" spans="1:16" x14ac:dyDescent="0.25">
      <c r="A10" s="6" t="s">
        <v>3531</v>
      </c>
      <c r="B10" s="7">
        <v>46121</v>
      </c>
      <c r="C10" s="7">
        <v>46127</v>
      </c>
      <c r="D10" s="28">
        <v>3270</v>
      </c>
      <c r="E10" s="28">
        <v>336</v>
      </c>
      <c r="F10" s="28">
        <v>4</v>
      </c>
      <c r="G10" s="32">
        <v>4</v>
      </c>
      <c r="H10" s="32">
        <v>81683</v>
      </c>
      <c r="I10" s="32" t="s">
        <v>16</v>
      </c>
      <c r="J10" s="32">
        <v>23398147</v>
      </c>
      <c r="K10" s="32" t="s">
        <v>992</v>
      </c>
      <c r="L10" s="33" t="s">
        <v>993</v>
      </c>
      <c r="M10" s="34">
        <v>199900</v>
      </c>
      <c r="N10" s="64">
        <v>0.75</v>
      </c>
      <c r="O10" s="12">
        <f t="shared" si="0"/>
        <v>49975</v>
      </c>
      <c r="P10" s="6" t="s">
        <v>3499</v>
      </c>
    </row>
    <row r="11" spans="1:16" x14ac:dyDescent="0.25">
      <c r="A11" s="6" t="s">
        <v>3531</v>
      </c>
      <c r="B11" s="7">
        <v>46121</v>
      </c>
      <c r="C11" s="7">
        <v>46127</v>
      </c>
      <c r="D11" s="28">
        <v>3270</v>
      </c>
      <c r="E11" s="28">
        <v>336</v>
      </c>
      <c r="F11" s="28">
        <v>4</v>
      </c>
      <c r="G11" s="32">
        <v>4</v>
      </c>
      <c r="H11" s="32">
        <v>81683</v>
      </c>
      <c r="I11" s="32" t="s">
        <v>16</v>
      </c>
      <c r="J11" s="32">
        <v>23398156</v>
      </c>
      <c r="K11" s="32" t="s">
        <v>992</v>
      </c>
      <c r="L11" s="33" t="s">
        <v>994</v>
      </c>
      <c r="M11" s="34">
        <v>199900</v>
      </c>
      <c r="N11" s="64">
        <v>0.75</v>
      </c>
      <c r="O11" s="12">
        <f t="shared" si="0"/>
        <v>49975</v>
      </c>
      <c r="P11" s="6" t="s">
        <v>3499</v>
      </c>
    </row>
    <row r="12" spans="1:16" x14ac:dyDescent="0.25">
      <c r="A12" s="6" t="s">
        <v>3531</v>
      </c>
      <c r="B12" s="7">
        <v>46121</v>
      </c>
      <c r="C12" s="7">
        <v>46127</v>
      </c>
      <c r="D12" s="28">
        <v>3270</v>
      </c>
      <c r="E12" s="28">
        <v>336</v>
      </c>
      <c r="F12" s="28">
        <v>4</v>
      </c>
      <c r="G12" s="32">
        <v>4</v>
      </c>
      <c r="H12" s="32">
        <v>81683</v>
      </c>
      <c r="I12" s="32" t="s">
        <v>16</v>
      </c>
      <c r="J12" s="32">
        <v>23398165</v>
      </c>
      <c r="K12" s="32" t="s">
        <v>992</v>
      </c>
      <c r="L12" s="33" t="s">
        <v>995</v>
      </c>
      <c r="M12" s="34">
        <v>199900</v>
      </c>
      <c r="N12" s="64">
        <v>0.75</v>
      </c>
      <c r="O12" s="12">
        <f t="shared" si="0"/>
        <v>49975</v>
      </c>
      <c r="P12" s="6" t="s">
        <v>3499</v>
      </c>
    </row>
    <row r="13" spans="1:16" x14ac:dyDescent="0.25">
      <c r="A13" s="6" t="s">
        <v>3531</v>
      </c>
      <c r="B13" s="7">
        <v>46121</v>
      </c>
      <c r="C13" s="7">
        <v>46127</v>
      </c>
      <c r="D13" s="28">
        <v>3270</v>
      </c>
      <c r="E13" s="28">
        <v>336</v>
      </c>
      <c r="F13" s="28">
        <v>4</v>
      </c>
      <c r="G13" s="32">
        <v>4</v>
      </c>
      <c r="H13" s="32">
        <v>81683</v>
      </c>
      <c r="I13" s="32" t="s">
        <v>16</v>
      </c>
      <c r="J13" s="32">
        <v>23398174</v>
      </c>
      <c r="K13" s="32" t="s">
        <v>992</v>
      </c>
      <c r="L13" s="33" t="s">
        <v>996</v>
      </c>
      <c r="M13" s="34">
        <v>199900</v>
      </c>
      <c r="N13" s="64">
        <v>0.75</v>
      </c>
      <c r="O13" s="12">
        <f t="shared" si="0"/>
        <v>49975</v>
      </c>
      <c r="P13" s="6" t="s">
        <v>3499</v>
      </c>
    </row>
    <row r="14" spans="1:16" x14ac:dyDescent="0.25">
      <c r="A14" s="6" t="s">
        <v>3531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8">
        <v>4</v>
      </c>
      <c r="H14" s="8">
        <v>81305</v>
      </c>
      <c r="I14" s="8" t="s">
        <v>16</v>
      </c>
      <c r="J14" s="8">
        <v>23422860</v>
      </c>
      <c r="K14" s="8" t="s">
        <v>997</v>
      </c>
      <c r="L14" s="9" t="s">
        <v>998</v>
      </c>
      <c r="M14" s="10">
        <v>139900</v>
      </c>
      <c r="N14" s="64">
        <v>0.75</v>
      </c>
      <c r="O14" s="12">
        <f t="shared" si="0"/>
        <v>34975</v>
      </c>
      <c r="P14" s="6" t="s">
        <v>3499</v>
      </c>
    </row>
    <row r="15" spans="1:16" x14ac:dyDescent="0.25">
      <c r="A15" s="6" t="s">
        <v>3531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8">
        <v>4</v>
      </c>
      <c r="H15" s="8">
        <v>81305</v>
      </c>
      <c r="I15" s="8" t="s">
        <v>16</v>
      </c>
      <c r="J15" s="8">
        <v>23422879</v>
      </c>
      <c r="K15" s="8" t="s">
        <v>997</v>
      </c>
      <c r="L15" s="9" t="s">
        <v>999</v>
      </c>
      <c r="M15" s="10">
        <v>139900</v>
      </c>
      <c r="N15" s="64">
        <v>0.75</v>
      </c>
      <c r="O15" s="12">
        <f t="shared" si="0"/>
        <v>34975</v>
      </c>
      <c r="P15" s="6" t="s">
        <v>3499</v>
      </c>
    </row>
    <row r="16" spans="1:16" x14ac:dyDescent="0.25">
      <c r="A16" s="6" t="s">
        <v>3531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8">
        <v>4</v>
      </c>
      <c r="H16" s="8">
        <v>81305</v>
      </c>
      <c r="I16" s="8" t="s">
        <v>16</v>
      </c>
      <c r="J16" s="8">
        <v>23422888</v>
      </c>
      <c r="K16" s="8" t="s">
        <v>997</v>
      </c>
      <c r="L16" s="9" t="s">
        <v>1000</v>
      </c>
      <c r="M16" s="10">
        <v>139900</v>
      </c>
      <c r="N16" s="64">
        <v>0.75</v>
      </c>
      <c r="O16" s="12">
        <f t="shared" si="0"/>
        <v>34975</v>
      </c>
      <c r="P16" s="6" t="s">
        <v>3499</v>
      </c>
    </row>
    <row r="17" spans="1:16" x14ac:dyDescent="0.25">
      <c r="A17" s="6" t="s">
        <v>3531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8">
        <v>4</v>
      </c>
      <c r="H17" s="8">
        <v>81305</v>
      </c>
      <c r="I17" s="8" t="s">
        <v>16</v>
      </c>
      <c r="J17" s="8">
        <v>23422897</v>
      </c>
      <c r="K17" s="8" t="s">
        <v>997</v>
      </c>
      <c r="L17" s="9" t="s">
        <v>1001</v>
      </c>
      <c r="M17" s="10">
        <v>139900</v>
      </c>
      <c r="N17" s="64">
        <v>0.75</v>
      </c>
      <c r="O17" s="12">
        <f t="shared" si="0"/>
        <v>34975</v>
      </c>
      <c r="P17" s="6" t="s">
        <v>3499</v>
      </c>
    </row>
    <row r="18" spans="1:16" x14ac:dyDescent="0.25">
      <c r="A18" s="6" t="s">
        <v>3531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8">
        <v>4</v>
      </c>
      <c r="H18" s="8">
        <v>81684</v>
      </c>
      <c r="I18" s="8" t="s">
        <v>16</v>
      </c>
      <c r="J18" s="8">
        <v>23421352</v>
      </c>
      <c r="K18" s="8" t="s">
        <v>1002</v>
      </c>
      <c r="L18" s="9" t="s">
        <v>1003</v>
      </c>
      <c r="M18" s="10">
        <v>139900</v>
      </c>
      <c r="N18" s="64">
        <v>0.75</v>
      </c>
      <c r="O18" s="12">
        <f t="shared" si="0"/>
        <v>34975</v>
      </c>
      <c r="P18" s="6" t="s">
        <v>3499</v>
      </c>
    </row>
    <row r="19" spans="1:16" x14ac:dyDescent="0.25">
      <c r="A19" s="6" t="s">
        <v>3531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8">
        <v>4</v>
      </c>
      <c r="H19" s="8">
        <v>81684</v>
      </c>
      <c r="I19" s="8" t="s">
        <v>16</v>
      </c>
      <c r="J19" s="8">
        <v>23421361</v>
      </c>
      <c r="K19" s="8" t="s">
        <v>1002</v>
      </c>
      <c r="L19" s="9" t="s">
        <v>1004</v>
      </c>
      <c r="M19" s="10">
        <v>139900</v>
      </c>
      <c r="N19" s="64">
        <v>0.75</v>
      </c>
      <c r="O19" s="12">
        <f t="shared" si="0"/>
        <v>34975</v>
      </c>
      <c r="P19" s="6" t="s">
        <v>3499</v>
      </c>
    </row>
    <row r="20" spans="1:16" x14ac:dyDescent="0.25">
      <c r="A20" s="6" t="s">
        <v>3531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8">
        <v>4</v>
      </c>
      <c r="H20" s="8">
        <v>81684</v>
      </c>
      <c r="I20" s="8" t="s">
        <v>16</v>
      </c>
      <c r="J20" s="8">
        <v>23421370</v>
      </c>
      <c r="K20" s="8" t="s">
        <v>1002</v>
      </c>
      <c r="L20" s="9" t="s">
        <v>1005</v>
      </c>
      <c r="M20" s="10">
        <v>139900</v>
      </c>
      <c r="N20" s="64">
        <v>0.75</v>
      </c>
      <c r="O20" s="12">
        <f t="shared" si="0"/>
        <v>34975</v>
      </c>
      <c r="P20" s="6" t="s">
        <v>3499</v>
      </c>
    </row>
    <row r="21" spans="1:16" x14ac:dyDescent="0.25">
      <c r="A21" s="6" t="s">
        <v>3531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8">
        <v>4</v>
      </c>
      <c r="H21" s="8">
        <v>81684</v>
      </c>
      <c r="I21" s="8" t="s">
        <v>16</v>
      </c>
      <c r="J21" s="8">
        <v>23421389</v>
      </c>
      <c r="K21" s="8" t="s">
        <v>1002</v>
      </c>
      <c r="L21" s="9" t="s">
        <v>1006</v>
      </c>
      <c r="M21" s="10">
        <v>139900</v>
      </c>
      <c r="N21" s="64">
        <v>0.75</v>
      </c>
      <c r="O21" s="12">
        <f t="shared" si="0"/>
        <v>34975</v>
      </c>
      <c r="P21" s="6" t="s">
        <v>3499</v>
      </c>
    </row>
    <row r="22" spans="1:16" x14ac:dyDescent="0.25">
      <c r="A22" s="6" t="s">
        <v>3531</v>
      </c>
      <c r="B22" s="7">
        <v>46121</v>
      </c>
      <c r="C22" s="7">
        <v>46127</v>
      </c>
      <c r="D22" s="28">
        <v>3270</v>
      </c>
      <c r="E22" s="28">
        <v>336</v>
      </c>
      <c r="F22" s="28">
        <v>4</v>
      </c>
      <c r="G22" s="32">
        <v>8</v>
      </c>
      <c r="H22" s="32">
        <v>81305</v>
      </c>
      <c r="I22" s="32" t="s">
        <v>16</v>
      </c>
      <c r="J22" s="32">
        <v>19346522</v>
      </c>
      <c r="K22" s="32" t="s">
        <v>1042</v>
      </c>
      <c r="L22" s="33" t="s">
        <v>1043</v>
      </c>
      <c r="M22" s="34">
        <v>99900</v>
      </c>
      <c r="N22" s="64">
        <v>0.75</v>
      </c>
      <c r="O22" s="12">
        <f t="shared" si="0"/>
        <v>24975</v>
      </c>
      <c r="P22" s="6" t="s">
        <v>3499</v>
      </c>
    </row>
    <row r="23" spans="1:16" x14ac:dyDescent="0.25">
      <c r="A23" s="6" t="s">
        <v>3531</v>
      </c>
      <c r="B23" s="7">
        <v>46121</v>
      </c>
      <c r="C23" s="7">
        <v>46127</v>
      </c>
      <c r="D23" s="28">
        <v>3270</v>
      </c>
      <c r="E23" s="28">
        <v>336</v>
      </c>
      <c r="F23" s="28">
        <v>4</v>
      </c>
      <c r="G23" s="32">
        <v>8</v>
      </c>
      <c r="H23" s="32">
        <v>81305</v>
      </c>
      <c r="I23" s="32" t="s">
        <v>16</v>
      </c>
      <c r="J23" s="32">
        <v>19346559</v>
      </c>
      <c r="K23" s="32" t="s">
        <v>1042</v>
      </c>
      <c r="L23" s="33" t="s">
        <v>1044</v>
      </c>
      <c r="M23" s="34">
        <v>99900</v>
      </c>
      <c r="N23" s="64">
        <v>0.75</v>
      </c>
      <c r="O23" s="12">
        <f t="shared" si="0"/>
        <v>24975</v>
      </c>
      <c r="P23" s="6" t="s">
        <v>3499</v>
      </c>
    </row>
    <row r="24" spans="1:16" x14ac:dyDescent="0.25">
      <c r="A24" s="6" t="s">
        <v>3531</v>
      </c>
      <c r="B24" s="7">
        <v>46121</v>
      </c>
      <c r="C24" s="7">
        <v>46127</v>
      </c>
      <c r="D24" s="28">
        <v>3270</v>
      </c>
      <c r="E24" s="28">
        <v>336</v>
      </c>
      <c r="F24" s="28">
        <v>4</v>
      </c>
      <c r="G24" s="32">
        <v>8</v>
      </c>
      <c r="H24" s="32">
        <v>81305</v>
      </c>
      <c r="I24" s="32" t="s">
        <v>16</v>
      </c>
      <c r="J24" s="32">
        <v>19346568</v>
      </c>
      <c r="K24" s="32" t="s">
        <v>1042</v>
      </c>
      <c r="L24" s="33" t="s">
        <v>1045</v>
      </c>
      <c r="M24" s="34">
        <v>99900</v>
      </c>
      <c r="N24" s="64">
        <v>0.75</v>
      </c>
      <c r="O24" s="12">
        <f t="shared" si="0"/>
        <v>24975</v>
      </c>
      <c r="P24" s="6" t="s">
        <v>3499</v>
      </c>
    </row>
    <row r="25" spans="1:16" x14ac:dyDescent="0.25">
      <c r="A25" s="6" t="s">
        <v>3531</v>
      </c>
      <c r="B25" s="7">
        <v>46121</v>
      </c>
      <c r="C25" s="7">
        <v>46127</v>
      </c>
      <c r="D25" s="28">
        <v>3270</v>
      </c>
      <c r="E25" s="28">
        <v>336</v>
      </c>
      <c r="F25" s="28">
        <v>4</v>
      </c>
      <c r="G25" s="32">
        <v>8</v>
      </c>
      <c r="H25" s="32">
        <v>81305</v>
      </c>
      <c r="I25" s="32" t="s">
        <v>16</v>
      </c>
      <c r="J25" s="32">
        <v>19346577</v>
      </c>
      <c r="K25" s="32" t="s">
        <v>1042</v>
      </c>
      <c r="L25" s="33" t="s">
        <v>1046</v>
      </c>
      <c r="M25" s="34">
        <v>99900</v>
      </c>
      <c r="N25" s="64">
        <v>0.75</v>
      </c>
      <c r="O25" s="12">
        <f t="shared" si="0"/>
        <v>24975</v>
      </c>
      <c r="P25" s="6" t="s">
        <v>3499</v>
      </c>
    </row>
    <row r="26" spans="1:16" x14ac:dyDescent="0.25">
      <c r="A26" s="6" t="s">
        <v>3531</v>
      </c>
      <c r="B26" s="7">
        <v>46121</v>
      </c>
      <c r="C26" s="7">
        <v>46127</v>
      </c>
      <c r="D26" s="28">
        <v>3270</v>
      </c>
      <c r="E26" s="28">
        <v>336</v>
      </c>
      <c r="F26" s="28">
        <v>4</v>
      </c>
      <c r="G26" s="32">
        <v>8</v>
      </c>
      <c r="H26" s="32">
        <v>81305</v>
      </c>
      <c r="I26" s="32" t="s">
        <v>16</v>
      </c>
      <c r="J26" s="32">
        <v>19346595</v>
      </c>
      <c r="K26" s="32" t="s">
        <v>1047</v>
      </c>
      <c r="L26" s="33" t="s">
        <v>1048</v>
      </c>
      <c r="M26" s="34">
        <v>99900</v>
      </c>
      <c r="N26" s="64">
        <v>0.75</v>
      </c>
      <c r="O26" s="12">
        <f t="shared" si="0"/>
        <v>24975</v>
      </c>
      <c r="P26" s="6" t="s">
        <v>3499</v>
      </c>
    </row>
    <row r="27" spans="1:16" x14ac:dyDescent="0.25">
      <c r="A27" s="6" t="s">
        <v>3531</v>
      </c>
      <c r="B27" s="7">
        <v>46121</v>
      </c>
      <c r="C27" s="7">
        <v>46127</v>
      </c>
      <c r="D27" s="28">
        <v>3270</v>
      </c>
      <c r="E27" s="28">
        <v>336</v>
      </c>
      <c r="F27" s="28">
        <v>4</v>
      </c>
      <c r="G27" s="32">
        <v>8</v>
      </c>
      <c r="H27" s="32">
        <v>81305</v>
      </c>
      <c r="I27" s="32" t="s">
        <v>16</v>
      </c>
      <c r="J27" s="32">
        <v>19346602</v>
      </c>
      <c r="K27" s="32" t="s">
        <v>1047</v>
      </c>
      <c r="L27" s="33" t="s">
        <v>1049</v>
      </c>
      <c r="M27" s="34">
        <v>99900</v>
      </c>
      <c r="N27" s="64">
        <v>0.75</v>
      </c>
      <c r="O27" s="12">
        <f t="shared" si="0"/>
        <v>24975</v>
      </c>
      <c r="P27" s="6" t="s">
        <v>3499</v>
      </c>
    </row>
    <row r="28" spans="1:16" x14ac:dyDescent="0.25">
      <c r="A28" s="6" t="s">
        <v>3531</v>
      </c>
      <c r="B28" s="7">
        <v>46121</v>
      </c>
      <c r="C28" s="7">
        <v>46127</v>
      </c>
      <c r="D28" s="28">
        <v>3270</v>
      </c>
      <c r="E28" s="28">
        <v>336</v>
      </c>
      <c r="F28" s="28">
        <v>4</v>
      </c>
      <c r="G28" s="32">
        <v>8</v>
      </c>
      <c r="H28" s="32">
        <v>81305</v>
      </c>
      <c r="I28" s="32" t="s">
        <v>16</v>
      </c>
      <c r="J28" s="32">
        <v>19346611</v>
      </c>
      <c r="K28" s="32" t="s">
        <v>1047</v>
      </c>
      <c r="L28" s="33" t="s">
        <v>1050</v>
      </c>
      <c r="M28" s="34">
        <v>99900</v>
      </c>
      <c r="N28" s="64">
        <v>0.75</v>
      </c>
      <c r="O28" s="12">
        <f t="shared" si="0"/>
        <v>24975</v>
      </c>
      <c r="P28" s="6" t="s">
        <v>3499</v>
      </c>
    </row>
    <row r="29" spans="1:16" x14ac:dyDescent="0.25">
      <c r="A29" s="6" t="s">
        <v>3531</v>
      </c>
      <c r="B29" s="7">
        <v>46121</v>
      </c>
      <c r="C29" s="7">
        <v>46127</v>
      </c>
      <c r="D29" s="28">
        <v>3270</v>
      </c>
      <c r="E29" s="28">
        <v>336</v>
      </c>
      <c r="F29" s="28">
        <v>4</v>
      </c>
      <c r="G29" s="32">
        <v>8</v>
      </c>
      <c r="H29" s="32">
        <v>81305</v>
      </c>
      <c r="I29" s="32" t="s">
        <v>16</v>
      </c>
      <c r="J29" s="32">
        <v>19346620</v>
      </c>
      <c r="K29" s="32" t="s">
        <v>1047</v>
      </c>
      <c r="L29" s="33" t="s">
        <v>1051</v>
      </c>
      <c r="M29" s="34">
        <v>99900</v>
      </c>
      <c r="N29" s="64">
        <v>0.75</v>
      </c>
      <c r="O29" s="12">
        <f t="shared" si="0"/>
        <v>24975</v>
      </c>
      <c r="P29" s="6" t="s">
        <v>3499</v>
      </c>
    </row>
    <row r="30" spans="1:16" x14ac:dyDescent="0.25">
      <c r="A30" s="6" t="s">
        <v>3531</v>
      </c>
      <c r="B30" s="7">
        <v>46121</v>
      </c>
      <c r="C30" s="7">
        <v>46127</v>
      </c>
      <c r="D30" s="28">
        <v>3270</v>
      </c>
      <c r="E30" s="28">
        <v>336</v>
      </c>
      <c r="F30" s="28">
        <v>4</v>
      </c>
      <c r="G30" s="32">
        <v>8</v>
      </c>
      <c r="H30" s="32">
        <v>81305</v>
      </c>
      <c r="I30" s="32" t="s">
        <v>16</v>
      </c>
      <c r="J30" s="32">
        <v>19346639</v>
      </c>
      <c r="K30" s="32" t="s">
        <v>1052</v>
      </c>
      <c r="L30" s="33" t="s">
        <v>1053</v>
      </c>
      <c r="M30" s="34">
        <v>99900</v>
      </c>
      <c r="N30" s="64">
        <v>0.75</v>
      </c>
      <c r="O30" s="12">
        <f t="shared" si="0"/>
        <v>24975</v>
      </c>
      <c r="P30" s="6" t="s">
        <v>3499</v>
      </c>
    </row>
    <row r="31" spans="1:16" x14ac:dyDescent="0.25">
      <c r="A31" s="6" t="s">
        <v>3531</v>
      </c>
      <c r="B31" s="7">
        <v>46121</v>
      </c>
      <c r="C31" s="7">
        <v>46127</v>
      </c>
      <c r="D31" s="28">
        <v>3270</v>
      </c>
      <c r="E31" s="28">
        <v>336</v>
      </c>
      <c r="F31" s="28">
        <v>4</v>
      </c>
      <c r="G31" s="32">
        <v>8</v>
      </c>
      <c r="H31" s="32">
        <v>81305</v>
      </c>
      <c r="I31" s="32" t="s">
        <v>16</v>
      </c>
      <c r="J31" s="32">
        <v>19346648</v>
      </c>
      <c r="K31" s="32" t="s">
        <v>1052</v>
      </c>
      <c r="L31" s="33" t="s">
        <v>1054</v>
      </c>
      <c r="M31" s="34">
        <v>99900</v>
      </c>
      <c r="N31" s="64">
        <v>0.75</v>
      </c>
      <c r="O31" s="12">
        <f t="shared" si="0"/>
        <v>24975</v>
      </c>
      <c r="P31" s="6" t="s">
        <v>3499</v>
      </c>
    </row>
    <row r="32" spans="1:16" x14ac:dyDescent="0.25">
      <c r="A32" s="6" t="s">
        <v>3531</v>
      </c>
      <c r="B32" s="7">
        <v>46121</v>
      </c>
      <c r="C32" s="7">
        <v>46127</v>
      </c>
      <c r="D32" s="28">
        <v>3270</v>
      </c>
      <c r="E32" s="28">
        <v>336</v>
      </c>
      <c r="F32" s="28">
        <v>4</v>
      </c>
      <c r="G32" s="32">
        <v>8</v>
      </c>
      <c r="H32" s="32">
        <v>81305</v>
      </c>
      <c r="I32" s="32" t="s">
        <v>16</v>
      </c>
      <c r="J32" s="32">
        <v>19346657</v>
      </c>
      <c r="K32" s="32" t="s">
        <v>1052</v>
      </c>
      <c r="L32" s="33" t="s">
        <v>1055</v>
      </c>
      <c r="M32" s="34">
        <v>99900</v>
      </c>
      <c r="N32" s="64">
        <v>0.75</v>
      </c>
      <c r="O32" s="12">
        <f t="shared" si="0"/>
        <v>24975</v>
      </c>
      <c r="P32" s="6" t="s">
        <v>3499</v>
      </c>
    </row>
    <row r="33" spans="1:16" x14ac:dyDescent="0.25">
      <c r="A33" s="6" t="s">
        <v>3531</v>
      </c>
      <c r="B33" s="7">
        <v>46121</v>
      </c>
      <c r="C33" s="7">
        <v>46127</v>
      </c>
      <c r="D33" s="28">
        <v>3270</v>
      </c>
      <c r="E33" s="28">
        <v>336</v>
      </c>
      <c r="F33" s="28">
        <v>4</v>
      </c>
      <c r="G33" s="32">
        <v>8</v>
      </c>
      <c r="H33" s="32">
        <v>81305</v>
      </c>
      <c r="I33" s="32" t="s">
        <v>16</v>
      </c>
      <c r="J33" s="32">
        <v>19346666</v>
      </c>
      <c r="K33" s="32" t="s">
        <v>1052</v>
      </c>
      <c r="L33" s="33" t="s">
        <v>1056</v>
      </c>
      <c r="M33" s="34">
        <v>99900</v>
      </c>
      <c r="N33" s="64">
        <v>0.75</v>
      </c>
      <c r="O33" s="12">
        <f t="shared" si="0"/>
        <v>24975</v>
      </c>
      <c r="P33" s="6" t="s">
        <v>3499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EF39-9DA6-4EC2-AF5D-6E75FEEFDB60}">
  <sheetPr>
    <tabColor rgb="FF00B050"/>
  </sheetPr>
  <dimension ref="A1:P49"/>
  <sheetViews>
    <sheetView workbookViewId="0">
      <selection activeCell="N2" sqref="N2:P2"/>
    </sheetView>
  </sheetViews>
  <sheetFormatPr defaultRowHeight="15" x14ac:dyDescent="0.25"/>
  <cols>
    <col min="1" max="1" width="26.42578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1.7109375" bestFit="1" customWidth="1"/>
    <col min="12" max="12" width="80.425781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3503</v>
      </c>
      <c r="B2" s="7">
        <v>46121</v>
      </c>
      <c r="C2" s="7">
        <v>46127</v>
      </c>
      <c r="D2" s="28">
        <v>3270</v>
      </c>
      <c r="E2" s="28">
        <v>336</v>
      </c>
      <c r="F2" s="28">
        <v>4</v>
      </c>
      <c r="G2" s="29">
        <v>7</v>
      </c>
      <c r="H2" s="29">
        <v>81305</v>
      </c>
      <c r="I2" s="29" t="s">
        <v>16</v>
      </c>
      <c r="J2" s="29">
        <v>19346282</v>
      </c>
      <c r="K2" s="29" t="s">
        <v>1007</v>
      </c>
      <c r="L2" s="30" t="s">
        <v>1008</v>
      </c>
      <c r="M2" s="31">
        <v>89900</v>
      </c>
      <c r="N2" s="64">
        <v>0.75</v>
      </c>
      <c r="O2" s="12">
        <f>M2-((75*M2)/100)</f>
        <v>22475</v>
      </c>
      <c r="P2" s="6" t="s">
        <v>3499</v>
      </c>
    </row>
    <row r="3" spans="1:16" x14ac:dyDescent="0.25">
      <c r="A3" s="6" t="s">
        <v>3503</v>
      </c>
      <c r="B3" s="7">
        <v>46121</v>
      </c>
      <c r="C3" s="7">
        <v>46127</v>
      </c>
      <c r="D3" s="28">
        <v>3270</v>
      </c>
      <c r="E3" s="28">
        <v>336</v>
      </c>
      <c r="F3" s="28">
        <v>4</v>
      </c>
      <c r="G3" s="29">
        <v>7</v>
      </c>
      <c r="H3" s="29">
        <v>81305</v>
      </c>
      <c r="I3" s="29" t="s">
        <v>16</v>
      </c>
      <c r="J3" s="29">
        <v>19346291</v>
      </c>
      <c r="K3" s="29" t="s">
        <v>1007</v>
      </c>
      <c r="L3" s="30" t="s">
        <v>1009</v>
      </c>
      <c r="M3" s="31">
        <v>89900</v>
      </c>
      <c r="N3" s="64">
        <v>0.75</v>
      </c>
      <c r="O3" s="12">
        <f t="shared" ref="O3:O49" si="0">M3-((75*M3)/100)</f>
        <v>22475</v>
      </c>
      <c r="P3" s="6" t="s">
        <v>3499</v>
      </c>
    </row>
    <row r="4" spans="1:16" x14ac:dyDescent="0.25">
      <c r="A4" s="6" t="s">
        <v>3503</v>
      </c>
      <c r="B4" s="7">
        <v>46121</v>
      </c>
      <c r="C4" s="7">
        <v>46127</v>
      </c>
      <c r="D4" s="28">
        <v>3270</v>
      </c>
      <c r="E4" s="28">
        <v>336</v>
      </c>
      <c r="F4" s="28">
        <v>4</v>
      </c>
      <c r="G4" s="29">
        <v>7</v>
      </c>
      <c r="H4" s="29">
        <v>81305</v>
      </c>
      <c r="I4" s="29" t="s">
        <v>16</v>
      </c>
      <c r="J4" s="29">
        <v>19346308</v>
      </c>
      <c r="K4" s="29" t="s">
        <v>1007</v>
      </c>
      <c r="L4" s="30" t="s">
        <v>1010</v>
      </c>
      <c r="M4" s="31">
        <v>89900</v>
      </c>
      <c r="N4" s="64">
        <v>0.75</v>
      </c>
      <c r="O4" s="12">
        <f t="shared" si="0"/>
        <v>22475</v>
      </c>
      <c r="P4" s="6" t="s">
        <v>3499</v>
      </c>
    </row>
    <row r="5" spans="1:16" x14ac:dyDescent="0.25">
      <c r="A5" s="6" t="s">
        <v>3503</v>
      </c>
      <c r="B5" s="7">
        <v>46121</v>
      </c>
      <c r="C5" s="7">
        <v>46127</v>
      </c>
      <c r="D5" s="28">
        <v>3270</v>
      </c>
      <c r="E5" s="28">
        <v>336</v>
      </c>
      <c r="F5" s="28">
        <v>4</v>
      </c>
      <c r="G5" s="29">
        <v>7</v>
      </c>
      <c r="H5" s="29">
        <v>81305</v>
      </c>
      <c r="I5" s="29" t="s">
        <v>16</v>
      </c>
      <c r="J5" s="29">
        <v>19346317</v>
      </c>
      <c r="K5" s="29" t="s">
        <v>1007</v>
      </c>
      <c r="L5" s="30" t="s">
        <v>1011</v>
      </c>
      <c r="M5" s="31">
        <v>89900</v>
      </c>
      <c r="N5" s="64">
        <v>0.75</v>
      </c>
      <c r="O5" s="12">
        <f t="shared" si="0"/>
        <v>22475</v>
      </c>
      <c r="P5" s="6" t="s">
        <v>3499</v>
      </c>
    </row>
    <row r="6" spans="1:16" x14ac:dyDescent="0.25">
      <c r="A6" s="6" t="s">
        <v>3503</v>
      </c>
      <c r="B6" s="7">
        <v>46121</v>
      </c>
      <c r="C6" s="7">
        <v>46127</v>
      </c>
      <c r="D6" s="28">
        <v>3270</v>
      </c>
      <c r="E6" s="28">
        <v>336</v>
      </c>
      <c r="F6" s="28">
        <v>4</v>
      </c>
      <c r="G6" s="29">
        <v>7</v>
      </c>
      <c r="H6" s="29">
        <v>81305</v>
      </c>
      <c r="I6" s="29" t="s">
        <v>16</v>
      </c>
      <c r="J6" s="29">
        <v>19346326</v>
      </c>
      <c r="K6" s="29" t="s">
        <v>1012</v>
      </c>
      <c r="L6" s="30" t="s">
        <v>1013</v>
      </c>
      <c r="M6" s="31">
        <v>89900</v>
      </c>
      <c r="N6" s="64">
        <v>0.75</v>
      </c>
      <c r="O6" s="12">
        <f t="shared" si="0"/>
        <v>22475</v>
      </c>
      <c r="P6" s="6" t="s">
        <v>3499</v>
      </c>
    </row>
    <row r="7" spans="1:16" x14ac:dyDescent="0.25">
      <c r="A7" s="6" t="s">
        <v>3503</v>
      </c>
      <c r="B7" s="7">
        <v>46121</v>
      </c>
      <c r="C7" s="7">
        <v>46127</v>
      </c>
      <c r="D7" s="28">
        <v>3270</v>
      </c>
      <c r="E7" s="28">
        <v>336</v>
      </c>
      <c r="F7" s="28">
        <v>4</v>
      </c>
      <c r="G7" s="29">
        <v>7</v>
      </c>
      <c r="H7" s="29">
        <v>81305</v>
      </c>
      <c r="I7" s="29" t="s">
        <v>16</v>
      </c>
      <c r="J7" s="29">
        <v>19346344</v>
      </c>
      <c r="K7" s="29" t="s">
        <v>1012</v>
      </c>
      <c r="L7" s="30" t="s">
        <v>1014</v>
      </c>
      <c r="M7" s="31">
        <v>89900</v>
      </c>
      <c r="N7" s="64">
        <v>0.75</v>
      </c>
      <c r="O7" s="12">
        <f t="shared" si="0"/>
        <v>22475</v>
      </c>
      <c r="P7" s="6" t="s">
        <v>3499</v>
      </c>
    </row>
    <row r="8" spans="1:16" x14ac:dyDescent="0.25">
      <c r="A8" s="6" t="s">
        <v>3503</v>
      </c>
      <c r="B8" s="7">
        <v>46121</v>
      </c>
      <c r="C8" s="7">
        <v>46127</v>
      </c>
      <c r="D8" s="28">
        <v>3270</v>
      </c>
      <c r="E8" s="28">
        <v>336</v>
      </c>
      <c r="F8" s="28">
        <v>4</v>
      </c>
      <c r="G8" s="29">
        <v>7</v>
      </c>
      <c r="H8" s="29">
        <v>81305</v>
      </c>
      <c r="I8" s="29" t="s">
        <v>16</v>
      </c>
      <c r="J8" s="29">
        <v>19346353</v>
      </c>
      <c r="K8" s="29" t="s">
        <v>1012</v>
      </c>
      <c r="L8" s="30" t="s">
        <v>1015</v>
      </c>
      <c r="M8" s="31">
        <v>89900</v>
      </c>
      <c r="N8" s="64">
        <v>0.75</v>
      </c>
      <c r="O8" s="12">
        <f t="shared" si="0"/>
        <v>22475</v>
      </c>
      <c r="P8" s="6" t="s">
        <v>3499</v>
      </c>
    </row>
    <row r="9" spans="1:16" x14ac:dyDescent="0.25">
      <c r="A9" s="6" t="s">
        <v>3503</v>
      </c>
      <c r="B9" s="7">
        <v>46121</v>
      </c>
      <c r="C9" s="7">
        <v>46127</v>
      </c>
      <c r="D9" s="28">
        <v>3270</v>
      </c>
      <c r="E9" s="28">
        <v>336</v>
      </c>
      <c r="F9" s="28">
        <v>4</v>
      </c>
      <c r="G9" s="29">
        <v>7</v>
      </c>
      <c r="H9" s="29">
        <v>81305</v>
      </c>
      <c r="I9" s="29" t="s">
        <v>16</v>
      </c>
      <c r="J9" s="29">
        <v>19346362</v>
      </c>
      <c r="K9" s="29" t="s">
        <v>1012</v>
      </c>
      <c r="L9" s="30" t="s">
        <v>1016</v>
      </c>
      <c r="M9" s="31">
        <v>89900</v>
      </c>
      <c r="N9" s="64">
        <v>0.75</v>
      </c>
      <c r="O9" s="12">
        <f t="shared" si="0"/>
        <v>22475</v>
      </c>
      <c r="P9" s="6" t="s">
        <v>3499</v>
      </c>
    </row>
    <row r="10" spans="1:16" x14ac:dyDescent="0.25">
      <c r="A10" s="6" t="s">
        <v>3503</v>
      </c>
      <c r="B10" s="7">
        <v>46121</v>
      </c>
      <c r="C10" s="7">
        <v>46127</v>
      </c>
      <c r="D10" s="28">
        <v>3270</v>
      </c>
      <c r="E10" s="28">
        <v>336</v>
      </c>
      <c r="F10" s="28">
        <v>4</v>
      </c>
      <c r="G10" s="29">
        <v>7</v>
      </c>
      <c r="H10" s="29">
        <v>81305</v>
      </c>
      <c r="I10" s="29" t="s">
        <v>16</v>
      </c>
      <c r="J10" s="29">
        <v>19346371</v>
      </c>
      <c r="K10" s="29" t="s">
        <v>1017</v>
      </c>
      <c r="L10" s="30" t="s">
        <v>1018</v>
      </c>
      <c r="M10" s="31">
        <v>89900</v>
      </c>
      <c r="N10" s="64">
        <v>0.75</v>
      </c>
      <c r="O10" s="12">
        <f t="shared" si="0"/>
        <v>22475</v>
      </c>
      <c r="P10" s="6" t="s">
        <v>3499</v>
      </c>
    </row>
    <row r="11" spans="1:16" x14ac:dyDescent="0.25">
      <c r="A11" s="6" t="s">
        <v>3503</v>
      </c>
      <c r="B11" s="7">
        <v>46121</v>
      </c>
      <c r="C11" s="7">
        <v>46127</v>
      </c>
      <c r="D11" s="28">
        <v>3270</v>
      </c>
      <c r="E11" s="28">
        <v>336</v>
      </c>
      <c r="F11" s="28">
        <v>4</v>
      </c>
      <c r="G11" s="29">
        <v>7</v>
      </c>
      <c r="H11" s="29">
        <v>81305</v>
      </c>
      <c r="I11" s="29" t="s">
        <v>16</v>
      </c>
      <c r="J11" s="29">
        <v>19346380</v>
      </c>
      <c r="K11" s="29" t="s">
        <v>1017</v>
      </c>
      <c r="L11" s="30" t="s">
        <v>1019</v>
      </c>
      <c r="M11" s="31">
        <v>89900</v>
      </c>
      <c r="N11" s="64">
        <v>0.75</v>
      </c>
      <c r="O11" s="12">
        <f t="shared" si="0"/>
        <v>22475</v>
      </c>
      <c r="P11" s="6" t="s">
        <v>3499</v>
      </c>
    </row>
    <row r="12" spans="1:16" x14ac:dyDescent="0.25">
      <c r="A12" s="6" t="s">
        <v>3503</v>
      </c>
      <c r="B12" s="7">
        <v>46121</v>
      </c>
      <c r="C12" s="7">
        <v>46127</v>
      </c>
      <c r="D12" s="28">
        <v>3270</v>
      </c>
      <c r="E12" s="28">
        <v>336</v>
      </c>
      <c r="F12" s="28">
        <v>4</v>
      </c>
      <c r="G12" s="29">
        <v>7</v>
      </c>
      <c r="H12" s="29">
        <v>81305</v>
      </c>
      <c r="I12" s="29" t="s">
        <v>16</v>
      </c>
      <c r="J12" s="29">
        <v>19346399</v>
      </c>
      <c r="K12" s="29" t="s">
        <v>1017</v>
      </c>
      <c r="L12" s="30" t="s">
        <v>1020</v>
      </c>
      <c r="M12" s="31">
        <v>89900</v>
      </c>
      <c r="N12" s="64">
        <v>0.75</v>
      </c>
      <c r="O12" s="12">
        <f t="shared" si="0"/>
        <v>22475</v>
      </c>
      <c r="P12" s="6" t="s">
        <v>3499</v>
      </c>
    </row>
    <row r="13" spans="1:16" x14ac:dyDescent="0.25">
      <c r="A13" s="6" t="s">
        <v>3503</v>
      </c>
      <c r="B13" s="7">
        <v>46121</v>
      </c>
      <c r="C13" s="7">
        <v>46127</v>
      </c>
      <c r="D13" s="28">
        <v>3270</v>
      </c>
      <c r="E13" s="28">
        <v>336</v>
      </c>
      <c r="F13" s="28">
        <v>4</v>
      </c>
      <c r="G13" s="29">
        <v>7</v>
      </c>
      <c r="H13" s="29">
        <v>81305</v>
      </c>
      <c r="I13" s="29" t="s">
        <v>16</v>
      </c>
      <c r="J13" s="29">
        <v>19346406</v>
      </c>
      <c r="K13" s="29" t="s">
        <v>1017</v>
      </c>
      <c r="L13" s="30" t="s">
        <v>1021</v>
      </c>
      <c r="M13" s="31">
        <v>89900</v>
      </c>
      <c r="N13" s="64">
        <v>0.75</v>
      </c>
      <c r="O13" s="12">
        <f t="shared" si="0"/>
        <v>22475</v>
      </c>
      <c r="P13" s="6" t="s">
        <v>3499</v>
      </c>
    </row>
    <row r="14" spans="1:16" x14ac:dyDescent="0.25">
      <c r="A14" s="6" t="s">
        <v>3503</v>
      </c>
      <c r="B14" s="7">
        <v>46121</v>
      </c>
      <c r="C14" s="7">
        <v>46127</v>
      </c>
      <c r="D14" s="28">
        <v>3270</v>
      </c>
      <c r="E14" s="28">
        <v>336</v>
      </c>
      <c r="F14" s="28">
        <v>4</v>
      </c>
      <c r="G14" s="32">
        <v>7</v>
      </c>
      <c r="H14" s="32">
        <v>81305</v>
      </c>
      <c r="I14" s="32" t="s">
        <v>16</v>
      </c>
      <c r="J14" s="32">
        <v>19346415</v>
      </c>
      <c r="K14" s="32" t="s">
        <v>1022</v>
      </c>
      <c r="L14" s="33" t="s">
        <v>1023</v>
      </c>
      <c r="M14" s="34">
        <v>89900</v>
      </c>
      <c r="N14" s="64">
        <v>0.75</v>
      </c>
      <c r="O14" s="12">
        <f t="shared" si="0"/>
        <v>22475</v>
      </c>
      <c r="P14" s="6" t="s">
        <v>3499</v>
      </c>
    </row>
    <row r="15" spans="1:16" x14ac:dyDescent="0.25">
      <c r="A15" s="6" t="s">
        <v>3503</v>
      </c>
      <c r="B15" s="7">
        <v>46121</v>
      </c>
      <c r="C15" s="7">
        <v>46127</v>
      </c>
      <c r="D15" s="28">
        <v>3270</v>
      </c>
      <c r="E15" s="28">
        <v>336</v>
      </c>
      <c r="F15" s="28">
        <v>4</v>
      </c>
      <c r="G15" s="32">
        <v>7</v>
      </c>
      <c r="H15" s="32">
        <v>81305</v>
      </c>
      <c r="I15" s="32" t="s">
        <v>16</v>
      </c>
      <c r="J15" s="32">
        <v>19346433</v>
      </c>
      <c r="K15" s="32" t="s">
        <v>1022</v>
      </c>
      <c r="L15" s="33" t="s">
        <v>1024</v>
      </c>
      <c r="M15" s="34">
        <v>89900</v>
      </c>
      <c r="N15" s="64">
        <v>0.75</v>
      </c>
      <c r="O15" s="12">
        <f t="shared" si="0"/>
        <v>22475</v>
      </c>
      <c r="P15" s="6" t="s">
        <v>3499</v>
      </c>
    </row>
    <row r="16" spans="1:16" x14ac:dyDescent="0.25">
      <c r="A16" s="6" t="s">
        <v>3503</v>
      </c>
      <c r="B16" s="7">
        <v>46121</v>
      </c>
      <c r="C16" s="7">
        <v>46127</v>
      </c>
      <c r="D16" s="28">
        <v>3270</v>
      </c>
      <c r="E16" s="28">
        <v>336</v>
      </c>
      <c r="F16" s="28">
        <v>4</v>
      </c>
      <c r="G16" s="32">
        <v>7</v>
      </c>
      <c r="H16" s="32">
        <v>81305</v>
      </c>
      <c r="I16" s="32" t="s">
        <v>16</v>
      </c>
      <c r="J16" s="32">
        <v>19346442</v>
      </c>
      <c r="K16" s="32" t="s">
        <v>1022</v>
      </c>
      <c r="L16" s="33" t="s">
        <v>1025</v>
      </c>
      <c r="M16" s="34">
        <v>89900</v>
      </c>
      <c r="N16" s="64">
        <v>0.75</v>
      </c>
      <c r="O16" s="12">
        <f t="shared" si="0"/>
        <v>22475</v>
      </c>
      <c r="P16" s="6" t="s">
        <v>3499</v>
      </c>
    </row>
    <row r="17" spans="1:16" x14ac:dyDescent="0.25">
      <c r="A17" s="6" t="s">
        <v>3503</v>
      </c>
      <c r="B17" s="7">
        <v>46121</v>
      </c>
      <c r="C17" s="7">
        <v>46127</v>
      </c>
      <c r="D17" s="28">
        <v>3270</v>
      </c>
      <c r="E17" s="28">
        <v>336</v>
      </c>
      <c r="F17" s="28">
        <v>4</v>
      </c>
      <c r="G17" s="32">
        <v>7</v>
      </c>
      <c r="H17" s="32">
        <v>81305</v>
      </c>
      <c r="I17" s="32" t="s">
        <v>16</v>
      </c>
      <c r="J17" s="32">
        <v>19346479</v>
      </c>
      <c r="K17" s="32" t="s">
        <v>1022</v>
      </c>
      <c r="L17" s="33" t="s">
        <v>1026</v>
      </c>
      <c r="M17" s="34">
        <v>89900</v>
      </c>
      <c r="N17" s="64">
        <v>0.75</v>
      </c>
      <c r="O17" s="12">
        <f t="shared" si="0"/>
        <v>22475</v>
      </c>
      <c r="P17" s="6" t="s">
        <v>3499</v>
      </c>
    </row>
    <row r="18" spans="1:16" x14ac:dyDescent="0.25">
      <c r="A18" s="6" t="s">
        <v>3503</v>
      </c>
      <c r="B18" s="7">
        <v>46121</v>
      </c>
      <c r="C18" s="7">
        <v>46127</v>
      </c>
      <c r="D18" s="28">
        <v>3270</v>
      </c>
      <c r="E18" s="28">
        <v>336</v>
      </c>
      <c r="F18" s="28">
        <v>4</v>
      </c>
      <c r="G18" s="32">
        <v>7</v>
      </c>
      <c r="H18" s="32">
        <v>81305</v>
      </c>
      <c r="I18" s="32" t="s">
        <v>16</v>
      </c>
      <c r="J18" s="32">
        <v>19346488</v>
      </c>
      <c r="K18" s="32" t="s">
        <v>1027</v>
      </c>
      <c r="L18" s="33" t="s">
        <v>1028</v>
      </c>
      <c r="M18" s="34">
        <v>89900</v>
      </c>
      <c r="N18" s="64">
        <v>0.75</v>
      </c>
      <c r="O18" s="12">
        <f t="shared" si="0"/>
        <v>22475</v>
      </c>
      <c r="P18" s="6" t="s">
        <v>3499</v>
      </c>
    </row>
    <row r="19" spans="1:16" x14ac:dyDescent="0.25">
      <c r="A19" s="6" t="s">
        <v>3503</v>
      </c>
      <c r="B19" s="7">
        <v>46121</v>
      </c>
      <c r="C19" s="7">
        <v>46127</v>
      </c>
      <c r="D19" s="28">
        <v>3270</v>
      </c>
      <c r="E19" s="28">
        <v>336</v>
      </c>
      <c r="F19" s="28">
        <v>4</v>
      </c>
      <c r="G19" s="32">
        <v>7</v>
      </c>
      <c r="H19" s="32">
        <v>81305</v>
      </c>
      <c r="I19" s="32" t="s">
        <v>16</v>
      </c>
      <c r="J19" s="32">
        <v>19346497</v>
      </c>
      <c r="K19" s="32" t="s">
        <v>1027</v>
      </c>
      <c r="L19" s="33" t="s">
        <v>1029</v>
      </c>
      <c r="M19" s="34">
        <v>89900</v>
      </c>
      <c r="N19" s="64">
        <v>0.75</v>
      </c>
      <c r="O19" s="12">
        <f t="shared" si="0"/>
        <v>22475</v>
      </c>
      <c r="P19" s="6" t="s">
        <v>3499</v>
      </c>
    </row>
    <row r="20" spans="1:16" x14ac:dyDescent="0.25">
      <c r="A20" s="6" t="s">
        <v>3503</v>
      </c>
      <c r="B20" s="7">
        <v>46121</v>
      </c>
      <c r="C20" s="7">
        <v>46127</v>
      </c>
      <c r="D20" s="28">
        <v>3270</v>
      </c>
      <c r="E20" s="28">
        <v>336</v>
      </c>
      <c r="F20" s="28">
        <v>4</v>
      </c>
      <c r="G20" s="32">
        <v>7</v>
      </c>
      <c r="H20" s="32">
        <v>81305</v>
      </c>
      <c r="I20" s="32" t="s">
        <v>16</v>
      </c>
      <c r="J20" s="32">
        <v>19346504</v>
      </c>
      <c r="K20" s="32" t="s">
        <v>1027</v>
      </c>
      <c r="L20" s="33" t="s">
        <v>1030</v>
      </c>
      <c r="M20" s="34">
        <v>89900</v>
      </c>
      <c r="N20" s="64">
        <v>0.75</v>
      </c>
      <c r="O20" s="12">
        <f t="shared" si="0"/>
        <v>22475</v>
      </c>
      <c r="P20" s="6" t="s">
        <v>3499</v>
      </c>
    </row>
    <row r="21" spans="1:16" x14ac:dyDescent="0.25">
      <c r="A21" s="6" t="s">
        <v>3503</v>
      </c>
      <c r="B21" s="7">
        <v>46121</v>
      </c>
      <c r="C21" s="7">
        <v>46127</v>
      </c>
      <c r="D21" s="28">
        <v>3270</v>
      </c>
      <c r="E21" s="28">
        <v>336</v>
      </c>
      <c r="F21" s="28">
        <v>4</v>
      </c>
      <c r="G21" s="32">
        <v>7</v>
      </c>
      <c r="H21" s="32">
        <v>81305</v>
      </c>
      <c r="I21" s="32" t="s">
        <v>16</v>
      </c>
      <c r="J21" s="32">
        <v>19346513</v>
      </c>
      <c r="K21" s="32" t="s">
        <v>1027</v>
      </c>
      <c r="L21" s="33" t="s">
        <v>1031</v>
      </c>
      <c r="M21" s="34">
        <v>89900</v>
      </c>
      <c r="N21" s="64">
        <v>0.75</v>
      </c>
      <c r="O21" s="12">
        <f t="shared" si="0"/>
        <v>22475</v>
      </c>
      <c r="P21" s="6" t="s">
        <v>3499</v>
      </c>
    </row>
    <row r="22" spans="1:16" x14ac:dyDescent="0.25">
      <c r="A22" s="6" t="s">
        <v>3503</v>
      </c>
      <c r="B22" s="7">
        <v>46121</v>
      </c>
      <c r="C22" s="7">
        <v>46127</v>
      </c>
      <c r="D22" s="28">
        <v>3270</v>
      </c>
      <c r="E22" s="28">
        <v>336</v>
      </c>
      <c r="F22" s="28">
        <v>4</v>
      </c>
      <c r="G22" s="32">
        <v>7</v>
      </c>
      <c r="H22" s="32">
        <v>4953</v>
      </c>
      <c r="I22" s="32" t="s">
        <v>16</v>
      </c>
      <c r="J22" s="32">
        <v>22434680</v>
      </c>
      <c r="K22" s="32" t="s">
        <v>1032</v>
      </c>
      <c r="L22" s="33" t="s">
        <v>1033</v>
      </c>
      <c r="M22" s="34">
        <v>89900</v>
      </c>
      <c r="N22" s="64">
        <v>0.75</v>
      </c>
      <c r="O22" s="12">
        <f t="shared" si="0"/>
        <v>22475</v>
      </c>
      <c r="P22" s="6" t="s">
        <v>3499</v>
      </c>
    </row>
    <row r="23" spans="1:16" x14ac:dyDescent="0.25">
      <c r="A23" s="6" t="s">
        <v>3503</v>
      </c>
      <c r="B23" s="7">
        <v>46121</v>
      </c>
      <c r="C23" s="7">
        <v>46127</v>
      </c>
      <c r="D23" s="28">
        <v>3270</v>
      </c>
      <c r="E23" s="28">
        <v>336</v>
      </c>
      <c r="F23" s="28">
        <v>4</v>
      </c>
      <c r="G23" s="32">
        <v>7</v>
      </c>
      <c r="H23" s="32">
        <v>4953</v>
      </c>
      <c r="I23" s="32" t="s">
        <v>16</v>
      </c>
      <c r="J23" s="32">
        <v>22434706</v>
      </c>
      <c r="K23" s="32" t="s">
        <v>1032</v>
      </c>
      <c r="L23" s="33" t="s">
        <v>1034</v>
      </c>
      <c r="M23" s="34">
        <v>89900</v>
      </c>
      <c r="N23" s="64">
        <v>0.75</v>
      </c>
      <c r="O23" s="12">
        <f t="shared" si="0"/>
        <v>22475</v>
      </c>
      <c r="P23" s="6" t="s">
        <v>3499</v>
      </c>
    </row>
    <row r="24" spans="1:16" x14ac:dyDescent="0.25">
      <c r="A24" s="6" t="s">
        <v>3503</v>
      </c>
      <c r="B24" s="7">
        <v>46121</v>
      </c>
      <c r="C24" s="7">
        <v>46127</v>
      </c>
      <c r="D24" s="28">
        <v>3270</v>
      </c>
      <c r="E24" s="28">
        <v>336</v>
      </c>
      <c r="F24" s="28">
        <v>4</v>
      </c>
      <c r="G24" s="32">
        <v>7</v>
      </c>
      <c r="H24" s="32">
        <v>4953</v>
      </c>
      <c r="I24" s="32" t="s">
        <v>16</v>
      </c>
      <c r="J24" s="32">
        <v>22434715</v>
      </c>
      <c r="K24" s="32" t="s">
        <v>1032</v>
      </c>
      <c r="L24" s="33" t="s">
        <v>1035</v>
      </c>
      <c r="M24" s="34">
        <v>89900</v>
      </c>
      <c r="N24" s="64">
        <v>0.75</v>
      </c>
      <c r="O24" s="12">
        <f t="shared" si="0"/>
        <v>22475</v>
      </c>
      <c r="P24" s="6" t="s">
        <v>3499</v>
      </c>
    </row>
    <row r="25" spans="1:16" x14ac:dyDescent="0.25">
      <c r="A25" s="6" t="s">
        <v>3503</v>
      </c>
      <c r="B25" s="7">
        <v>46121</v>
      </c>
      <c r="C25" s="7">
        <v>46127</v>
      </c>
      <c r="D25" s="28">
        <v>3270</v>
      </c>
      <c r="E25" s="28">
        <v>336</v>
      </c>
      <c r="F25" s="28">
        <v>4</v>
      </c>
      <c r="G25" s="32">
        <v>7</v>
      </c>
      <c r="H25" s="32">
        <v>4953</v>
      </c>
      <c r="I25" s="32" t="s">
        <v>16</v>
      </c>
      <c r="J25" s="32">
        <v>22434724</v>
      </c>
      <c r="K25" s="32" t="s">
        <v>1032</v>
      </c>
      <c r="L25" s="33" t="s">
        <v>1036</v>
      </c>
      <c r="M25" s="34">
        <v>89900</v>
      </c>
      <c r="N25" s="64">
        <v>0.75</v>
      </c>
      <c r="O25" s="12">
        <f t="shared" si="0"/>
        <v>22475</v>
      </c>
      <c r="P25" s="6" t="s">
        <v>3499</v>
      </c>
    </row>
    <row r="26" spans="1:16" x14ac:dyDescent="0.25">
      <c r="A26" s="6" t="s">
        <v>3503</v>
      </c>
      <c r="B26" s="7">
        <v>46121</v>
      </c>
      <c r="C26" s="7">
        <v>46127</v>
      </c>
      <c r="D26" s="28">
        <v>3270</v>
      </c>
      <c r="E26" s="28">
        <v>336</v>
      </c>
      <c r="F26" s="28">
        <v>4</v>
      </c>
      <c r="G26" s="32">
        <v>7</v>
      </c>
      <c r="H26" s="32">
        <v>4953</v>
      </c>
      <c r="I26" s="32" t="s">
        <v>16</v>
      </c>
      <c r="J26" s="32">
        <v>22434779</v>
      </c>
      <c r="K26" s="32" t="s">
        <v>1037</v>
      </c>
      <c r="L26" s="33" t="s">
        <v>1038</v>
      </c>
      <c r="M26" s="34">
        <v>89900</v>
      </c>
      <c r="N26" s="64">
        <v>0.75</v>
      </c>
      <c r="O26" s="12">
        <f t="shared" si="0"/>
        <v>22475</v>
      </c>
      <c r="P26" s="6" t="s">
        <v>3499</v>
      </c>
    </row>
    <row r="27" spans="1:16" x14ac:dyDescent="0.25">
      <c r="A27" s="6" t="s">
        <v>3503</v>
      </c>
      <c r="B27" s="7">
        <v>46121</v>
      </c>
      <c r="C27" s="7">
        <v>46127</v>
      </c>
      <c r="D27" s="28">
        <v>3270</v>
      </c>
      <c r="E27" s="28">
        <v>336</v>
      </c>
      <c r="F27" s="28">
        <v>4</v>
      </c>
      <c r="G27" s="32">
        <v>7</v>
      </c>
      <c r="H27" s="32">
        <v>4953</v>
      </c>
      <c r="I27" s="32" t="s">
        <v>16</v>
      </c>
      <c r="J27" s="32">
        <v>22434788</v>
      </c>
      <c r="K27" s="32" t="s">
        <v>1037</v>
      </c>
      <c r="L27" s="33" t="s">
        <v>1039</v>
      </c>
      <c r="M27" s="34">
        <v>89900</v>
      </c>
      <c r="N27" s="64">
        <v>0.75</v>
      </c>
      <c r="O27" s="12">
        <f t="shared" si="0"/>
        <v>22475</v>
      </c>
      <c r="P27" s="6" t="s">
        <v>3499</v>
      </c>
    </row>
    <row r="28" spans="1:16" x14ac:dyDescent="0.25">
      <c r="A28" s="6" t="s">
        <v>3503</v>
      </c>
      <c r="B28" s="7">
        <v>46121</v>
      </c>
      <c r="C28" s="7">
        <v>46127</v>
      </c>
      <c r="D28" s="28">
        <v>3270</v>
      </c>
      <c r="E28" s="28">
        <v>336</v>
      </c>
      <c r="F28" s="28">
        <v>4</v>
      </c>
      <c r="G28" s="32">
        <v>7</v>
      </c>
      <c r="H28" s="32">
        <v>4953</v>
      </c>
      <c r="I28" s="32" t="s">
        <v>16</v>
      </c>
      <c r="J28" s="32">
        <v>22434797</v>
      </c>
      <c r="K28" s="32" t="s">
        <v>1037</v>
      </c>
      <c r="L28" s="33" t="s">
        <v>1040</v>
      </c>
      <c r="M28" s="34">
        <v>89900</v>
      </c>
      <c r="N28" s="64">
        <v>0.75</v>
      </c>
      <c r="O28" s="12">
        <f t="shared" si="0"/>
        <v>22475</v>
      </c>
      <c r="P28" s="6" t="s">
        <v>3499</v>
      </c>
    </row>
    <row r="29" spans="1:16" x14ac:dyDescent="0.25">
      <c r="A29" s="6" t="s">
        <v>3503</v>
      </c>
      <c r="B29" s="7">
        <v>46121</v>
      </c>
      <c r="C29" s="7">
        <v>46127</v>
      </c>
      <c r="D29" s="28">
        <v>3270</v>
      </c>
      <c r="E29" s="28">
        <v>336</v>
      </c>
      <c r="F29" s="28">
        <v>4</v>
      </c>
      <c r="G29" s="32">
        <v>7</v>
      </c>
      <c r="H29" s="32">
        <v>4953</v>
      </c>
      <c r="I29" s="32" t="s">
        <v>16</v>
      </c>
      <c r="J29" s="32">
        <v>22434804</v>
      </c>
      <c r="K29" s="32" t="s">
        <v>1037</v>
      </c>
      <c r="L29" s="33" t="s">
        <v>1041</v>
      </c>
      <c r="M29" s="34">
        <v>89900</v>
      </c>
      <c r="N29" s="64">
        <v>0.75</v>
      </c>
      <c r="O29" s="12">
        <f t="shared" si="0"/>
        <v>22475</v>
      </c>
      <c r="P29" s="6" t="s">
        <v>3499</v>
      </c>
    </row>
    <row r="30" spans="1:16" x14ac:dyDescent="0.25">
      <c r="A30" s="6" t="s">
        <v>3503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8">
        <v>7</v>
      </c>
      <c r="H30" s="8">
        <v>81305</v>
      </c>
      <c r="I30" s="8" t="s">
        <v>16</v>
      </c>
      <c r="J30" s="8">
        <v>23423029</v>
      </c>
      <c r="K30" s="8" t="s">
        <v>1057</v>
      </c>
      <c r="L30" s="9" t="s">
        <v>1058</v>
      </c>
      <c r="M30" s="10">
        <v>89900</v>
      </c>
      <c r="N30" s="64">
        <v>0.75</v>
      </c>
      <c r="O30" s="12">
        <f t="shared" si="0"/>
        <v>22475</v>
      </c>
      <c r="P30" s="6" t="s">
        <v>3499</v>
      </c>
    </row>
    <row r="31" spans="1:16" x14ac:dyDescent="0.25">
      <c r="A31" s="6" t="s">
        <v>3503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8">
        <v>7</v>
      </c>
      <c r="H31" s="8">
        <v>81305</v>
      </c>
      <c r="I31" s="8" t="s">
        <v>16</v>
      </c>
      <c r="J31" s="8">
        <v>23423038</v>
      </c>
      <c r="K31" s="8" t="s">
        <v>1057</v>
      </c>
      <c r="L31" s="9" t="s">
        <v>1059</v>
      </c>
      <c r="M31" s="10">
        <v>89900</v>
      </c>
      <c r="N31" s="64">
        <v>0.75</v>
      </c>
      <c r="O31" s="12">
        <f t="shared" si="0"/>
        <v>22475</v>
      </c>
      <c r="P31" s="6" t="s">
        <v>3499</v>
      </c>
    </row>
    <row r="32" spans="1:16" x14ac:dyDescent="0.25">
      <c r="A32" s="6" t="s">
        <v>3503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8">
        <v>7</v>
      </c>
      <c r="H32" s="8">
        <v>81305</v>
      </c>
      <c r="I32" s="8" t="s">
        <v>16</v>
      </c>
      <c r="J32" s="8">
        <v>23423047</v>
      </c>
      <c r="K32" s="8" t="s">
        <v>1057</v>
      </c>
      <c r="L32" s="9" t="s">
        <v>1060</v>
      </c>
      <c r="M32" s="10">
        <v>89900</v>
      </c>
      <c r="N32" s="64">
        <v>0.75</v>
      </c>
      <c r="O32" s="12">
        <f t="shared" si="0"/>
        <v>22475</v>
      </c>
      <c r="P32" s="6" t="s">
        <v>3499</v>
      </c>
    </row>
    <row r="33" spans="1:16" x14ac:dyDescent="0.25">
      <c r="A33" s="6" t="s">
        <v>3503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8">
        <v>7</v>
      </c>
      <c r="H33" s="8">
        <v>81305</v>
      </c>
      <c r="I33" s="8" t="s">
        <v>16</v>
      </c>
      <c r="J33" s="8">
        <v>23423056</v>
      </c>
      <c r="K33" s="8" t="s">
        <v>1057</v>
      </c>
      <c r="L33" s="9" t="s">
        <v>1061</v>
      </c>
      <c r="M33" s="10">
        <v>89900</v>
      </c>
      <c r="N33" s="64">
        <v>0.75</v>
      </c>
      <c r="O33" s="12">
        <f t="shared" si="0"/>
        <v>22475</v>
      </c>
      <c r="P33" s="6" t="s">
        <v>3499</v>
      </c>
    </row>
    <row r="34" spans="1:16" x14ac:dyDescent="0.25">
      <c r="A34" s="6" t="s">
        <v>3503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8">
        <v>7</v>
      </c>
      <c r="H34" s="8">
        <v>81305</v>
      </c>
      <c r="I34" s="8" t="s">
        <v>16</v>
      </c>
      <c r="J34" s="8">
        <v>23423065</v>
      </c>
      <c r="K34" s="8" t="s">
        <v>1062</v>
      </c>
      <c r="L34" s="9" t="s">
        <v>1063</v>
      </c>
      <c r="M34" s="10">
        <v>89900</v>
      </c>
      <c r="N34" s="64">
        <v>0.75</v>
      </c>
      <c r="O34" s="12">
        <f t="shared" si="0"/>
        <v>22475</v>
      </c>
      <c r="P34" s="6" t="s">
        <v>3499</v>
      </c>
    </row>
    <row r="35" spans="1:16" x14ac:dyDescent="0.25">
      <c r="A35" s="6" t="s">
        <v>3503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8">
        <v>7</v>
      </c>
      <c r="H35" s="8">
        <v>81305</v>
      </c>
      <c r="I35" s="8" t="s">
        <v>16</v>
      </c>
      <c r="J35" s="8">
        <v>23423074</v>
      </c>
      <c r="K35" s="8" t="s">
        <v>1062</v>
      </c>
      <c r="L35" s="9" t="s">
        <v>1064</v>
      </c>
      <c r="M35" s="10">
        <v>89900</v>
      </c>
      <c r="N35" s="64">
        <v>0.75</v>
      </c>
      <c r="O35" s="12">
        <f t="shared" si="0"/>
        <v>22475</v>
      </c>
      <c r="P35" s="6" t="s">
        <v>3499</v>
      </c>
    </row>
    <row r="36" spans="1:16" x14ac:dyDescent="0.25">
      <c r="A36" s="6" t="s">
        <v>3503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8">
        <v>7</v>
      </c>
      <c r="H36" s="8">
        <v>81305</v>
      </c>
      <c r="I36" s="8" t="s">
        <v>16</v>
      </c>
      <c r="J36" s="8">
        <v>23423083</v>
      </c>
      <c r="K36" s="8" t="s">
        <v>1062</v>
      </c>
      <c r="L36" s="9" t="s">
        <v>1065</v>
      </c>
      <c r="M36" s="10">
        <v>89900</v>
      </c>
      <c r="N36" s="64">
        <v>0.75</v>
      </c>
      <c r="O36" s="12">
        <f t="shared" si="0"/>
        <v>22475</v>
      </c>
      <c r="P36" s="6" t="s">
        <v>3499</v>
      </c>
    </row>
    <row r="37" spans="1:16" x14ac:dyDescent="0.25">
      <c r="A37" s="6" t="s">
        <v>3503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8">
        <v>7</v>
      </c>
      <c r="H37" s="8">
        <v>81305</v>
      </c>
      <c r="I37" s="8" t="s">
        <v>16</v>
      </c>
      <c r="J37" s="8">
        <v>23423092</v>
      </c>
      <c r="K37" s="8" t="s">
        <v>1062</v>
      </c>
      <c r="L37" s="9" t="s">
        <v>1066</v>
      </c>
      <c r="M37" s="10">
        <v>89900</v>
      </c>
      <c r="N37" s="64">
        <v>0.75</v>
      </c>
      <c r="O37" s="12">
        <f t="shared" si="0"/>
        <v>22475</v>
      </c>
      <c r="P37" s="6" t="s">
        <v>3499</v>
      </c>
    </row>
    <row r="38" spans="1:16" x14ac:dyDescent="0.25">
      <c r="A38" s="6" t="s">
        <v>3503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8">
        <v>7</v>
      </c>
      <c r="H38" s="8">
        <v>81305</v>
      </c>
      <c r="I38" s="8" t="s">
        <v>16</v>
      </c>
      <c r="J38" s="8">
        <v>23423109</v>
      </c>
      <c r="K38" s="8" t="s">
        <v>1067</v>
      </c>
      <c r="L38" s="9" t="s">
        <v>1068</v>
      </c>
      <c r="M38" s="10">
        <v>89900</v>
      </c>
      <c r="N38" s="64">
        <v>0.75</v>
      </c>
      <c r="O38" s="12">
        <f t="shared" si="0"/>
        <v>22475</v>
      </c>
      <c r="P38" s="6" t="s">
        <v>3499</v>
      </c>
    </row>
    <row r="39" spans="1:16" x14ac:dyDescent="0.25">
      <c r="A39" s="6" t="s">
        <v>3503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8">
        <v>7</v>
      </c>
      <c r="H39" s="8">
        <v>81305</v>
      </c>
      <c r="I39" s="8" t="s">
        <v>16</v>
      </c>
      <c r="J39" s="8">
        <v>23423118</v>
      </c>
      <c r="K39" s="8" t="s">
        <v>1067</v>
      </c>
      <c r="L39" s="9" t="s">
        <v>1069</v>
      </c>
      <c r="M39" s="10">
        <v>89900</v>
      </c>
      <c r="N39" s="64">
        <v>0.75</v>
      </c>
      <c r="O39" s="12">
        <f t="shared" si="0"/>
        <v>22475</v>
      </c>
      <c r="P39" s="6" t="s">
        <v>3499</v>
      </c>
    </row>
    <row r="40" spans="1:16" x14ac:dyDescent="0.25">
      <c r="A40" s="6" t="s">
        <v>3503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8">
        <v>7</v>
      </c>
      <c r="H40" s="8">
        <v>81305</v>
      </c>
      <c r="I40" s="8" t="s">
        <v>16</v>
      </c>
      <c r="J40" s="8">
        <v>23423127</v>
      </c>
      <c r="K40" s="8" t="s">
        <v>1067</v>
      </c>
      <c r="L40" s="9" t="s">
        <v>1070</v>
      </c>
      <c r="M40" s="10">
        <v>89900</v>
      </c>
      <c r="N40" s="64">
        <v>0.75</v>
      </c>
      <c r="O40" s="12">
        <f t="shared" si="0"/>
        <v>22475</v>
      </c>
      <c r="P40" s="6" t="s">
        <v>3499</v>
      </c>
    </row>
    <row r="41" spans="1:16" x14ac:dyDescent="0.25">
      <c r="A41" s="6" t="s">
        <v>3503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8">
        <v>7</v>
      </c>
      <c r="H41" s="8">
        <v>81305</v>
      </c>
      <c r="I41" s="8" t="s">
        <v>16</v>
      </c>
      <c r="J41" s="8">
        <v>23423136</v>
      </c>
      <c r="K41" s="8" t="s">
        <v>1067</v>
      </c>
      <c r="L41" s="9" t="s">
        <v>1071</v>
      </c>
      <c r="M41" s="10">
        <v>89900</v>
      </c>
      <c r="N41" s="64">
        <v>0.75</v>
      </c>
      <c r="O41" s="12">
        <f t="shared" si="0"/>
        <v>22475</v>
      </c>
      <c r="P41" s="6" t="s">
        <v>3499</v>
      </c>
    </row>
    <row r="42" spans="1:16" x14ac:dyDescent="0.25">
      <c r="A42" s="6" t="s">
        <v>3503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8">
        <v>7</v>
      </c>
      <c r="H42" s="8">
        <v>81305</v>
      </c>
      <c r="I42" s="8" t="s">
        <v>16</v>
      </c>
      <c r="J42" s="8">
        <v>23423145</v>
      </c>
      <c r="K42" s="8" t="s">
        <v>1072</v>
      </c>
      <c r="L42" s="9" t="s">
        <v>1073</v>
      </c>
      <c r="M42" s="10">
        <v>89900</v>
      </c>
      <c r="N42" s="64">
        <v>0.75</v>
      </c>
      <c r="O42" s="12">
        <f t="shared" si="0"/>
        <v>22475</v>
      </c>
      <c r="P42" s="6" t="s">
        <v>3499</v>
      </c>
    </row>
    <row r="43" spans="1:16" x14ac:dyDescent="0.25">
      <c r="A43" s="6" t="s">
        <v>3503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8">
        <v>7</v>
      </c>
      <c r="H43" s="8">
        <v>81305</v>
      </c>
      <c r="I43" s="8" t="s">
        <v>16</v>
      </c>
      <c r="J43" s="8">
        <v>23423154</v>
      </c>
      <c r="K43" s="8" t="s">
        <v>1072</v>
      </c>
      <c r="L43" s="9" t="s">
        <v>1074</v>
      </c>
      <c r="M43" s="10">
        <v>89900</v>
      </c>
      <c r="N43" s="64">
        <v>0.75</v>
      </c>
      <c r="O43" s="12">
        <f t="shared" si="0"/>
        <v>22475</v>
      </c>
      <c r="P43" s="6" t="s">
        <v>3499</v>
      </c>
    </row>
    <row r="44" spans="1:16" x14ac:dyDescent="0.25">
      <c r="A44" s="6" t="s">
        <v>3503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8">
        <v>7</v>
      </c>
      <c r="H44" s="8">
        <v>81305</v>
      </c>
      <c r="I44" s="8" t="s">
        <v>16</v>
      </c>
      <c r="J44" s="8">
        <v>23423538</v>
      </c>
      <c r="K44" s="8" t="s">
        <v>1072</v>
      </c>
      <c r="L44" s="9" t="s">
        <v>1075</v>
      </c>
      <c r="M44" s="10">
        <v>89900</v>
      </c>
      <c r="N44" s="64">
        <v>0.75</v>
      </c>
      <c r="O44" s="12">
        <f t="shared" si="0"/>
        <v>22475</v>
      </c>
      <c r="P44" s="6" t="s">
        <v>3499</v>
      </c>
    </row>
    <row r="45" spans="1:16" x14ac:dyDescent="0.25">
      <c r="A45" s="6" t="s">
        <v>3503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8">
        <v>7</v>
      </c>
      <c r="H45" s="8">
        <v>81305</v>
      </c>
      <c r="I45" s="8" t="s">
        <v>16</v>
      </c>
      <c r="J45" s="8">
        <v>23423547</v>
      </c>
      <c r="K45" s="8" t="s">
        <v>1072</v>
      </c>
      <c r="L45" s="9" t="s">
        <v>1076</v>
      </c>
      <c r="M45" s="10">
        <v>89900</v>
      </c>
      <c r="N45" s="64">
        <v>0.75</v>
      </c>
      <c r="O45" s="12">
        <f t="shared" si="0"/>
        <v>22475</v>
      </c>
      <c r="P45" s="6" t="s">
        <v>3499</v>
      </c>
    </row>
    <row r="46" spans="1:16" x14ac:dyDescent="0.25">
      <c r="A46" s="6" t="s">
        <v>3503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8">
        <v>7</v>
      </c>
      <c r="H46" s="8">
        <v>81305</v>
      </c>
      <c r="I46" s="8" t="s">
        <v>16</v>
      </c>
      <c r="J46" s="8">
        <v>23423556</v>
      </c>
      <c r="K46" s="8" t="s">
        <v>1077</v>
      </c>
      <c r="L46" s="9" t="s">
        <v>1078</v>
      </c>
      <c r="M46" s="10">
        <v>89900</v>
      </c>
      <c r="N46" s="64">
        <v>0.75</v>
      </c>
      <c r="O46" s="12">
        <f t="shared" si="0"/>
        <v>22475</v>
      </c>
      <c r="P46" s="6" t="s">
        <v>3499</v>
      </c>
    </row>
    <row r="47" spans="1:16" x14ac:dyDescent="0.25">
      <c r="A47" s="6" t="s">
        <v>3503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8">
        <v>7</v>
      </c>
      <c r="H47" s="8">
        <v>81305</v>
      </c>
      <c r="I47" s="8" t="s">
        <v>16</v>
      </c>
      <c r="J47" s="8">
        <v>23423565</v>
      </c>
      <c r="K47" s="8" t="s">
        <v>1077</v>
      </c>
      <c r="L47" s="9" t="s">
        <v>1079</v>
      </c>
      <c r="M47" s="10">
        <v>89900</v>
      </c>
      <c r="N47" s="64">
        <v>0.75</v>
      </c>
      <c r="O47" s="12">
        <f t="shared" si="0"/>
        <v>22475</v>
      </c>
      <c r="P47" s="6" t="s">
        <v>3499</v>
      </c>
    </row>
    <row r="48" spans="1:16" x14ac:dyDescent="0.25">
      <c r="A48" s="6" t="s">
        <v>3503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8">
        <v>7</v>
      </c>
      <c r="H48" s="8">
        <v>81305</v>
      </c>
      <c r="I48" s="8" t="s">
        <v>16</v>
      </c>
      <c r="J48" s="8">
        <v>23423574</v>
      </c>
      <c r="K48" s="8" t="s">
        <v>1077</v>
      </c>
      <c r="L48" s="9" t="s">
        <v>1080</v>
      </c>
      <c r="M48" s="10">
        <v>89900</v>
      </c>
      <c r="N48" s="64">
        <v>0.75</v>
      </c>
      <c r="O48" s="12">
        <f t="shared" si="0"/>
        <v>22475</v>
      </c>
      <c r="P48" s="6" t="s">
        <v>3499</v>
      </c>
    </row>
    <row r="49" spans="1:16" x14ac:dyDescent="0.25">
      <c r="A49" s="6" t="s">
        <v>3503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8">
        <v>7</v>
      </c>
      <c r="H49" s="8">
        <v>81305</v>
      </c>
      <c r="I49" s="8" t="s">
        <v>16</v>
      </c>
      <c r="J49" s="8">
        <v>23423583</v>
      </c>
      <c r="K49" s="8" t="s">
        <v>1077</v>
      </c>
      <c r="L49" s="9" t="s">
        <v>1081</v>
      </c>
      <c r="M49" s="10">
        <v>89900</v>
      </c>
      <c r="N49" s="64">
        <v>0.75</v>
      </c>
      <c r="O49" s="12">
        <f t="shared" si="0"/>
        <v>22475</v>
      </c>
      <c r="P49" s="6" t="s">
        <v>3499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FD73-0EFA-4546-BD4F-0CF05F490C16}">
  <sheetPr>
    <tabColor rgb="FF00B050"/>
  </sheetPr>
  <dimension ref="A1:P81"/>
  <sheetViews>
    <sheetView workbookViewId="0">
      <selection activeCell="A7" sqref="A7"/>
    </sheetView>
  </sheetViews>
  <sheetFormatPr defaultRowHeight="15" x14ac:dyDescent="0.25"/>
  <cols>
    <col min="1" max="1" width="43.85546875" style="61" customWidth="1"/>
    <col min="2" max="2" width="10.42578125" style="61" bestFit="1" customWidth="1"/>
    <col min="3" max="3" width="10.140625" style="61" bestFit="1" customWidth="1"/>
    <col min="4" max="4" width="5.140625" style="61" bestFit="1" customWidth="1"/>
    <col min="5" max="5" width="7.140625" style="61" bestFit="1" customWidth="1"/>
    <col min="6" max="6" width="8.42578125" style="61" bestFit="1" customWidth="1"/>
    <col min="7" max="7" width="6.28515625" style="61" bestFit="1" customWidth="1"/>
    <col min="8" max="8" width="9" style="61" bestFit="1" customWidth="1"/>
    <col min="9" max="9" width="7.5703125" style="61" bestFit="1" customWidth="1"/>
    <col min="10" max="10" width="8.85546875" style="61" bestFit="1" customWidth="1"/>
    <col min="11" max="11" width="11.42578125" style="61" bestFit="1" customWidth="1"/>
    <col min="12" max="12" width="98.140625" style="61" bestFit="1" customWidth="1"/>
    <col min="13" max="13" width="14.42578125" style="61" bestFit="1" customWidth="1"/>
    <col min="14" max="14" width="7.42578125" style="61" bestFit="1" customWidth="1"/>
    <col min="15" max="15" width="13.42578125" style="61" bestFit="1" customWidth="1"/>
    <col min="16" max="16" width="14.28515625" style="61" bestFit="1" customWidth="1"/>
    <col min="17" max="16384" width="9.140625" style="6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55" t="s">
        <v>3532</v>
      </c>
      <c r="B2" s="56">
        <v>46121</v>
      </c>
      <c r="C2" s="56">
        <v>46127</v>
      </c>
      <c r="D2" s="55">
        <v>3271</v>
      </c>
      <c r="E2" s="55">
        <v>336</v>
      </c>
      <c r="F2" s="55">
        <v>4</v>
      </c>
      <c r="G2" s="55">
        <v>4</v>
      </c>
      <c r="H2" s="55">
        <v>81676</v>
      </c>
      <c r="I2" s="55" t="s">
        <v>543</v>
      </c>
      <c r="J2" s="55">
        <v>14910555</v>
      </c>
      <c r="K2" s="55" t="s">
        <v>1082</v>
      </c>
      <c r="L2" s="55" t="s">
        <v>1083</v>
      </c>
      <c r="M2" s="60">
        <v>119900</v>
      </c>
      <c r="N2" s="62">
        <v>0.75</v>
      </c>
      <c r="O2" s="60">
        <f t="shared" ref="O2" si="0">M2-((75*M2)/100)</f>
        <v>29975</v>
      </c>
      <c r="P2" s="55" t="s">
        <v>3499</v>
      </c>
    </row>
    <row r="3" spans="1:16" x14ac:dyDescent="0.25">
      <c r="A3" s="55" t="s">
        <v>3532</v>
      </c>
      <c r="B3" s="56">
        <v>46121</v>
      </c>
      <c r="C3" s="56">
        <v>46127</v>
      </c>
      <c r="D3" s="55">
        <v>3271</v>
      </c>
      <c r="E3" s="55">
        <v>336</v>
      </c>
      <c r="F3" s="55">
        <v>4</v>
      </c>
      <c r="G3" s="55">
        <v>4</v>
      </c>
      <c r="H3" s="55">
        <v>81676</v>
      </c>
      <c r="I3" s="55" t="s">
        <v>543</v>
      </c>
      <c r="J3" s="55">
        <v>14910564</v>
      </c>
      <c r="K3" s="55" t="s">
        <v>1082</v>
      </c>
      <c r="L3" s="55" t="s">
        <v>1084</v>
      </c>
      <c r="M3" s="60">
        <v>119900</v>
      </c>
      <c r="N3" s="62">
        <v>0.75</v>
      </c>
      <c r="O3" s="60">
        <f t="shared" ref="O3:O66" si="1">M3-((75*M3)/100)</f>
        <v>29975</v>
      </c>
      <c r="P3" s="55" t="s">
        <v>3499</v>
      </c>
    </row>
    <row r="4" spans="1:16" x14ac:dyDescent="0.25">
      <c r="A4" s="55" t="s">
        <v>3532</v>
      </c>
      <c r="B4" s="56">
        <v>46121</v>
      </c>
      <c r="C4" s="56">
        <v>46127</v>
      </c>
      <c r="D4" s="55">
        <v>3271</v>
      </c>
      <c r="E4" s="55">
        <v>336</v>
      </c>
      <c r="F4" s="55">
        <v>4</v>
      </c>
      <c r="G4" s="55">
        <v>4</v>
      </c>
      <c r="H4" s="55">
        <v>81676</v>
      </c>
      <c r="I4" s="55" t="s">
        <v>543</v>
      </c>
      <c r="J4" s="55">
        <v>14910573</v>
      </c>
      <c r="K4" s="55" t="s">
        <v>1082</v>
      </c>
      <c r="L4" s="55" t="s">
        <v>1085</v>
      </c>
      <c r="M4" s="60">
        <v>119900</v>
      </c>
      <c r="N4" s="62">
        <v>0.75</v>
      </c>
      <c r="O4" s="60">
        <f t="shared" si="1"/>
        <v>29975</v>
      </c>
      <c r="P4" s="55" t="s">
        <v>3499</v>
      </c>
    </row>
    <row r="5" spans="1:16" x14ac:dyDescent="0.25">
      <c r="A5" s="55" t="s">
        <v>3532</v>
      </c>
      <c r="B5" s="56">
        <v>46121</v>
      </c>
      <c r="C5" s="56">
        <v>46127</v>
      </c>
      <c r="D5" s="55">
        <v>3271</v>
      </c>
      <c r="E5" s="55">
        <v>336</v>
      </c>
      <c r="F5" s="55">
        <v>4</v>
      </c>
      <c r="G5" s="55">
        <v>4</v>
      </c>
      <c r="H5" s="55">
        <v>81676</v>
      </c>
      <c r="I5" s="55" t="s">
        <v>543</v>
      </c>
      <c r="J5" s="55">
        <v>14910582</v>
      </c>
      <c r="K5" s="55" t="s">
        <v>1082</v>
      </c>
      <c r="L5" s="55" t="s">
        <v>1086</v>
      </c>
      <c r="M5" s="60">
        <v>119900</v>
      </c>
      <c r="N5" s="62">
        <v>0.75</v>
      </c>
      <c r="O5" s="60">
        <f t="shared" si="1"/>
        <v>29975</v>
      </c>
      <c r="P5" s="55" t="s">
        <v>3499</v>
      </c>
    </row>
    <row r="6" spans="1:16" x14ac:dyDescent="0.25">
      <c r="A6" s="55" t="s">
        <v>3532</v>
      </c>
      <c r="B6" s="56">
        <v>46121</v>
      </c>
      <c r="C6" s="56">
        <v>46127</v>
      </c>
      <c r="D6" s="55">
        <v>3271</v>
      </c>
      <c r="E6" s="55">
        <v>336</v>
      </c>
      <c r="F6" s="55">
        <v>4</v>
      </c>
      <c r="G6" s="55">
        <v>4</v>
      </c>
      <c r="H6" s="55">
        <v>81676</v>
      </c>
      <c r="I6" s="55" t="s">
        <v>543</v>
      </c>
      <c r="J6" s="55">
        <v>16839371</v>
      </c>
      <c r="K6" s="55" t="s">
        <v>1087</v>
      </c>
      <c r="L6" s="55" t="s">
        <v>1088</v>
      </c>
      <c r="M6" s="60">
        <v>139900</v>
      </c>
      <c r="N6" s="62">
        <v>0.75</v>
      </c>
      <c r="O6" s="60">
        <f t="shared" si="1"/>
        <v>34975</v>
      </c>
      <c r="P6" s="55" t="s">
        <v>3499</v>
      </c>
    </row>
    <row r="7" spans="1:16" x14ac:dyDescent="0.25">
      <c r="A7" s="55" t="s">
        <v>3532</v>
      </c>
      <c r="B7" s="56">
        <v>46121</v>
      </c>
      <c r="C7" s="56">
        <v>46127</v>
      </c>
      <c r="D7" s="55">
        <v>3271</v>
      </c>
      <c r="E7" s="55">
        <v>336</v>
      </c>
      <c r="F7" s="55">
        <v>4</v>
      </c>
      <c r="G7" s="55">
        <v>4</v>
      </c>
      <c r="H7" s="55">
        <v>81676</v>
      </c>
      <c r="I7" s="55" t="s">
        <v>543</v>
      </c>
      <c r="J7" s="55">
        <v>16839380</v>
      </c>
      <c r="K7" s="55" t="s">
        <v>1087</v>
      </c>
      <c r="L7" s="55" t="s">
        <v>1089</v>
      </c>
      <c r="M7" s="60">
        <v>139900</v>
      </c>
      <c r="N7" s="62">
        <v>0.75</v>
      </c>
      <c r="O7" s="60">
        <f t="shared" si="1"/>
        <v>34975</v>
      </c>
      <c r="P7" s="55" t="s">
        <v>3499</v>
      </c>
    </row>
    <row r="8" spans="1:16" x14ac:dyDescent="0.25">
      <c r="A8" s="55" t="s">
        <v>3532</v>
      </c>
      <c r="B8" s="56">
        <v>46121</v>
      </c>
      <c r="C8" s="56">
        <v>46127</v>
      </c>
      <c r="D8" s="55">
        <v>3271</v>
      </c>
      <c r="E8" s="55">
        <v>336</v>
      </c>
      <c r="F8" s="55">
        <v>4</v>
      </c>
      <c r="G8" s="55">
        <v>4</v>
      </c>
      <c r="H8" s="55">
        <v>81676</v>
      </c>
      <c r="I8" s="55" t="s">
        <v>543</v>
      </c>
      <c r="J8" s="55">
        <v>16839399</v>
      </c>
      <c r="K8" s="55" t="s">
        <v>1087</v>
      </c>
      <c r="L8" s="55" t="s">
        <v>1090</v>
      </c>
      <c r="M8" s="60">
        <v>139900</v>
      </c>
      <c r="N8" s="62">
        <v>0.75</v>
      </c>
      <c r="O8" s="60">
        <f t="shared" si="1"/>
        <v>34975</v>
      </c>
      <c r="P8" s="55" t="s">
        <v>3499</v>
      </c>
    </row>
    <row r="9" spans="1:16" x14ac:dyDescent="0.25">
      <c r="A9" s="55" t="s">
        <v>3532</v>
      </c>
      <c r="B9" s="56">
        <v>46121</v>
      </c>
      <c r="C9" s="56">
        <v>46127</v>
      </c>
      <c r="D9" s="55">
        <v>3271</v>
      </c>
      <c r="E9" s="55">
        <v>336</v>
      </c>
      <c r="F9" s="55">
        <v>4</v>
      </c>
      <c r="G9" s="55">
        <v>4</v>
      </c>
      <c r="H9" s="55">
        <v>81676</v>
      </c>
      <c r="I9" s="55" t="s">
        <v>543</v>
      </c>
      <c r="J9" s="55">
        <v>16839406</v>
      </c>
      <c r="K9" s="55" t="s">
        <v>1087</v>
      </c>
      <c r="L9" s="55" t="s">
        <v>1091</v>
      </c>
      <c r="M9" s="60">
        <v>139900</v>
      </c>
      <c r="N9" s="62">
        <v>0.75</v>
      </c>
      <c r="O9" s="60">
        <f t="shared" si="1"/>
        <v>34975</v>
      </c>
      <c r="P9" s="55" t="s">
        <v>3499</v>
      </c>
    </row>
    <row r="10" spans="1:16" x14ac:dyDescent="0.25">
      <c r="A10" s="55" t="s">
        <v>3532</v>
      </c>
      <c r="B10" s="56">
        <v>46121</v>
      </c>
      <c r="C10" s="56">
        <v>46127</v>
      </c>
      <c r="D10" s="55">
        <v>3271</v>
      </c>
      <c r="E10" s="55">
        <v>336</v>
      </c>
      <c r="F10" s="55">
        <v>4</v>
      </c>
      <c r="G10" s="55">
        <v>4</v>
      </c>
      <c r="H10" s="55">
        <v>81676</v>
      </c>
      <c r="I10" s="55" t="s">
        <v>543</v>
      </c>
      <c r="J10" s="55">
        <v>14910475</v>
      </c>
      <c r="K10" s="55" t="s">
        <v>1092</v>
      </c>
      <c r="L10" s="55" t="s">
        <v>1093</v>
      </c>
      <c r="M10" s="60">
        <v>119900</v>
      </c>
      <c r="N10" s="62">
        <v>0.75</v>
      </c>
      <c r="O10" s="60">
        <f t="shared" si="1"/>
        <v>29975</v>
      </c>
      <c r="P10" s="55" t="s">
        <v>3499</v>
      </c>
    </row>
    <row r="11" spans="1:16" x14ac:dyDescent="0.25">
      <c r="A11" s="55" t="s">
        <v>3532</v>
      </c>
      <c r="B11" s="56">
        <v>46121</v>
      </c>
      <c r="C11" s="56">
        <v>46127</v>
      </c>
      <c r="D11" s="55">
        <v>3271</v>
      </c>
      <c r="E11" s="55">
        <v>336</v>
      </c>
      <c r="F11" s="55">
        <v>4</v>
      </c>
      <c r="G11" s="55">
        <v>4</v>
      </c>
      <c r="H11" s="55">
        <v>81676</v>
      </c>
      <c r="I11" s="55" t="s">
        <v>543</v>
      </c>
      <c r="J11" s="55">
        <v>14910484</v>
      </c>
      <c r="K11" s="55" t="s">
        <v>1092</v>
      </c>
      <c r="L11" s="55" t="s">
        <v>1094</v>
      </c>
      <c r="M11" s="60">
        <v>119900</v>
      </c>
      <c r="N11" s="62">
        <v>0.75</v>
      </c>
      <c r="O11" s="60">
        <f t="shared" si="1"/>
        <v>29975</v>
      </c>
      <c r="P11" s="55" t="s">
        <v>3499</v>
      </c>
    </row>
    <row r="12" spans="1:16" x14ac:dyDescent="0.25">
      <c r="A12" s="55" t="s">
        <v>3532</v>
      </c>
      <c r="B12" s="56">
        <v>46121</v>
      </c>
      <c r="C12" s="56">
        <v>46127</v>
      </c>
      <c r="D12" s="55">
        <v>3271</v>
      </c>
      <c r="E12" s="55">
        <v>336</v>
      </c>
      <c r="F12" s="55">
        <v>4</v>
      </c>
      <c r="G12" s="55">
        <v>4</v>
      </c>
      <c r="H12" s="55">
        <v>81676</v>
      </c>
      <c r="I12" s="55" t="s">
        <v>543</v>
      </c>
      <c r="J12" s="55">
        <v>14910493</v>
      </c>
      <c r="K12" s="55" t="s">
        <v>1092</v>
      </c>
      <c r="L12" s="55" t="s">
        <v>1095</v>
      </c>
      <c r="M12" s="60">
        <v>119900</v>
      </c>
      <c r="N12" s="62">
        <v>0.75</v>
      </c>
      <c r="O12" s="60">
        <f t="shared" si="1"/>
        <v>29975</v>
      </c>
      <c r="P12" s="55" t="s">
        <v>3499</v>
      </c>
    </row>
    <row r="13" spans="1:16" x14ac:dyDescent="0.25">
      <c r="A13" s="55" t="s">
        <v>3532</v>
      </c>
      <c r="B13" s="56">
        <v>46121</v>
      </c>
      <c r="C13" s="56">
        <v>46127</v>
      </c>
      <c r="D13" s="55">
        <v>3271</v>
      </c>
      <c r="E13" s="55">
        <v>336</v>
      </c>
      <c r="F13" s="55">
        <v>4</v>
      </c>
      <c r="G13" s="55">
        <v>4</v>
      </c>
      <c r="H13" s="55">
        <v>81676</v>
      </c>
      <c r="I13" s="55" t="s">
        <v>543</v>
      </c>
      <c r="J13" s="55">
        <v>14910500</v>
      </c>
      <c r="K13" s="55" t="s">
        <v>1092</v>
      </c>
      <c r="L13" s="55" t="s">
        <v>1096</v>
      </c>
      <c r="M13" s="60">
        <v>119900</v>
      </c>
      <c r="N13" s="62">
        <v>0.75</v>
      </c>
      <c r="O13" s="60">
        <f t="shared" si="1"/>
        <v>29975</v>
      </c>
      <c r="P13" s="55" t="s">
        <v>3499</v>
      </c>
    </row>
    <row r="14" spans="1:16" x14ac:dyDescent="0.25">
      <c r="A14" s="55" t="s">
        <v>3532</v>
      </c>
      <c r="B14" s="56">
        <v>46121</v>
      </c>
      <c r="C14" s="56">
        <v>46127</v>
      </c>
      <c r="D14" s="55">
        <v>3271</v>
      </c>
      <c r="E14" s="55">
        <v>336</v>
      </c>
      <c r="F14" s="55">
        <v>4</v>
      </c>
      <c r="G14" s="55">
        <v>4</v>
      </c>
      <c r="H14" s="55">
        <v>81676</v>
      </c>
      <c r="I14" s="55" t="s">
        <v>543</v>
      </c>
      <c r="J14" s="55">
        <v>18739743</v>
      </c>
      <c r="K14" s="55" t="s">
        <v>1097</v>
      </c>
      <c r="L14" s="55" t="s">
        <v>1098</v>
      </c>
      <c r="M14" s="60">
        <v>139900</v>
      </c>
      <c r="N14" s="62">
        <v>0.75</v>
      </c>
      <c r="O14" s="60">
        <f t="shared" si="1"/>
        <v>34975</v>
      </c>
      <c r="P14" s="55" t="s">
        <v>3499</v>
      </c>
    </row>
    <row r="15" spans="1:16" x14ac:dyDescent="0.25">
      <c r="A15" s="55" t="s">
        <v>3532</v>
      </c>
      <c r="B15" s="56">
        <v>46121</v>
      </c>
      <c r="C15" s="56">
        <v>46127</v>
      </c>
      <c r="D15" s="55">
        <v>3271</v>
      </c>
      <c r="E15" s="55">
        <v>336</v>
      </c>
      <c r="F15" s="55">
        <v>4</v>
      </c>
      <c r="G15" s="55">
        <v>4</v>
      </c>
      <c r="H15" s="55">
        <v>81676</v>
      </c>
      <c r="I15" s="55" t="s">
        <v>543</v>
      </c>
      <c r="J15" s="55">
        <v>18739752</v>
      </c>
      <c r="K15" s="55" t="s">
        <v>1097</v>
      </c>
      <c r="L15" s="55" t="s">
        <v>1099</v>
      </c>
      <c r="M15" s="60">
        <v>139900</v>
      </c>
      <c r="N15" s="62">
        <v>0.75</v>
      </c>
      <c r="O15" s="60">
        <f t="shared" si="1"/>
        <v>34975</v>
      </c>
      <c r="P15" s="55" t="s">
        <v>3499</v>
      </c>
    </row>
    <row r="16" spans="1:16" x14ac:dyDescent="0.25">
      <c r="A16" s="55" t="s">
        <v>3532</v>
      </c>
      <c r="B16" s="56">
        <v>46121</v>
      </c>
      <c r="C16" s="56">
        <v>46127</v>
      </c>
      <c r="D16" s="55">
        <v>3271</v>
      </c>
      <c r="E16" s="55">
        <v>336</v>
      </c>
      <c r="F16" s="55">
        <v>4</v>
      </c>
      <c r="G16" s="55">
        <v>4</v>
      </c>
      <c r="H16" s="55">
        <v>81676</v>
      </c>
      <c r="I16" s="55" t="s">
        <v>543</v>
      </c>
      <c r="J16" s="55">
        <v>18739761</v>
      </c>
      <c r="K16" s="55" t="s">
        <v>1097</v>
      </c>
      <c r="L16" s="55" t="s">
        <v>1100</v>
      </c>
      <c r="M16" s="60">
        <v>139900</v>
      </c>
      <c r="N16" s="62">
        <v>0.75</v>
      </c>
      <c r="O16" s="60">
        <f t="shared" si="1"/>
        <v>34975</v>
      </c>
      <c r="P16" s="55" t="s">
        <v>3499</v>
      </c>
    </row>
    <row r="17" spans="1:16" x14ac:dyDescent="0.25">
      <c r="A17" s="55" t="s">
        <v>3532</v>
      </c>
      <c r="B17" s="56">
        <v>46121</v>
      </c>
      <c r="C17" s="56">
        <v>46127</v>
      </c>
      <c r="D17" s="55">
        <v>3271</v>
      </c>
      <c r="E17" s="55">
        <v>336</v>
      </c>
      <c r="F17" s="55">
        <v>4</v>
      </c>
      <c r="G17" s="55">
        <v>4</v>
      </c>
      <c r="H17" s="55">
        <v>81676</v>
      </c>
      <c r="I17" s="55" t="s">
        <v>543</v>
      </c>
      <c r="J17" s="55">
        <v>18739770</v>
      </c>
      <c r="K17" s="55" t="s">
        <v>1097</v>
      </c>
      <c r="L17" s="55" t="s">
        <v>1101</v>
      </c>
      <c r="M17" s="60">
        <v>139900</v>
      </c>
      <c r="N17" s="62">
        <v>0.75</v>
      </c>
      <c r="O17" s="60">
        <f t="shared" si="1"/>
        <v>34975</v>
      </c>
      <c r="P17" s="55" t="s">
        <v>3499</v>
      </c>
    </row>
    <row r="18" spans="1:16" x14ac:dyDescent="0.25">
      <c r="A18" s="55" t="s">
        <v>3532</v>
      </c>
      <c r="B18" s="56">
        <v>46121</v>
      </c>
      <c r="C18" s="56">
        <v>46127</v>
      </c>
      <c r="D18" s="55">
        <v>3271</v>
      </c>
      <c r="E18" s="55">
        <v>336</v>
      </c>
      <c r="F18" s="55">
        <v>4</v>
      </c>
      <c r="G18" s="55">
        <v>4</v>
      </c>
      <c r="H18" s="55">
        <v>81676</v>
      </c>
      <c r="I18" s="55" t="s">
        <v>543</v>
      </c>
      <c r="J18" s="55">
        <v>14910073</v>
      </c>
      <c r="K18" s="55" t="s">
        <v>1102</v>
      </c>
      <c r="L18" s="55" t="s">
        <v>1103</v>
      </c>
      <c r="M18" s="60">
        <v>119900</v>
      </c>
      <c r="N18" s="62">
        <v>0.75</v>
      </c>
      <c r="O18" s="60">
        <f t="shared" si="1"/>
        <v>29975</v>
      </c>
      <c r="P18" s="55" t="s">
        <v>3499</v>
      </c>
    </row>
    <row r="19" spans="1:16" x14ac:dyDescent="0.25">
      <c r="A19" s="55" t="s">
        <v>3532</v>
      </c>
      <c r="B19" s="56">
        <v>46121</v>
      </c>
      <c r="C19" s="56">
        <v>46127</v>
      </c>
      <c r="D19" s="55">
        <v>3271</v>
      </c>
      <c r="E19" s="55">
        <v>336</v>
      </c>
      <c r="F19" s="55">
        <v>4</v>
      </c>
      <c r="G19" s="55">
        <v>4</v>
      </c>
      <c r="H19" s="55">
        <v>81676</v>
      </c>
      <c r="I19" s="55" t="s">
        <v>543</v>
      </c>
      <c r="J19" s="55">
        <v>14910082</v>
      </c>
      <c r="K19" s="55" t="s">
        <v>1102</v>
      </c>
      <c r="L19" s="55" t="s">
        <v>1104</v>
      </c>
      <c r="M19" s="60">
        <v>119900</v>
      </c>
      <c r="N19" s="62">
        <v>0.75</v>
      </c>
      <c r="O19" s="60">
        <f t="shared" si="1"/>
        <v>29975</v>
      </c>
      <c r="P19" s="55" t="s">
        <v>3499</v>
      </c>
    </row>
    <row r="20" spans="1:16" x14ac:dyDescent="0.25">
      <c r="A20" s="55" t="s">
        <v>3532</v>
      </c>
      <c r="B20" s="56">
        <v>46121</v>
      </c>
      <c r="C20" s="56">
        <v>46127</v>
      </c>
      <c r="D20" s="55">
        <v>3271</v>
      </c>
      <c r="E20" s="55">
        <v>336</v>
      </c>
      <c r="F20" s="55">
        <v>4</v>
      </c>
      <c r="G20" s="55">
        <v>4</v>
      </c>
      <c r="H20" s="55">
        <v>81676</v>
      </c>
      <c r="I20" s="55" t="s">
        <v>543</v>
      </c>
      <c r="J20" s="55">
        <v>14910091</v>
      </c>
      <c r="K20" s="55" t="s">
        <v>1102</v>
      </c>
      <c r="L20" s="55" t="s">
        <v>1105</v>
      </c>
      <c r="M20" s="60">
        <v>119900</v>
      </c>
      <c r="N20" s="62">
        <v>0.75</v>
      </c>
      <c r="O20" s="60">
        <f t="shared" si="1"/>
        <v>29975</v>
      </c>
      <c r="P20" s="55" t="s">
        <v>3499</v>
      </c>
    </row>
    <row r="21" spans="1:16" x14ac:dyDescent="0.25">
      <c r="A21" s="55" t="s">
        <v>3532</v>
      </c>
      <c r="B21" s="56">
        <v>46121</v>
      </c>
      <c r="C21" s="56">
        <v>46127</v>
      </c>
      <c r="D21" s="55">
        <v>3271</v>
      </c>
      <c r="E21" s="55">
        <v>336</v>
      </c>
      <c r="F21" s="55">
        <v>4</v>
      </c>
      <c r="G21" s="55">
        <v>4</v>
      </c>
      <c r="H21" s="55">
        <v>81676</v>
      </c>
      <c r="I21" s="55" t="s">
        <v>543</v>
      </c>
      <c r="J21" s="55">
        <v>14910108</v>
      </c>
      <c r="K21" s="55" t="s">
        <v>1102</v>
      </c>
      <c r="L21" s="55" t="s">
        <v>1106</v>
      </c>
      <c r="M21" s="60">
        <v>119900</v>
      </c>
      <c r="N21" s="62">
        <v>0.75</v>
      </c>
      <c r="O21" s="60">
        <f t="shared" si="1"/>
        <v>29975</v>
      </c>
      <c r="P21" s="55" t="s">
        <v>3499</v>
      </c>
    </row>
    <row r="22" spans="1:16" x14ac:dyDescent="0.25">
      <c r="A22" s="55" t="s">
        <v>3532</v>
      </c>
      <c r="B22" s="56">
        <v>46121</v>
      </c>
      <c r="C22" s="56">
        <v>46127</v>
      </c>
      <c r="D22" s="55">
        <v>3271</v>
      </c>
      <c r="E22" s="55">
        <v>336</v>
      </c>
      <c r="F22" s="55">
        <v>4</v>
      </c>
      <c r="G22" s="55">
        <v>7</v>
      </c>
      <c r="H22" s="55">
        <v>81406</v>
      </c>
      <c r="I22" s="55" t="s">
        <v>543</v>
      </c>
      <c r="J22" s="55">
        <v>87434228</v>
      </c>
      <c r="K22" s="55" t="s">
        <v>1187</v>
      </c>
      <c r="L22" s="59" t="s">
        <v>1188</v>
      </c>
      <c r="M22" s="60">
        <v>249900</v>
      </c>
      <c r="N22" s="62">
        <v>0.75</v>
      </c>
      <c r="O22" s="60">
        <f t="shared" si="1"/>
        <v>62475</v>
      </c>
      <c r="P22" s="55" t="s">
        <v>3499</v>
      </c>
    </row>
    <row r="23" spans="1:16" x14ac:dyDescent="0.25">
      <c r="A23" s="55" t="s">
        <v>3532</v>
      </c>
      <c r="B23" s="56">
        <v>46121</v>
      </c>
      <c r="C23" s="56">
        <v>46127</v>
      </c>
      <c r="D23" s="55">
        <v>3271</v>
      </c>
      <c r="E23" s="55">
        <v>336</v>
      </c>
      <c r="F23" s="55">
        <v>4</v>
      </c>
      <c r="G23" s="55">
        <v>7</v>
      </c>
      <c r="H23" s="55">
        <v>81406</v>
      </c>
      <c r="I23" s="55" t="s">
        <v>543</v>
      </c>
      <c r="J23" s="55">
        <v>87434237</v>
      </c>
      <c r="K23" s="55" t="s">
        <v>1187</v>
      </c>
      <c r="L23" s="59" t="s">
        <v>1189</v>
      </c>
      <c r="M23" s="60">
        <v>249900</v>
      </c>
      <c r="N23" s="62">
        <v>0.75</v>
      </c>
      <c r="O23" s="60">
        <f t="shared" si="1"/>
        <v>62475</v>
      </c>
      <c r="P23" s="55" t="s">
        <v>3499</v>
      </c>
    </row>
    <row r="24" spans="1:16" x14ac:dyDescent="0.25">
      <c r="A24" s="55" t="s">
        <v>3532</v>
      </c>
      <c r="B24" s="56">
        <v>46121</v>
      </c>
      <c r="C24" s="56">
        <v>46127</v>
      </c>
      <c r="D24" s="55">
        <v>3271</v>
      </c>
      <c r="E24" s="55">
        <v>336</v>
      </c>
      <c r="F24" s="55">
        <v>4</v>
      </c>
      <c r="G24" s="55">
        <v>7</v>
      </c>
      <c r="H24" s="55">
        <v>81406</v>
      </c>
      <c r="I24" s="55" t="s">
        <v>543</v>
      </c>
      <c r="J24" s="55">
        <v>87434246</v>
      </c>
      <c r="K24" s="55" t="s">
        <v>1187</v>
      </c>
      <c r="L24" s="59" t="s">
        <v>1190</v>
      </c>
      <c r="M24" s="60">
        <v>249900</v>
      </c>
      <c r="N24" s="62">
        <v>0.75</v>
      </c>
      <c r="O24" s="60">
        <f t="shared" si="1"/>
        <v>62475</v>
      </c>
      <c r="P24" s="55" t="s">
        <v>3499</v>
      </c>
    </row>
    <row r="25" spans="1:16" x14ac:dyDescent="0.25">
      <c r="A25" s="55" t="s">
        <v>3532</v>
      </c>
      <c r="B25" s="56">
        <v>46121</v>
      </c>
      <c r="C25" s="56">
        <v>46127</v>
      </c>
      <c r="D25" s="55">
        <v>3271</v>
      </c>
      <c r="E25" s="55">
        <v>336</v>
      </c>
      <c r="F25" s="55">
        <v>4</v>
      </c>
      <c r="G25" s="55">
        <v>7</v>
      </c>
      <c r="H25" s="55">
        <v>81406</v>
      </c>
      <c r="I25" s="55" t="s">
        <v>543</v>
      </c>
      <c r="J25" s="55">
        <v>87434255</v>
      </c>
      <c r="K25" s="55" t="s">
        <v>1187</v>
      </c>
      <c r="L25" s="59" t="s">
        <v>1191</v>
      </c>
      <c r="M25" s="60">
        <v>249900</v>
      </c>
      <c r="N25" s="62">
        <v>0.75</v>
      </c>
      <c r="O25" s="60">
        <f t="shared" si="1"/>
        <v>62475</v>
      </c>
      <c r="P25" s="55" t="s">
        <v>3499</v>
      </c>
    </row>
    <row r="26" spans="1:16" x14ac:dyDescent="0.25">
      <c r="A26" s="55" t="s">
        <v>3532</v>
      </c>
      <c r="B26" s="56">
        <v>46121</v>
      </c>
      <c r="C26" s="56">
        <v>46127</v>
      </c>
      <c r="D26" s="55">
        <v>3271</v>
      </c>
      <c r="E26" s="55">
        <v>336</v>
      </c>
      <c r="F26" s="55">
        <v>4</v>
      </c>
      <c r="G26" s="55">
        <v>7</v>
      </c>
      <c r="H26" s="55">
        <v>81406</v>
      </c>
      <c r="I26" s="55" t="s">
        <v>543</v>
      </c>
      <c r="J26" s="55">
        <v>87434264</v>
      </c>
      <c r="K26" s="55" t="s">
        <v>1187</v>
      </c>
      <c r="L26" s="59" t="s">
        <v>1192</v>
      </c>
      <c r="M26" s="60">
        <v>249900</v>
      </c>
      <c r="N26" s="62">
        <v>0.75</v>
      </c>
      <c r="O26" s="60">
        <f t="shared" si="1"/>
        <v>62475</v>
      </c>
      <c r="P26" s="55" t="s">
        <v>3499</v>
      </c>
    </row>
    <row r="27" spans="1:16" x14ac:dyDescent="0.25">
      <c r="A27" s="55" t="s">
        <v>3532</v>
      </c>
      <c r="B27" s="56">
        <v>46121</v>
      </c>
      <c r="C27" s="56">
        <v>46127</v>
      </c>
      <c r="D27" s="55">
        <v>3271</v>
      </c>
      <c r="E27" s="55">
        <v>336</v>
      </c>
      <c r="F27" s="55">
        <v>4</v>
      </c>
      <c r="G27" s="55">
        <v>7</v>
      </c>
      <c r="H27" s="55">
        <v>81406</v>
      </c>
      <c r="I27" s="55" t="s">
        <v>543</v>
      </c>
      <c r="J27" s="55">
        <v>87434273</v>
      </c>
      <c r="K27" s="55" t="s">
        <v>1187</v>
      </c>
      <c r="L27" s="59" t="s">
        <v>1193</v>
      </c>
      <c r="M27" s="60">
        <v>249900</v>
      </c>
      <c r="N27" s="62">
        <v>0.75</v>
      </c>
      <c r="O27" s="60">
        <f t="shared" si="1"/>
        <v>62475</v>
      </c>
      <c r="P27" s="55" t="s">
        <v>3499</v>
      </c>
    </row>
    <row r="28" spans="1:16" x14ac:dyDescent="0.25">
      <c r="A28" s="55" t="s">
        <v>3532</v>
      </c>
      <c r="B28" s="56">
        <v>46121</v>
      </c>
      <c r="C28" s="56">
        <v>46127</v>
      </c>
      <c r="D28" s="55">
        <v>3271</v>
      </c>
      <c r="E28" s="55">
        <v>336</v>
      </c>
      <c r="F28" s="55">
        <v>4</v>
      </c>
      <c r="G28" s="55">
        <v>7</v>
      </c>
      <c r="H28" s="55">
        <v>81406</v>
      </c>
      <c r="I28" s="55" t="s">
        <v>543</v>
      </c>
      <c r="J28" s="55">
        <v>87434282</v>
      </c>
      <c r="K28" s="55" t="s">
        <v>1187</v>
      </c>
      <c r="L28" s="59" t="s">
        <v>1194</v>
      </c>
      <c r="M28" s="60">
        <v>249900</v>
      </c>
      <c r="N28" s="62">
        <v>0.75</v>
      </c>
      <c r="O28" s="60">
        <f t="shared" si="1"/>
        <v>62475</v>
      </c>
      <c r="P28" s="55" t="s">
        <v>3499</v>
      </c>
    </row>
    <row r="29" spans="1:16" x14ac:dyDescent="0.25">
      <c r="A29" s="55" t="s">
        <v>3532</v>
      </c>
      <c r="B29" s="56">
        <v>46121</v>
      </c>
      <c r="C29" s="56">
        <v>46127</v>
      </c>
      <c r="D29" s="55">
        <v>3271</v>
      </c>
      <c r="E29" s="55">
        <v>336</v>
      </c>
      <c r="F29" s="55">
        <v>4</v>
      </c>
      <c r="G29" s="55">
        <v>7</v>
      </c>
      <c r="H29" s="55">
        <v>81406</v>
      </c>
      <c r="I29" s="55" t="s">
        <v>543</v>
      </c>
      <c r="J29" s="55">
        <v>87434291</v>
      </c>
      <c r="K29" s="55" t="s">
        <v>1187</v>
      </c>
      <c r="L29" s="59" t="s">
        <v>1195</v>
      </c>
      <c r="M29" s="60">
        <v>249900</v>
      </c>
      <c r="N29" s="62">
        <v>0.75</v>
      </c>
      <c r="O29" s="60">
        <f t="shared" si="1"/>
        <v>62475</v>
      </c>
      <c r="P29" s="55" t="s">
        <v>3499</v>
      </c>
    </row>
    <row r="30" spans="1:16" x14ac:dyDescent="0.25">
      <c r="A30" s="55" t="s">
        <v>3532</v>
      </c>
      <c r="B30" s="56">
        <v>46121</v>
      </c>
      <c r="C30" s="56">
        <v>46127</v>
      </c>
      <c r="D30" s="55">
        <v>3271</v>
      </c>
      <c r="E30" s="55">
        <v>336</v>
      </c>
      <c r="F30" s="55">
        <v>4</v>
      </c>
      <c r="G30" s="55">
        <v>7</v>
      </c>
      <c r="H30" s="55">
        <v>81406</v>
      </c>
      <c r="I30" s="55" t="s">
        <v>543</v>
      </c>
      <c r="J30" s="55">
        <v>15442587</v>
      </c>
      <c r="K30" s="55" t="s">
        <v>1187</v>
      </c>
      <c r="L30" s="59" t="s">
        <v>1196</v>
      </c>
      <c r="M30" s="60">
        <v>249900</v>
      </c>
      <c r="N30" s="62">
        <v>0.75</v>
      </c>
      <c r="O30" s="60">
        <f t="shared" si="1"/>
        <v>62475</v>
      </c>
      <c r="P30" s="55" t="s">
        <v>3499</v>
      </c>
    </row>
    <row r="31" spans="1:16" x14ac:dyDescent="0.25">
      <c r="A31" s="55" t="s">
        <v>3532</v>
      </c>
      <c r="B31" s="56">
        <v>46121</v>
      </c>
      <c r="C31" s="56">
        <v>46127</v>
      </c>
      <c r="D31" s="55">
        <v>3271</v>
      </c>
      <c r="E31" s="55">
        <v>336</v>
      </c>
      <c r="F31" s="55">
        <v>4</v>
      </c>
      <c r="G31" s="55">
        <v>7</v>
      </c>
      <c r="H31" s="55">
        <v>81406</v>
      </c>
      <c r="I31" s="55" t="s">
        <v>543</v>
      </c>
      <c r="J31" s="55">
        <v>15442596</v>
      </c>
      <c r="K31" s="55" t="s">
        <v>1187</v>
      </c>
      <c r="L31" s="59" t="s">
        <v>1197</v>
      </c>
      <c r="M31" s="60">
        <v>249900</v>
      </c>
      <c r="N31" s="62">
        <v>0.75</v>
      </c>
      <c r="O31" s="60">
        <f t="shared" si="1"/>
        <v>62475</v>
      </c>
      <c r="P31" s="55" t="s">
        <v>3499</v>
      </c>
    </row>
    <row r="32" spans="1:16" x14ac:dyDescent="0.25">
      <c r="A32" s="55" t="s">
        <v>3532</v>
      </c>
      <c r="B32" s="56">
        <v>46121</v>
      </c>
      <c r="C32" s="56">
        <v>46127</v>
      </c>
      <c r="D32" s="55">
        <v>3271</v>
      </c>
      <c r="E32" s="55">
        <v>336</v>
      </c>
      <c r="F32" s="55">
        <v>4</v>
      </c>
      <c r="G32" s="55">
        <v>7</v>
      </c>
      <c r="H32" s="55">
        <v>81406</v>
      </c>
      <c r="I32" s="55" t="s">
        <v>543</v>
      </c>
      <c r="J32" s="55">
        <v>15442603</v>
      </c>
      <c r="K32" s="55" t="s">
        <v>1187</v>
      </c>
      <c r="L32" s="59" t="s">
        <v>1198</v>
      </c>
      <c r="M32" s="60">
        <v>249900</v>
      </c>
      <c r="N32" s="62">
        <v>0.75</v>
      </c>
      <c r="O32" s="60">
        <f t="shared" si="1"/>
        <v>62475</v>
      </c>
      <c r="P32" s="55" t="s">
        <v>3499</v>
      </c>
    </row>
    <row r="33" spans="1:16" x14ac:dyDescent="0.25">
      <c r="A33" s="55" t="s">
        <v>3532</v>
      </c>
      <c r="B33" s="56">
        <v>46121</v>
      </c>
      <c r="C33" s="56">
        <v>46127</v>
      </c>
      <c r="D33" s="55">
        <v>3271</v>
      </c>
      <c r="E33" s="55">
        <v>336</v>
      </c>
      <c r="F33" s="55">
        <v>4</v>
      </c>
      <c r="G33" s="55">
        <v>7</v>
      </c>
      <c r="H33" s="55">
        <v>81406</v>
      </c>
      <c r="I33" s="55" t="s">
        <v>543</v>
      </c>
      <c r="J33" s="55">
        <v>15442612</v>
      </c>
      <c r="K33" s="55" t="s">
        <v>1187</v>
      </c>
      <c r="L33" s="59" t="s">
        <v>1199</v>
      </c>
      <c r="M33" s="60">
        <v>249900</v>
      </c>
      <c r="N33" s="62">
        <v>0.75</v>
      </c>
      <c r="O33" s="60">
        <f t="shared" si="1"/>
        <v>62475</v>
      </c>
      <c r="P33" s="55" t="s">
        <v>3499</v>
      </c>
    </row>
    <row r="34" spans="1:16" x14ac:dyDescent="0.25">
      <c r="A34" s="55" t="s">
        <v>3532</v>
      </c>
      <c r="B34" s="56">
        <v>46121</v>
      </c>
      <c r="C34" s="56">
        <v>46127</v>
      </c>
      <c r="D34" s="55">
        <v>3271</v>
      </c>
      <c r="E34" s="55">
        <v>336</v>
      </c>
      <c r="F34" s="55">
        <v>4</v>
      </c>
      <c r="G34" s="55">
        <v>7</v>
      </c>
      <c r="H34" s="55">
        <v>81683</v>
      </c>
      <c r="I34" s="55" t="s">
        <v>543</v>
      </c>
      <c r="J34" s="55">
        <v>14913650</v>
      </c>
      <c r="K34" s="55" t="s">
        <v>1200</v>
      </c>
      <c r="L34" s="60" t="s">
        <v>1201</v>
      </c>
      <c r="M34" s="60">
        <v>199900</v>
      </c>
      <c r="N34" s="62">
        <v>0.75</v>
      </c>
      <c r="O34" s="60">
        <f t="shared" si="1"/>
        <v>49975</v>
      </c>
      <c r="P34" s="55" t="s">
        <v>3499</v>
      </c>
    </row>
    <row r="35" spans="1:16" x14ac:dyDescent="0.25">
      <c r="A35" s="55" t="s">
        <v>3532</v>
      </c>
      <c r="B35" s="56">
        <v>46121</v>
      </c>
      <c r="C35" s="56">
        <v>46127</v>
      </c>
      <c r="D35" s="55">
        <v>3271</v>
      </c>
      <c r="E35" s="55">
        <v>336</v>
      </c>
      <c r="F35" s="55">
        <v>4</v>
      </c>
      <c r="G35" s="55">
        <v>7</v>
      </c>
      <c r="H35" s="55">
        <v>81683</v>
      </c>
      <c r="I35" s="55" t="s">
        <v>543</v>
      </c>
      <c r="J35" s="55">
        <v>14913669</v>
      </c>
      <c r="K35" s="55" t="s">
        <v>1200</v>
      </c>
      <c r="L35" s="60" t="s">
        <v>1202</v>
      </c>
      <c r="M35" s="60">
        <v>199900</v>
      </c>
      <c r="N35" s="62">
        <v>0.75</v>
      </c>
      <c r="O35" s="60">
        <f t="shared" si="1"/>
        <v>49975</v>
      </c>
      <c r="P35" s="55" t="s">
        <v>3499</v>
      </c>
    </row>
    <row r="36" spans="1:16" x14ac:dyDescent="0.25">
      <c r="A36" s="55" t="s">
        <v>3532</v>
      </c>
      <c r="B36" s="56">
        <v>46121</v>
      </c>
      <c r="C36" s="56">
        <v>46127</v>
      </c>
      <c r="D36" s="55">
        <v>3271</v>
      </c>
      <c r="E36" s="55">
        <v>336</v>
      </c>
      <c r="F36" s="55">
        <v>4</v>
      </c>
      <c r="G36" s="55">
        <v>7</v>
      </c>
      <c r="H36" s="55">
        <v>81683</v>
      </c>
      <c r="I36" s="55" t="s">
        <v>543</v>
      </c>
      <c r="J36" s="55">
        <v>14913678</v>
      </c>
      <c r="K36" s="55" t="s">
        <v>1200</v>
      </c>
      <c r="L36" s="60" t="s">
        <v>1203</v>
      </c>
      <c r="M36" s="60">
        <v>199900</v>
      </c>
      <c r="N36" s="62">
        <v>0.75</v>
      </c>
      <c r="O36" s="60">
        <f t="shared" si="1"/>
        <v>49975</v>
      </c>
      <c r="P36" s="55" t="s">
        <v>3499</v>
      </c>
    </row>
    <row r="37" spans="1:16" x14ac:dyDescent="0.25">
      <c r="A37" s="55" t="s">
        <v>3532</v>
      </c>
      <c r="B37" s="56">
        <v>46121</v>
      </c>
      <c r="C37" s="56">
        <v>46127</v>
      </c>
      <c r="D37" s="55">
        <v>3271</v>
      </c>
      <c r="E37" s="55">
        <v>336</v>
      </c>
      <c r="F37" s="55">
        <v>4</v>
      </c>
      <c r="G37" s="55">
        <v>7</v>
      </c>
      <c r="H37" s="55">
        <v>81683</v>
      </c>
      <c r="I37" s="55" t="s">
        <v>543</v>
      </c>
      <c r="J37" s="55">
        <v>14913687</v>
      </c>
      <c r="K37" s="55" t="s">
        <v>1200</v>
      </c>
      <c r="L37" s="60" t="s">
        <v>1204</v>
      </c>
      <c r="M37" s="60">
        <v>199900</v>
      </c>
      <c r="N37" s="62">
        <v>0.75</v>
      </c>
      <c r="O37" s="60">
        <f t="shared" si="1"/>
        <v>49975</v>
      </c>
      <c r="P37" s="55" t="s">
        <v>3499</v>
      </c>
    </row>
    <row r="38" spans="1:16" x14ac:dyDescent="0.25">
      <c r="A38" s="55" t="s">
        <v>3532</v>
      </c>
      <c r="B38" s="56">
        <v>46121</v>
      </c>
      <c r="C38" s="56">
        <v>46127</v>
      </c>
      <c r="D38" s="55">
        <v>3271</v>
      </c>
      <c r="E38" s="55">
        <v>336</v>
      </c>
      <c r="F38" s="55">
        <v>4</v>
      </c>
      <c r="G38" s="55">
        <v>7</v>
      </c>
      <c r="H38" s="55">
        <v>81683</v>
      </c>
      <c r="I38" s="55" t="s">
        <v>543</v>
      </c>
      <c r="J38" s="55">
        <v>14913696</v>
      </c>
      <c r="K38" s="55" t="s">
        <v>1200</v>
      </c>
      <c r="L38" s="60" t="s">
        <v>1205</v>
      </c>
      <c r="M38" s="60">
        <v>199900</v>
      </c>
      <c r="N38" s="62">
        <v>0.75</v>
      </c>
      <c r="O38" s="60">
        <f t="shared" si="1"/>
        <v>49975</v>
      </c>
      <c r="P38" s="55" t="s">
        <v>3499</v>
      </c>
    </row>
    <row r="39" spans="1:16" x14ac:dyDescent="0.25">
      <c r="A39" s="55" t="s">
        <v>3532</v>
      </c>
      <c r="B39" s="56">
        <v>46121</v>
      </c>
      <c r="C39" s="56">
        <v>46127</v>
      </c>
      <c r="D39" s="55">
        <v>3271</v>
      </c>
      <c r="E39" s="55">
        <v>336</v>
      </c>
      <c r="F39" s="55">
        <v>4</v>
      </c>
      <c r="G39" s="55">
        <v>7</v>
      </c>
      <c r="H39" s="55">
        <v>81683</v>
      </c>
      <c r="I39" s="55" t="s">
        <v>543</v>
      </c>
      <c r="J39" s="55">
        <v>14913703</v>
      </c>
      <c r="K39" s="55" t="s">
        <v>1200</v>
      </c>
      <c r="L39" s="60" t="s">
        <v>1206</v>
      </c>
      <c r="M39" s="60">
        <v>199900</v>
      </c>
      <c r="N39" s="62">
        <v>0.75</v>
      </c>
      <c r="O39" s="60">
        <f t="shared" si="1"/>
        <v>49975</v>
      </c>
      <c r="P39" s="55" t="s">
        <v>3499</v>
      </c>
    </row>
    <row r="40" spans="1:16" x14ac:dyDescent="0.25">
      <c r="A40" s="55" t="s">
        <v>3532</v>
      </c>
      <c r="B40" s="56">
        <v>46121</v>
      </c>
      <c r="C40" s="56">
        <v>46127</v>
      </c>
      <c r="D40" s="55">
        <v>3271</v>
      </c>
      <c r="E40" s="55">
        <v>336</v>
      </c>
      <c r="F40" s="55">
        <v>4</v>
      </c>
      <c r="G40" s="55">
        <v>7</v>
      </c>
      <c r="H40" s="55">
        <v>81683</v>
      </c>
      <c r="I40" s="55" t="s">
        <v>543</v>
      </c>
      <c r="J40" s="55">
        <v>14913712</v>
      </c>
      <c r="K40" s="55" t="s">
        <v>1200</v>
      </c>
      <c r="L40" s="60" t="s">
        <v>1207</v>
      </c>
      <c r="M40" s="60">
        <v>199900</v>
      </c>
      <c r="N40" s="62">
        <v>0.75</v>
      </c>
      <c r="O40" s="60">
        <f t="shared" si="1"/>
        <v>49975</v>
      </c>
      <c r="P40" s="55" t="s">
        <v>3499</v>
      </c>
    </row>
    <row r="41" spans="1:16" x14ac:dyDescent="0.25">
      <c r="A41" s="55" t="s">
        <v>3532</v>
      </c>
      <c r="B41" s="56">
        <v>46121</v>
      </c>
      <c r="C41" s="56">
        <v>46127</v>
      </c>
      <c r="D41" s="55">
        <v>3271</v>
      </c>
      <c r="E41" s="55">
        <v>336</v>
      </c>
      <c r="F41" s="55">
        <v>4</v>
      </c>
      <c r="G41" s="55">
        <v>7</v>
      </c>
      <c r="H41" s="55">
        <v>81683</v>
      </c>
      <c r="I41" s="55" t="s">
        <v>543</v>
      </c>
      <c r="J41" s="55">
        <v>14913641</v>
      </c>
      <c r="K41" s="55" t="s">
        <v>1200</v>
      </c>
      <c r="L41" s="60" t="s">
        <v>1208</v>
      </c>
      <c r="M41" s="60">
        <v>199900</v>
      </c>
      <c r="N41" s="62">
        <v>0.75</v>
      </c>
      <c r="O41" s="60">
        <f t="shared" si="1"/>
        <v>49975</v>
      </c>
      <c r="P41" s="55" t="s">
        <v>3499</v>
      </c>
    </row>
    <row r="42" spans="1:16" x14ac:dyDescent="0.25">
      <c r="A42" s="55" t="s">
        <v>3532</v>
      </c>
      <c r="B42" s="56">
        <v>46121</v>
      </c>
      <c r="C42" s="56">
        <v>46127</v>
      </c>
      <c r="D42" s="55">
        <v>3271</v>
      </c>
      <c r="E42" s="55">
        <v>336</v>
      </c>
      <c r="F42" s="55">
        <v>4</v>
      </c>
      <c r="G42" s="55">
        <v>7</v>
      </c>
      <c r="H42" s="55">
        <v>81683</v>
      </c>
      <c r="I42" s="55" t="s">
        <v>543</v>
      </c>
      <c r="J42" s="55">
        <v>15199583</v>
      </c>
      <c r="K42" s="55" t="s">
        <v>1209</v>
      </c>
      <c r="L42" s="59" t="s">
        <v>1210</v>
      </c>
      <c r="M42" s="60">
        <v>199900</v>
      </c>
      <c r="N42" s="62">
        <v>0.75</v>
      </c>
      <c r="O42" s="60">
        <f t="shared" si="1"/>
        <v>49975</v>
      </c>
      <c r="P42" s="55" t="s">
        <v>3499</v>
      </c>
    </row>
    <row r="43" spans="1:16" x14ac:dyDescent="0.25">
      <c r="A43" s="55" t="s">
        <v>3532</v>
      </c>
      <c r="B43" s="56">
        <v>46121</v>
      </c>
      <c r="C43" s="56">
        <v>46127</v>
      </c>
      <c r="D43" s="55">
        <v>3271</v>
      </c>
      <c r="E43" s="55">
        <v>336</v>
      </c>
      <c r="F43" s="55">
        <v>4</v>
      </c>
      <c r="G43" s="55">
        <v>7</v>
      </c>
      <c r="H43" s="58">
        <v>81683</v>
      </c>
      <c r="I43" s="55" t="s">
        <v>543</v>
      </c>
      <c r="J43" s="55">
        <v>15199592</v>
      </c>
      <c r="K43" s="55" t="s">
        <v>1209</v>
      </c>
      <c r="L43" s="59" t="s">
        <v>1211</v>
      </c>
      <c r="M43" s="60">
        <v>199900</v>
      </c>
      <c r="N43" s="62">
        <v>0.75</v>
      </c>
      <c r="O43" s="60">
        <f t="shared" si="1"/>
        <v>49975</v>
      </c>
      <c r="P43" s="55" t="s">
        <v>3499</v>
      </c>
    </row>
    <row r="44" spans="1:16" x14ac:dyDescent="0.25">
      <c r="A44" s="55" t="s">
        <v>3532</v>
      </c>
      <c r="B44" s="56">
        <v>46121</v>
      </c>
      <c r="C44" s="56">
        <v>46127</v>
      </c>
      <c r="D44" s="55">
        <v>3271</v>
      </c>
      <c r="E44" s="55">
        <v>336</v>
      </c>
      <c r="F44" s="55">
        <v>4</v>
      </c>
      <c r="G44" s="55">
        <v>7</v>
      </c>
      <c r="H44" s="58">
        <v>81683</v>
      </c>
      <c r="I44" s="55" t="s">
        <v>543</v>
      </c>
      <c r="J44" s="55">
        <v>15199609</v>
      </c>
      <c r="K44" s="55" t="s">
        <v>1209</v>
      </c>
      <c r="L44" s="59" t="s">
        <v>1212</v>
      </c>
      <c r="M44" s="60">
        <v>199900</v>
      </c>
      <c r="N44" s="62">
        <v>0.75</v>
      </c>
      <c r="O44" s="60">
        <f t="shared" si="1"/>
        <v>49975</v>
      </c>
      <c r="P44" s="55" t="s">
        <v>3499</v>
      </c>
    </row>
    <row r="45" spans="1:16" x14ac:dyDescent="0.25">
      <c r="A45" s="55" t="s">
        <v>3532</v>
      </c>
      <c r="B45" s="56">
        <v>46121</v>
      </c>
      <c r="C45" s="56">
        <v>46127</v>
      </c>
      <c r="D45" s="55">
        <v>3271</v>
      </c>
      <c r="E45" s="55">
        <v>336</v>
      </c>
      <c r="F45" s="55">
        <v>4</v>
      </c>
      <c r="G45" s="55">
        <v>7</v>
      </c>
      <c r="H45" s="58">
        <v>81683</v>
      </c>
      <c r="I45" s="55" t="s">
        <v>543</v>
      </c>
      <c r="J45" s="55">
        <v>15199618</v>
      </c>
      <c r="K45" s="55" t="s">
        <v>1209</v>
      </c>
      <c r="L45" s="59" t="s">
        <v>1213</v>
      </c>
      <c r="M45" s="60">
        <v>199900</v>
      </c>
      <c r="N45" s="62">
        <v>0.75</v>
      </c>
      <c r="O45" s="60">
        <f t="shared" si="1"/>
        <v>49975</v>
      </c>
      <c r="P45" s="55" t="s">
        <v>3499</v>
      </c>
    </row>
    <row r="46" spans="1:16" x14ac:dyDescent="0.25">
      <c r="A46" s="55" t="s">
        <v>3532</v>
      </c>
      <c r="B46" s="56">
        <v>46121</v>
      </c>
      <c r="C46" s="56">
        <v>46127</v>
      </c>
      <c r="D46" s="55">
        <v>3271</v>
      </c>
      <c r="E46" s="55">
        <v>336</v>
      </c>
      <c r="F46" s="55">
        <v>4</v>
      </c>
      <c r="G46" s="55">
        <v>7</v>
      </c>
      <c r="H46" s="58">
        <v>81683</v>
      </c>
      <c r="I46" s="55" t="s">
        <v>543</v>
      </c>
      <c r="J46" s="55">
        <v>15200221</v>
      </c>
      <c r="K46" s="55" t="s">
        <v>1209</v>
      </c>
      <c r="L46" s="59" t="s">
        <v>1214</v>
      </c>
      <c r="M46" s="60">
        <v>199900</v>
      </c>
      <c r="N46" s="62">
        <v>0.75</v>
      </c>
      <c r="O46" s="60">
        <f t="shared" si="1"/>
        <v>49975</v>
      </c>
      <c r="P46" s="55" t="s">
        <v>3499</v>
      </c>
    </row>
    <row r="47" spans="1:16" x14ac:dyDescent="0.25">
      <c r="A47" s="55" t="s">
        <v>3532</v>
      </c>
      <c r="B47" s="56">
        <v>46121</v>
      </c>
      <c r="C47" s="56">
        <v>46127</v>
      </c>
      <c r="D47" s="55">
        <v>3271</v>
      </c>
      <c r="E47" s="55">
        <v>336</v>
      </c>
      <c r="F47" s="55">
        <v>4</v>
      </c>
      <c r="G47" s="55">
        <v>7</v>
      </c>
      <c r="H47" s="58">
        <v>81683</v>
      </c>
      <c r="I47" s="55" t="s">
        <v>543</v>
      </c>
      <c r="J47" s="55">
        <v>15200230</v>
      </c>
      <c r="K47" s="55" t="s">
        <v>1209</v>
      </c>
      <c r="L47" s="59" t="s">
        <v>1215</v>
      </c>
      <c r="M47" s="60">
        <v>199900</v>
      </c>
      <c r="N47" s="62">
        <v>0.75</v>
      </c>
      <c r="O47" s="60">
        <f t="shared" si="1"/>
        <v>49975</v>
      </c>
      <c r="P47" s="55" t="s">
        <v>3499</v>
      </c>
    </row>
    <row r="48" spans="1:16" x14ac:dyDescent="0.25">
      <c r="A48" s="55" t="s">
        <v>3532</v>
      </c>
      <c r="B48" s="56">
        <v>46121</v>
      </c>
      <c r="C48" s="56">
        <v>46127</v>
      </c>
      <c r="D48" s="55">
        <v>3271</v>
      </c>
      <c r="E48" s="55">
        <v>336</v>
      </c>
      <c r="F48" s="55">
        <v>4</v>
      </c>
      <c r="G48" s="55">
        <v>7</v>
      </c>
      <c r="H48" s="58">
        <v>81683</v>
      </c>
      <c r="I48" s="55" t="s">
        <v>543</v>
      </c>
      <c r="J48" s="55">
        <v>15200249</v>
      </c>
      <c r="K48" s="55" t="s">
        <v>1209</v>
      </c>
      <c r="L48" s="59" t="s">
        <v>1216</v>
      </c>
      <c r="M48" s="60">
        <v>199900</v>
      </c>
      <c r="N48" s="62">
        <v>0.75</v>
      </c>
      <c r="O48" s="60">
        <f t="shared" si="1"/>
        <v>49975</v>
      </c>
      <c r="P48" s="55" t="s">
        <v>3499</v>
      </c>
    </row>
    <row r="49" spans="1:16" x14ac:dyDescent="0.25">
      <c r="A49" s="55" t="s">
        <v>3532</v>
      </c>
      <c r="B49" s="56">
        <v>46121</v>
      </c>
      <c r="C49" s="56">
        <v>46127</v>
      </c>
      <c r="D49" s="55">
        <v>3271</v>
      </c>
      <c r="E49" s="55">
        <v>336</v>
      </c>
      <c r="F49" s="55">
        <v>4</v>
      </c>
      <c r="G49" s="55">
        <v>7</v>
      </c>
      <c r="H49" s="58">
        <v>81683</v>
      </c>
      <c r="I49" s="55" t="s">
        <v>543</v>
      </c>
      <c r="J49" s="55">
        <v>15200258</v>
      </c>
      <c r="K49" s="55" t="s">
        <v>1209</v>
      </c>
      <c r="L49" s="59" t="s">
        <v>1217</v>
      </c>
      <c r="M49" s="60">
        <v>199900</v>
      </c>
      <c r="N49" s="62">
        <v>0.75</v>
      </c>
      <c r="O49" s="60">
        <f t="shared" si="1"/>
        <v>49975</v>
      </c>
      <c r="P49" s="55" t="s">
        <v>3499</v>
      </c>
    </row>
    <row r="50" spans="1:16" x14ac:dyDescent="0.25">
      <c r="A50" s="55" t="s">
        <v>3532</v>
      </c>
      <c r="B50" s="56">
        <v>46121</v>
      </c>
      <c r="C50" s="56">
        <v>46127</v>
      </c>
      <c r="D50" s="55">
        <v>3271</v>
      </c>
      <c r="E50" s="55">
        <v>336</v>
      </c>
      <c r="F50" s="55">
        <v>4</v>
      </c>
      <c r="G50" s="55">
        <v>7</v>
      </c>
      <c r="H50" s="55">
        <v>81517</v>
      </c>
      <c r="I50" s="55" t="s">
        <v>543</v>
      </c>
      <c r="J50" s="55">
        <v>15442541</v>
      </c>
      <c r="K50" s="55" t="s">
        <v>1218</v>
      </c>
      <c r="L50" s="59" t="s">
        <v>1219</v>
      </c>
      <c r="M50" s="60">
        <v>249900</v>
      </c>
      <c r="N50" s="62">
        <v>0.75</v>
      </c>
      <c r="O50" s="60">
        <f t="shared" si="1"/>
        <v>62475</v>
      </c>
      <c r="P50" s="55" t="s">
        <v>3499</v>
      </c>
    </row>
    <row r="51" spans="1:16" x14ac:dyDescent="0.25">
      <c r="A51" s="55" t="s">
        <v>3532</v>
      </c>
      <c r="B51" s="56">
        <v>46121</v>
      </c>
      <c r="C51" s="56">
        <v>46127</v>
      </c>
      <c r="D51" s="55">
        <v>3271</v>
      </c>
      <c r="E51" s="55">
        <v>336</v>
      </c>
      <c r="F51" s="55">
        <v>4</v>
      </c>
      <c r="G51" s="55">
        <v>7</v>
      </c>
      <c r="H51" s="55">
        <v>81517</v>
      </c>
      <c r="I51" s="55" t="s">
        <v>543</v>
      </c>
      <c r="J51" s="55">
        <v>15442550</v>
      </c>
      <c r="K51" s="55" t="s">
        <v>1218</v>
      </c>
      <c r="L51" s="59" t="s">
        <v>1220</v>
      </c>
      <c r="M51" s="60">
        <v>249900</v>
      </c>
      <c r="N51" s="62">
        <v>0.75</v>
      </c>
      <c r="O51" s="60">
        <f t="shared" si="1"/>
        <v>62475</v>
      </c>
      <c r="P51" s="55" t="s">
        <v>3499</v>
      </c>
    </row>
    <row r="52" spans="1:16" x14ac:dyDescent="0.25">
      <c r="A52" s="55" t="s">
        <v>3532</v>
      </c>
      <c r="B52" s="56">
        <v>46121</v>
      </c>
      <c r="C52" s="56">
        <v>46127</v>
      </c>
      <c r="D52" s="55">
        <v>3271</v>
      </c>
      <c r="E52" s="55">
        <v>336</v>
      </c>
      <c r="F52" s="55">
        <v>4</v>
      </c>
      <c r="G52" s="55">
        <v>7</v>
      </c>
      <c r="H52" s="55">
        <v>81517</v>
      </c>
      <c r="I52" s="55" t="s">
        <v>543</v>
      </c>
      <c r="J52" s="55">
        <v>15442569</v>
      </c>
      <c r="K52" s="55" t="s">
        <v>1218</v>
      </c>
      <c r="L52" s="59" t="s">
        <v>1221</v>
      </c>
      <c r="M52" s="60">
        <v>249900</v>
      </c>
      <c r="N52" s="62">
        <v>0.75</v>
      </c>
      <c r="O52" s="60">
        <f t="shared" si="1"/>
        <v>62475</v>
      </c>
      <c r="P52" s="55" t="s">
        <v>3499</v>
      </c>
    </row>
    <row r="53" spans="1:16" x14ac:dyDescent="0.25">
      <c r="A53" s="55" t="s">
        <v>3532</v>
      </c>
      <c r="B53" s="56">
        <v>46121</v>
      </c>
      <c r="C53" s="56">
        <v>46127</v>
      </c>
      <c r="D53" s="55">
        <v>3271</v>
      </c>
      <c r="E53" s="55">
        <v>336</v>
      </c>
      <c r="F53" s="55">
        <v>4</v>
      </c>
      <c r="G53" s="55">
        <v>7</v>
      </c>
      <c r="H53" s="55">
        <v>81517</v>
      </c>
      <c r="I53" s="55" t="s">
        <v>543</v>
      </c>
      <c r="J53" s="55">
        <v>15442578</v>
      </c>
      <c r="K53" s="55" t="s">
        <v>1218</v>
      </c>
      <c r="L53" s="59" t="s">
        <v>1222</v>
      </c>
      <c r="M53" s="60">
        <v>249900</v>
      </c>
      <c r="N53" s="62">
        <v>0.75</v>
      </c>
      <c r="O53" s="60">
        <f t="shared" si="1"/>
        <v>62475</v>
      </c>
      <c r="P53" s="55" t="s">
        <v>3499</v>
      </c>
    </row>
    <row r="54" spans="1:16" x14ac:dyDescent="0.25">
      <c r="A54" s="55" t="s">
        <v>3532</v>
      </c>
      <c r="B54" s="56">
        <v>46121</v>
      </c>
      <c r="C54" s="56">
        <v>46127</v>
      </c>
      <c r="D54" s="55">
        <v>3271</v>
      </c>
      <c r="E54" s="55">
        <v>336</v>
      </c>
      <c r="F54" s="55">
        <v>4</v>
      </c>
      <c r="G54" s="55">
        <v>7</v>
      </c>
      <c r="H54" s="55">
        <v>81517</v>
      </c>
      <c r="I54" s="55" t="s">
        <v>543</v>
      </c>
      <c r="J54" s="55">
        <v>15441819</v>
      </c>
      <c r="K54" s="55" t="s">
        <v>1223</v>
      </c>
      <c r="L54" s="59" t="s">
        <v>1224</v>
      </c>
      <c r="M54" s="60">
        <v>249900</v>
      </c>
      <c r="N54" s="62">
        <v>0.75</v>
      </c>
      <c r="O54" s="60">
        <f t="shared" si="1"/>
        <v>62475</v>
      </c>
      <c r="P54" s="55" t="s">
        <v>3499</v>
      </c>
    </row>
    <row r="55" spans="1:16" x14ac:dyDescent="0.25">
      <c r="A55" s="55" t="s">
        <v>3532</v>
      </c>
      <c r="B55" s="56">
        <v>46121</v>
      </c>
      <c r="C55" s="56">
        <v>46127</v>
      </c>
      <c r="D55" s="55">
        <v>3271</v>
      </c>
      <c r="E55" s="55">
        <v>336</v>
      </c>
      <c r="F55" s="55">
        <v>4</v>
      </c>
      <c r="G55" s="55">
        <v>7</v>
      </c>
      <c r="H55" s="55">
        <v>81517</v>
      </c>
      <c r="I55" s="55" t="s">
        <v>543</v>
      </c>
      <c r="J55" s="55">
        <v>15441828</v>
      </c>
      <c r="K55" s="55" t="s">
        <v>1223</v>
      </c>
      <c r="L55" s="59" t="s">
        <v>1225</v>
      </c>
      <c r="M55" s="60">
        <v>249900</v>
      </c>
      <c r="N55" s="62">
        <v>0.75</v>
      </c>
      <c r="O55" s="60">
        <f t="shared" si="1"/>
        <v>62475</v>
      </c>
      <c r="P55" s="55" t="s">
        <v>3499</v>
      </c>
    </row>
    <row r="56" spans="1:16" x14ac:dyDescent="0.25">
      <c r="A56" s="55" t="s">
        <v>3532</v>
      </c>
      <c r="B56" s="56">
        <v>46121</v>
      </c>
      <c r="C56" s="56">
        <v>46127</v>
      </c>
      <c r="D56" s="55">
        <v>3271</v>
      </c>
      <c r="E56" s="55">
        <v>336</v>
      </c>
      <c r="F56" s="55">
        <v>4</v>
      </c>
      <c r="G56" s="55">
        <v>7</v>
      </c>
      <c r="H56" s="55">
        <v>81517</v>
      </c>
      <c r="I56" s="55" t="s">
        <v>543</v>
      </c>
      <c r="J56" s="55">
        <v>15441837</v>
      </c>
      <c r="K56" s="55" t="s">
        <v>1223</v>
      </c>
      <c r="L56" s="59" t="s">
        <v>1226</v>
      </c>
      <c r="M56" s="60">
        <v>249900</v>
      </c>
      <c r="N56" s="62">
        <v>0.75</v>
      </c>
      <c r="O56" s="60">
        <f t="shared" si="1"/>
        <v>62475</v>
      </c>
      <c r="P56" s="55" t="s">
        <v>3499</v>
      </c>
    </row>
    <row r="57" spans="1:16" x14ac:dyDescent="0.25">
      <c r="A57" s="55" t="s">
        <v>3532</v>
      </c>
      <c r="B57" s="56">
        <v>46121</v>
      </c>
      <c r="C57" s="56">
        <v>46127</v>
      </c>
      <c r="D57" s="55">
        <v>3271</v>
      </c>
      <c r="E57" s="55">
        <v>336</v>
      </c>
      <c r="F57" s="55">
        <v>4</v>
      </c>
      <c r="G57" s="55">
        <v>7</v>
      </c>
      <c r="H57" s="55">
        <v>81517</v>
      </c>
      <c r="I57" s="55" t="s">
        <v>543</v>
      </c>
      <c r="J57" s="55">
        <v>15441846</v>
      </c>
      <c r="K57" s="55" t="s">
        <v>1223</v>
      </c>
      <c r="L57" s="59" t="s">
        <v>1227</v>
      </c>
      <c r="M57" s="60">
        <v>249900</v>
      </c>
      <c r="N57" s="62">
        <v>0.75</v>
      </c>
      <c r="O57" s="60">
        <f t="shared" si="1"/>
        <v>62475</v>
      </c>
      <c r="P57" s="55" t="s">
        <v>3499</v>
      </c>
    </row>
    <row r="58" spans="1:16" x14ac:dyDescent="0.25">
      <c r="A58" s="55" t="s">
        <v>3532</v>
      </c>
      <c r="B58" s="56">
        <v>46121</v>
      </c>
      <c r="C58" s="56">
        <v>46127</v>
      </c>
      <c r="D58" s="55">
        <v>3271</v>
      </c>
      <c r="E58" s="55">
        <v>336</v>
      </c>
      <c r="F58" s="55">
        <v>4</v>
      </c>
      <c r="G58" s="55">
        <v>7</v>
      </c>
      <c r="H58" s="55">
        <v>81517</v>
      </c>
      <c r="I58" s="55" t="s">
        <v>543</v>
      </c>
      <c r="J58" s="55">
        <v>15442783</v>
      </c>
      <c r="K58" s="55" t="s">
        <v>1228</v>
      </c>
      <c r="L58" s="59" t="s">
        <v>1229</v>
      </c>
      <c r="M58" s="60">
        <v>249900</v>
      </c>
      <c r="N58" s="62">
        <v>0.75</v>
      </c>
      <c r="O58" s="60">
        <f t="shared" si="1"/>
        <v>62475</v>
      </c>
      <c r="P58" s="55" t="s">
        <v>3499</v>
      </c>
    </row>
    <row r="59" spans="1:16" x14ac:dyDescent="0.25">
      <c r="A59" s="55" t="s">
        <v>3532</v>
      </c>
      <c r="B59" s="56">
        <v>46121</v>
      </c>
      <c r="C59" s="56">
        <v>46127</v>
      </c>
      <c r="D59" s="55">
        <v>3271</v>
      </c>
      <c r="E59" s="55">
        <v>336</v>
      </c>
      <c r="F59" s="55">
        <v>4</v>
      </c>
      <c r="G59" s="55">
        <v>7</v>
      </c>
      <c r="H59" s="55">
        <v>81517</v>
      </c>
      <c r="I59" s="55" t="s">
        <v>543</v>
      </c>
      <c r="J59" s="55">
        <v>15442792</v>
      </c>
      <c r="K59" s="55" t="s">
        <v>1228</v>
      </c>
      <c r="L59" s="59" t="s">
        <v>1230</v>
      </c>
      <c r="M59" s="60">
        <v>249900</v>
      </c>
      <c r="N59" s="62">
        <v>0.75</v>
      </c>
      <c r="O59" s="60">
        <f t="shared" si="1"/>
        <v>62475</v>
      </c>
      <c r="P59" s="55" t="s">
        <v>3499</v>
      </c>
    </row>
    <row r="60" spans="1:16" x14ac:dyDescent="0.25">
      <c r="A60" s="55" t="s">
        <v>3532</v>
      </c>
      <c r="B60" s="56">
        <v>46121</v>
      </c>
      <c r="C60" s="56">
        <v>46127</v>
      </c>
      <c r="D60" s="55">
        <v>3271</v>
      </c>
      <c r="E60" s="55">
        <v>336</v>
      </c>
      <c r="F60" s="55">
        <v>4</v>
      </c>
      <c r="G60" s="55">
        <v>7</v>
      </c>
      <c r="H60" s="55">
        <v>81517</v>
      </c>
      <c r="I60" s="55" t="s">
        <v>543</v>
      </c>
      <c r="J60" s="55">
        <v>15442809</v>
      </c>
      <c r="K60" s="55" t="s">
        <v>1228</v>
      </c>
      <c r="L60" s="59" t="s">
        <v>1231</v>
      </c>
      <c r="M60" s="60">
        <v>249900</v>
      </c>
      <c r="N60" s="62">
        <v>0.75</v>
      </c>
      <c r="O60" s="60">
        <f t="shared" si="1"/>
        <v>62475</v>
      </c>
      <c r="P60" s="55" t="s">
        <v>3499</v>
      </c>
    </row>
    <row r="61" spans="1:16" x14ac:dyDescent="0.25">
      <c r="A61" s="55" t="s">
        <v>3532</v>
      </c>
      <c r="B61" s="56">
        <v>46121</v>
      </c>
      <c r="C61" s="56">
        <v>46127</v>
      </c>
      <c r="D61" s="55">
        <v>3271</v>
      </c>
      <c r="E61" s="55">
        <v>336</v>
      </c>
      <c r="F61" s="55">
        <v>4</v>
      </c>
      <c r="G61" s="55">
        <v>7</v>
      </c>
      <c r="H61" s="55">
        <v>81517</v>
      </c>
      <c r="I61" s="55" t="s">
        <v>543</v>
      </c>
      <c r="J61" s="55">
        <v>15442818</v>
      </c>
      <c r="K61" s="55" t="s">
        <v>1228</v>
      </c>
      <c r="L61" s="59" t="s">
        <v>1232</v>
      </c>
      <c r="M61" s="60">
        <v>249900</v>
      </c>
      <c r="N61" s="62">
        <v>0.75</v>
      </c>
      <c r="O61" s="60">
        <f t="shared" si="1"/>
        <v>62475</v>
      </c>
      <c r="P61" s="55" t="s">
        <v>3499</v>
      </c>
    </row>
    <row r="62" spans="1:16" x14ac:dyDescent="0.25">
      <c r="A62" s="55" t="s">
        <v>3532</v>
      </c>
      <c r="B62" s="56">
        <v>46121</v>
      </c>
      <c r="C62" s="56">
        <v>46127</v>
      </c>
      <c r="D62" s="55">
        <v>3271</v>
      </c>
      <c r="E62" s="55">
        <v>336</v>
      </c>
      <c r="F62" s="55">
        <v>4</v>
      </c>
      <c r="G62" s="55">
        <v>7</v>
      </c>
      <c r="H62" s="55">
        <v>81517</v>
      </c>
      <c r="I62" s="55" t="s">
        <v>543</v>
      </c>
      <c r="J62" s="55">
        <v>15442863</v>
      </c>
      <c r="K62" s="55" t="s">
        <v>1233</v>
      </c>
      <c r="L62" s="59" t="s">
        <v>1234</v>
      </c>
      <c r="M62" s="60">
        <v>249900</v>
      </c>
      <c r="N62" s="62">
        <v>0.75</v>
      </c>
      <c r="O62" s="60">
        <f t="shared" si="1"/>
        <v>62475</v>
      </c>
      <c r="P62" s="55" t="s">
        <v>3499</v>
      </c>
    </row>
    <row r="63" spans="1:16" x14ac:dyDescent="0.25">
      <c r="A63" s="55" t="s">
        <v>3532</v>
      </c>
      <c r="B63" s="56">
        <v>46121</v>
      </c>
      <c r="C63" s="56">
        <v>46127</v>
      </c>
      <c r="D63" s="55">
        <v>3271</v>
      </c>
      <c r="E63" s="55">
        <v>336</v>
      </c>
      <c r="F63" s="55">
        <v>4</v>
      </c>
      <c r="G63" s="55">
        <v>7</v>
      </c>
      <c r="H63" s="55">
        <v>81517</v>
      </c>
      <c r="I63" s="55" t="s">
        <v>543</v>
      </c>
      <c r="J63" s="55">
        <v>15442872</v>
      </c>
      <c r="K63" s="55" t="s">
        <v>1233</v>
      </c>
      <c r="L63" s="59" t="s">
        <v>1235</v>
      </c>
      <c r="M63" s="60">
        <v>249900</v>
      </c>
      <c r="N63" s="62">
        <v>0.75</v>
      </c>
      <c r="O63" s="60">
        <f t="shared" si="1"/>
        <v>62475</v>
      </c>
      <c r="P63" s="55" t="s">
        <v>3499</v>
      </c>
    </row>
    <row r="64" spans="1:16" x14ac:dyDescent="0.25">
      <c r="A64" s="55" t="s">
        <v>3532</v>
      </c>
      <c r="B64" s="56">
        <v>46121</v>
      </c>
      <c r="C64" s="56">
        <v>46127</v>
      </c>
      <c r="D64" s="55">
        <v>3271</v>
      </c>
      <c r="E64" s="55">
        <v>336</v>
      </c>
      <c r="F64" s="55">
        <v>4</v>
      </c>
      <c r="G64" s="55">
        <v>7</v>
      </c>
      <c r="H64" s="55">
        <v>81517</v>
      </c>
      <c r="I64" s="55" t="s">
        <v>543</v>
      </c>
      <c r="J64" s="55">
        <v>15442881</v>
      </c>
      <c r="K64" s="55" t="s">
        <v>1233</v>
      </c>
      <c r="L64" s="59" t="s">
        <v>1236</v>
      </c>
      <c r="M64" s="60">
        <v>249900</v>
      </c>
      <c r="N64" s="62">
        <v>0.75</v>
      </c>
      <c r="O64" s="60">
        <f t="shared" si="1"/>
        <v>62475</v>
      </c>
      <c r="P64" s="55" t="s">
        <v>3499</v>
      </c>
    </row>
    <row r="65" spans="1:16" x14ac:dyDescent="0.25">
      <c r="A65" s="55" t="s">
        <v>3532</v>
      </c>
      <c r="B65" s="56">
        <v>46121</v>
      </c>
      <c r="C65" s="56">
        <v>46127</v>
      </c>
      <c r="D65" s="55">
        <v>3271</v>
      </c>
      <c r="E65" s="55">
        <v>336</v>
      </c>
      <c r="F65" s="55">
        <v>4</v>
      </c>
      <c r="G65" s="55">
        <v>7</v>
      </c>
      <c r="H65" s="55">
        <v>81517</v>
      </c>
      <c r="I65" s="55" t="s">
        <v>543</v>
      </c>
      <c r="J65" s="55">
        <v>15442890</v>
      </c>
      <c r="K65" s="55" t="s">
        <v>1233</v>
      </c>
      <c r="L65" s="59" t="s">
        <v>1237</v>
      </c>
      <c r="M65" s="60">
        <v>249900</v>
      </c>
      <c r="N65" s="62">
        <v>0.75</v>
      </c>
      <c r="O65" s="60">
        <f t="shared" si="1"/>
        <v>62475</v>
      </c>
      <c r="P65" s="55" t="s">
        <v>3499</v>
      </c>
    </row>
    <row r="66" spans="1:16" x14ac:dyDescent="0.25">
      <c r="A66" s="55" t="s">
        <v>3532</v>
      </c>
      <c r="B66" s="56">
        <v>46121</v>
      </c>
      <c r="C66" s="56">
        <v>46127</v>
      </c>
      <c r="D66" s="55">
        <v>3271</v>
      </c>
      <c r="E66" s="55">
        <v>336</v>
      </c>
      <c r="F66" s="55">
        <v>4</v>
      </c>
      <c r="G66" s="55">
        <v>7</v>
      </c>
      <c r="H66" s="55">
        <v>81683</v>
      </c>
      <c r="I66" s="55" t="s">
        <v>543</v>
      </c>
      <c r="J66" s="55">
        <v>16610483</v>
      </c>
      <c r="K66" s="55" t="s">
        <v>1238</v>
      </c>
      <c r="L66" s="59" t="s">
        <v>1239</v>
      </c>
      <c r="M66" s="60">
        <v>199900</v>
      </c>
      <c r="N66" s="62">
        <v>0.75</v>
      </c>
      <c r="O66" s="60">
        <f t="shared" si="1"/>
        <v>49975</v>
      </c>
      <c r="P66" s="55" t="s">
        <v>3499</v>
      </c>
    </row>
    <row r="67" spans="1:16" x14ac:dyDescent="0.25">
      <c r="A67" s="55" t="s">
        <v>3532</v>
      </c>
      <c r="B67" s="56">
        <v>46121</v>
      </c>
      <c r="C67" s="56">
        <v>46127</v>
      </c>
      <c r="D67" s="55">
        <v>3271</v>
      </c>
      <c r="E67" s="55">
        <v>336</v>
      </c>
      <c r="F67" s="55">
        <v>4</v>
      </c>
      <c r="G67" s="55">
        <v>7</v>
      </c>
      <c r="H67" s="55">
        <v>81683</v>
      </c>
      <c r="I67" s="55" t="s">
        <v>543</v>
      </c>
      <c r="J67" s="55">
        <v>16610492</v>
      </c>
      <c r="K67" s="55" t="s">
        <v>1238</v>
      </c>
      <c r="L67" s="59" t="s">
        <v>1240</v>
      </c>
      <c r="M67" s="60">
        <v>199900</v>
      </c>
      <c r="N67" s="62">
        <v>0.75</v>
      </c>
      <c r="O67" s="60">
        <f t="shared" ref="O67:O81" si="2">M67-((75*M67)/100)</f>
        <v>49975</v>
      </c>
      <c r="P67" s="55" t="s">
        <v>3499</v>
      </c>
    </row>
    <row r="68" spans="1:16" x14ac:dyDescent="0.25">
      <c r="A68" s="55" t="s">
        <v>3532</v>
      </c>
      <c r="B68" s="56">
        <v>46121</v>
      </c>
      <c r="C68" s="56">
        <v>46127</v>
      </c>
      <c r="D68" s="55">
        <v>3271</v>
      </c>
      <c r="E68" s="55">
        <v>336</v>
      </c>
      <c r="F68" s="55">
        <v>4</v>
      </c>
      <c r="G68" s="55">
        <v>7</v>
      </c>
      <c r="H68" s="55">
        <v>81683</v>
      </c>
      <c r="I68" s="55" t="s">
        <v>543</v>
      </c>
      <c r="J68" s="55">
        <v>16610509</v>
      </c>
      <c r="K68" s="55" t="s">
        <v>1238</v>
      </c>
      <c r="L68" s="59" t="s">
        <v>1241</v>
      </c>
      <c r="M68" s="60">
        <v>199900</v>
      </c>
      <c r="N68" s="62">
        <v>0.75</v>
      </c>
      <c r="O68" s="60">
        <f t="shared" si="2"/>
        <v>49975</v>
      </c>
      <c r="P68" s="55" t="s">
        <v>3499</v>
      </c>
    </row>
    <row r="69" spans="1:16" x14ac:dyDescent="0.25">
      <c r="A69" s="55" t="s">
        <v>3532</v>
      </c>
      <c r="B69" s="56">
        <v>46121</v>
      </c>
      <c r="C69" s="56">
        <v>46127</v>
      </c>
      <c r="D69" s="55">
        <v>3271</v>
      </c>
      <c r="E69" s="55">
        <v>336</v>
      </c>
      <c r="F69" s="55">
        <v>4</v>
      </c>
      <c r="G69" s="55">
        <v>7</v>
      </c>
      <c r="H69" s="55">
        <v>81683</v>
      </c>
      <c r="I69" s="55" t="s">
        <v>543</v>
      </c>
      <c r="J69" s="55">
        <v>16610518</v>
      </c>
      <c r="K69" s="55" t="s">
        <v>1238</v>
      </c>
      <c r="L69" s="59" t="s">
        <v>1242</v>
      </c>
      <c r="M69" s="60">
        <v>199900</v>
      </c>
      <c r="N69" s="62">
        <v>0.75</v>
      </c>
      <c r="O69" s="60">
        <f t="shared" si="2"/>
        <v>49975</v>
      </c>
      <c r="P69" s="55" t="s">
        <v>3499</v>
      </c>
    </row>
    <row r="70" spans="1:16" x14ac:dyDescent="0.25">
      <c r="A70" s="55" t="s">
        <v>3532</v>
      </c>
      <c r="B70" s="56">
        <v>46121</v>
      </c>
      <c r="C70" s="56">
        <v>46127</v>
      </c>
      <c r="D70" s="55">
        <v>3271</v>
      </c>
      <c r="E70" s="55">
        <v>336</v>
      </c>
      <c r="F70" s="55">
        <v>4</v>
      </c>
      <c r="G70" s="55">
        <v>7</v>
      </c>
      <c r="H70" s="55">
        <v>81683</v>
      </c>
      <c r="I70" s="55" t="s">
        <v>543</v>
      </c>
      <c r="J70" s="55">
        <v>16610527</v>
      </c>
      <c r="K70" s="55" t="s">
        <v>1238</v>
      </c>
      <c r="L70" s="59" t="s">
        <v>1243</v>
      </c>
      <c r="M70" s="60">
        <v>199900</v>
      </c>
      <c r="N70" s="62">
        <v>0.75</v>
      </c>
      <c r="O70" s="60">
        <f t="shared" si="2"/>
        <v>49975</v>
      </c>
      <c r="P70" s="55" t="s">
        <v>3499</v>
      </c>
    </row>
    <row r="71" spans="1:16" x14ac:dyDescent="0.25">
      <c r="A71" s="55" t="s">
        <v>3532</v>
      </c>
      <c r="B71" s="56">
        <v>46121</v>
      </c>
      <c r="C71" s="56">
        <v>46127</v>
      </c>
      <c r="D71" s="55">
        <v>3271</v>
      </c>
      <c r="E71" s="55">
        <v>336</v>
      </c>
      <c r="F71" s="55">
        <v>4</v>
      </c>
      <c r="G71" s="55">
        <v>7</v>
      </c>
      <c r="H71" s="55">
        <v>81683</v>
      </c>
      <c r="I71" s="55" t="s">
        <v>543</v>
      </c>
      <c r="J71" s="55">
        <v>16610536</v>
      </c>
      <c r="K71" s="55" t="s">
        <v>1238</v>
      </c>
      <c r="L71" s="59" t="s">
        <v>1244</v>
      </c>
      <c r="M71" s="60">
        <v>199900</v>
      </c>
      <c r="N71" s="62">
        <v>0.75</v>
      </c>
      <c r="O71" s="60">
        <f t="shared" si="2"/>
        <v>49975</v>
      </c>
      <c r="P71" s="55" t="s">
        <v>3499</v>
      </c>
    </row>
    <row r="72" spans="1:16" x14ac:dyDescent="0.25">
      <c r="A72" s="55" t="s">
        <v>3532</v>
      </c>
      <c r="B72" s="56">
        <v>46121</v>
      </c>
      <c r="C72" s="56">
        <v>46127</v>
      </c>
      <c r="D72" s="55">
        <v>3271</v>
      </c>
      <c r="E72" s="55">
        <v>336</v>
      </c>
      <c r="F72" s="55">
        <v>4</v>
      </c>
      <c r="G72" s="55">
        <v>7</v>
      </c>
      <c r="H72" s="55">
        <v>81683</v>
      </c>
      <c r="I72" s="55" t="s">
        <v>543</v>
      </c>
      <c r="J72" s="55">
        <v>16610545</v>
      </c>
      <c r="K72" s="55" t="s">
        <v>1238</v>
      </c>
      <c r="L72" s="59" t="s">
        <v>1245</v>
      </c>
      <c r="M72" s="60">
        <v>199900</v>
      </c>
      <c r="N72" s="62">
        <v>0.75</v>
      </c>
      <c r="O72" s="60">
        <f t="shared" si="2"/>
        <v>49975</v>
      </c>
      <c r="P72" s="55" t="s">
        <v>3499</v>
      </c>
    </row>
    <row r="73" spans="1:16" x14ac:dyDescent="0.25">
      <c r="A73" s="55" t="s">
        <v>3532</v>
      </c>
      <c r="B73" s="56">
        <v>46121</v>
      </c>
      <c r="C73" s="56">
        <v>46127</v>
      </c>
      <c r="D73" s="55">
        <v>3271</v>
      </c>
      <c r="E73" s="55">
        <v>336</v>
      </c>
      <c r="F73" s="55">
        <v>4</v>
      </c>
      <c r="G73" s="55">
        <v>7</v>
      </c>
      <c r="H73" s="55">
        <v>81683</v>
      </c>
      <c r="I73" s="55" t="s">
        <v>543</v>
      </c>
      <c r="J73" s="55">
        <v>16610554</v>
      </c>
      <c r="K73" s="55" t="s">
        <v>1238</v>
      </c>
      <c r="L73" s="59" t="s">
        <v>1246</v>
      </c>
      <c r="M73" s="60">
        <v>199900</v>
      </c>
      <c r="N73" s="62">
        <v>0.75</v>
      </c>
      <c r="O73" s="60">
        <f t="shared" si="2"/>
        <v>49975</v>
      </c>
      <c r="P73" s="55" t="s">
        <v>3499</v>
      </c>
    </row>
    <row r="74" spans="1:16" x14ac:dyDescent="0.25">
      <c r="A74" s="55" t="s">
        <v>3532</v>
      </c>
      <c r="B74" s="56">
        <v>46121</v>
      </c>
      <c r="C74" s="56">
        <v>46127</v>
      </c>
      <c r="D74" s="55">
        <v>3271</v>
      </c>
      <c r="E74" s="55">
        <v>336</v>
      </c>
      <c r="F74" s="55">
        <v>4</v>
      </c>
      <c r="G74" s="55">
        <v>7</v>
      </c>
      <c r="H74" s="55">
        <v>81683</v>
      </c>
      <c r="I74" s="55" t="s">
        <v>543</v>
      </c>
      <c r="J74" s="55">
        <v>16610563</v>
      </c>
      <c r="K74" s="55" t="s">
        <v>1238</v>
      </c>
      <c r="L74" s="59" t="s">
        <v>1247</v>
      </c>
      <c r="M74" s="60">
        <v>199900</v>
      </c>
      <c r="N74" s="62">
        <v>0.75</v>
      </c>
      <c r="O74" s="60">
        <f t="shared" si="2"/>
        <v>49975</v>
      </c>
      <c r="P74" s="55" t="s">
        <v>3499</v>
      </c>
    </row>
    <row r="75" spans="1:16" x14ac:dyDescent="0.25">
      <c r="A75" s="55" t="s">
        <v>3532</v>
      </c>
      <c r="B75" s="56">
        <v>46121</v>
      </c>
      <c r="C75" s="56">
        <v>46127</v>
      </c>
      <c r="D75" s="55">
        <v>3271</v>
      </c>
      <c r="E75" s="55">
        <v>336</v>
      </c>
      <c r="F75" s="55">
        <v>4</v>
      </c>
      <c r="G75" s="55">
        <v>7</v>
      </c>
      <c r="H75" s="55">
        <v>81683</v>
      </c>
      <c r="I75" s="55" t="s">
        <v>543</v>
      </c>
      <c r="J75" s="55">
        <v>16610572</v>
      </c>
      <c r="K75" s="55" t="s">
        <v>1238</v>
      </c>
      <c r="L75" s="59" t="s">
        <v>1248</v>
      </c>
      <c r="M75" s="60">
        <v>199900</v>
      </c>
      <c r="N75" s="62">
        <v>0.75</v>
      </c>
      <c r="O75" s="60">
        <f t="shared" si="2"/>
        <v>49975</v>
      </c>
      <c r="P75" s="55" t="s">
        <v>3499</v>
      </c>
    </row>
    <row r="76" spans="1:16" x14ac:dyDescent="0.25">
      <c r="A76" s="55" t="s">
        <v>3532</v>
      </c>
      <c r="B76" s="56">
        <v>46121</v>
      </c>
      <c r="C76" s="56">
        <v>46127</v>
      </c>
      <c r="D76" s="55">
        <v>3271</v>
      </c>
      <c r="E76" s="55">
        <v>336</v>
      </c>
      <c r="F76" s="55">
        <v>4</v>
      </c>
      <c r="G76" s="55">
        <v>7</v>
      </c>
      <c r="H76" s="55">
        <v>81683</v>
      </c>
      <c r="I76" s="55" t="s">
        <v>543</v>
      </c>
      <c r="J76" s="55">
        <v>16610581</v>
      </c>
      <c r="K76" s="55" t="s">
        <v>1238</v>
      </c>
      <c r="L76" s="59" t="s">
        <v>1249</v>
      </c>
      <c r="M76" s="60">
        <v>199900</v>
      </c>
      <c r="N76" s="62">
        <v>0.75</v>
      </c>
      <c r="O76" s="60">
        <f t="shared" si="2"/>
        <v>49975</v>
      </c>
      <c r="P76" s="55" t="s">
        <v>3499</v>
      </c>
    </row>
    <row r="77" spans="1:16" x14ac:dyDescent="0.25">
      <c r="A77" s="55" t="s">
        <v>3532</v>
      </c>
      <c r="B77" s="56">
        <v>46121</v>
      </c>
      <c r="C77" s="56">
        <v>46127</v>
      </c>
      <c r="D77" s="55">
        <v>3271</v>
      </c>
      <c r="E77" s="55">
        <v>336</v>
      </c>
      <c r="F77" s="55">
        <v>4</v>
      </c>
      <c r="G77" s="55">
        <v>7</v>
      </c>
      <c r="H77" s="55">
        <v>81683</v>
      </c>
      <c r="I77" s="55" t="s">
        <v>543</v>
      </c>
      <c r="J77" s="55">
        <v>16610590</v>
      </c>
      <c r="K77" s="55" t="s">
        <v>1238</v>
      </c>
      <c r="L77" s="59" t="s">
        <v>1250</v>
      </c>
      <c r="M77" s="60">
        <v>199900</v>
      </c>
      <c r="N77" s="62">
        <v>0.75</v>
      </c>
      <c r="O77" s="60">
        <f t="shared" si="2"/>
        <v>49975</v>
      </c>
      <c r="P77" s="55" t="s">
        <v>3499</v>
      </c>
    </row>
    <row r="78" spans="1:16" x14ac:dyDescent="0.25">
      <c r="A78" s="55" t="s">
        <v>3532</v>
      </c>
      <c r="B78" s="56">
        <v>46121</v>
      </c>
      <c r="C78" s="56">
        <v>46127</v>
      </c>
      <c r="D78" s="55">
        <v>3271</v>
      </c>
      <c r="E78" s="55">
        <v>336</v>
      </c>
      <c r="F78" s="55">
        <v>4</v>
      </c>
      <c r="G78" s="55">
        <v>7</v>
      </c>
      <c r="H78" s="55">
        <v>81683</v>
      </c>
      <c r="I78" s="55" t="s">
        <v>543</v>
      </c>
      <c r="J78" s="55">
        <v>16610607</v>
      </c>
      <c r="K78" s="55" t="s">
        <v>1238</v>
      </c>
      <c r="L78" s="59" t="s">
        <v>1251</v>
      </c>
      <c r="M78" s="60">
        <v>199900</v>
      </c>
      <c r="N78" s="62">
        <v>0.75</v>
      </c>
      <c r="O78" s="60">
        <f t="shared" si="2"/>
        <v>49975</v>
      </c>
      <c r="P78" s="55" t="s">
        <v>3499</v>
      </c>
    </row>
    <row r="79" spans="1:16" x14ac:dyDescent="0.25">
      <c r="A79" s="55" t="s">
        <v>3532</v>
      </c>
      <c r="B79" s="56">
        <v>46121</v>
      </c>
      <c r="C79" s="56">
        <v>46127</v>
      </c>
      <c r="D79" s="55">
        <v>3271</v>
      </c>
      <c r="E79" s="55">
        <v>336</v>
      </c>
      <c r="F79" s="55">
        <v>4</v>
      </c>
      <c r="G79" s="55">
        <v>7</v>
      </c>
      <c r="H79" s="55">
        <v>81683</v>
      </c>
      <c r="I79" s="55" t="s">
        <v>543</v>
      </c>
      <c r="J79" s="55">
        <v>16610616</v>
      </c>
      <c r="K79" s="55" t="s">
        <v>1238</v>
      </c>
      <c r="L79" s="59" t="s">
        <v>1252</v>
      </c>
      <c r="M79" s="60">
        <v>199900</v>
      </c>
      <c r="N79" s="62">
        <v>0.75</v>
      </c>
      <c r="O79" s="60">
        <f t="shared" si="2"/>
        <v>49975</v>
      </c>
      <c r="P79" s="55" t="s">
        <v>3499</v>
      </c>
    </row>
    <row r="80" spans="1:16" x14ac:dyDescent="0.25">
      <c r="A80" s="55" t="s">
        <v>3532</v>
      </c>
      <c r="B80" s="56">
        <v>46121</v>
      </c>
      <c r="C80" s="56">
        <v>46127</v>
      </c>
      <c r="D80" s="55">
        <v>3271</v>
      </c>
      <c r="E80" s="55">
        <v>336</v>
      </c>
      <c r="F80" s="55">
        <v>4</v>
      </c>
      <c r="G80" s="55">
        <v>7</v>
      </c>
      <c r="H80" s="55">
        <v>81683</v>
      </c>
      <c r="I80" s="55" t="s">
        <v>543</v>
      </c>
      <c r="J80" s="55">
        <v>16610625</v>
      </c>
      <c r="K80" s="55" t="s">
        <v>1238</v>
      </c>
      <c r="L80" s="59" t="s">
        <v>1253</v>
      </c>
      <c r="M80" s="60">
        <v>199900</v>
      </c>
      <c r="N80" s="62">
        <v>0.75</v>
      </c>
      <c r="O80" s="60">
        <f t="shared" si="2"/>
        <v>49975</v>
      </c>
      <c r="P80" s="55" t="s">
        <v>3499</v>
      </c>
    </row>
    <row r="81" spans="1:16" x14ac:dyDescent="0.25">
      <c r="A81" s="55" t="s">
        <v>3532</v>
      </c>
      <c r="B81" s="56">
        <v>46121</v>
      </c>
      <c r="C81" s="56">
        <v>46127</v>
      </c>
      <c r="D81" s="55">
        <v>3271</v>
      </c>
      <c r="E81" s="55">
        <v>336</v>
      </c>
      <c r="F81" s="55">
        <v>4</v>
      </c>
      <c r="G81" s="55">
        <v>7</v>
      </c>
      <c r="H81" s="55">
        <v>81683</v>
      </c>
      <c r="I81" s="55" t="s">
        <v>543</v>
      </c>
      <c r="J81" s="55">
        <v>16610634</v>
      </c>
      <c r="K81" s="55" t="s">
        <v>1238</v>
      </c>
      <c r="L81" s="59" t="s">
        <v>1254</v>
      </c>
      <c r="M81" s="60">
        <v>199900</v>
      </c>
      <c r="N81" s="62">
        <v>0.75</v>
      </c>
      <c r="O81" s="60">
        <f t="shared" si="2"/>
        <v>49975</v>
      </c>
      <c r="P81" s="55" t="s">
        <v>3499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4727-8039-418C-ADFE-C801DDAD472A}">
  <sheetPr>
    <tabColor rgb="FF00B050"/>
  </sheetPr>
  <dimension ref="A1:P65"/>
  <sheetViews>
    <sheetView workbookViewId="0">
      <selection activeCell="L17" sqref="L17"/>
    </sheetView>
  </sheetViews>
  <sheetFormatPr defaultRowHeight="15" x14ac:dyDescent="0.25"/>
  <cols>
    <col min="1" max="1" width="23.5703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5.85546875" customWidth="1"/>
    <col min="12" max="12" width="98.140625" bestFit="1" customWidth="1"/>
    <col min="13" max="13" width="14.42578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s="61" customFormat="1" x14ac:dyDescent="0.25">
      <c r="A2" s="55" t="s">
        <v>3500</v>
      </c>
      <c r="B2" s="56">
        <v>46121</v>
      </c>
      <c r="C2" s="56">
        <v>46127</v>
      </c>
      <c r="D2" s="55">
        <v>3271</v>
      </c>
      <c r="E2" s="55">
        <v>336</v>
      </c>
      <c r="F2" s="55">
        <v>4</v>
      </c>
      <c r="G2" s="55">
        <v>6</v>
      </c>
      <c r="H2" s="55">
        <v>4953</v>
      </c>
      <c r="I2" s="55" t="s">
        <v>543</v>
      </c>
      <c r="J2" s="55">
        <v>19067468</v>
      </c>
      <c r="K2" s="55" t="s">
        <v>1107</v>
      </c>
      <c r="L2" s="55" t="s">
        <v>1108</v>
      </c>
      <c r="M2" s="60">
        <v>79900</v>
      </c>
      <c r="N2" s="62">
        <v>0.75</v>
      </c>
      <c r="O2" s="60">
        <f t="shared" ref="O2:O33" si="0">M2-((75*M2)/100)</f>
        <v>19975</v>
      </c>
      <c r="P2" s="55" t="s">
        <v>3499</v>
      </c>
    </row>
    <row r="3" spans="1:16" s="61" customFormat="1" x14ac:dyDescent="0.25">
      <c r="A3" s="55" t="s">
        <v>3500</v>
      </c>
      <c r="B3" s="56">
        <v>46121</v>
      </c>
      <c r="C3" s="56">
        <v>46127</v>
      </c>
      <c r="D3" s="55">
        <v>3271</v>
      </c>
      <c r="E3" s="55">
        <v>336</v>
      </c>
      <c r="F3" s="55">
        <v>4</v>
      </c>
      <c r="G3" s="55">
        <v>6</v>
      </c>
      <c r="H3" s="55">
        <v>4953</v>
      </c>
      <c r="I3" s="55" t="s">
        <v>543</v>
      </c>
      <c r="J3" s="55">
        <v>19067477</v>
      </c>
      <c r="K3" s="55" t="s">
        <v>1107</v>
      </c>
      <c r="L3" s="55" t="s">
        <v>1109</v>
      </c>
      <c r="M3" s="60">
        <v>79900</v>
      </c>
      <c r="N3" s="62">
        <v>0.75</v>
      </c>
      <c r="O3" s="60">
        <f t="shared" si="0"/>
        <v>19975</v>
      </c>
      <c r="P3" s="55" t="s">
        <v>3499</v>
      </c>
    </row>
    <row r="4" spans="1:16" s="61" customFormat="1" x14ac:dyDescent="0.25">
      <c r="A4" s="55" t="s">
        <v>3500</v>
      </c>
      <c r="B4" s="56">
        <v>46121</v>
      </c>
      <c r="C4" s="56">
        <v>46127</v>
      </c>
      <c r="D4" s="55">
        <v>3271</v>
      </c>
      <c r="E4" s="55">
        <v>336</v>
      </c>
      <c r="F4" s="55">
        <v>4</v>
      </c>
      <c r="G4" s="55">
        <v>6</v>
      </c>
      <c r="H4" s="55">
        <v>4953</v>
      </c>
      <c r="I4" s="55" t="s">
        <v>543</v>
      </c>
      <c r="J4" s="55">
        <v>19067486</v>
      </c>
      <c r="K4" s="55" t="s">
        <v>1107</v>
      </c>
      <c r="L4" s="55" t="s">
        <v>1110</v>
      </c>
      <c r="M4" s="60">
        <v>79900</v>
      </c>
      <c r="N4" s="62">
        <v>0.75</v>
      </c>
      <c r="O4" s="60">
        <f t="shared" si="0"/>
        <v>19975</v>
      </c>
      <c r="P4" s="55" t="s">
        <v>3499</v>
      </c>
    </row>
    <row r="5" spans="1:16" s="61" customFormat="1" x14ac:dyDescent="0.25">
      <c r="A5" s="55" t="s">
        <v>3500</v>
      </c>
      <c r="B5" s="56">
        <v>46121</v>
      </c>
      <c r="C5" s="56">
        <v>46127</v>
      </c>
      <c r="D5" s="55">
        <v>3271</v>
      </c>
      <c r="E5" s="55">
        <v>336</v>
      </c>
      <c r="F5" s="55">
        <v>4</v>
      </c>
      <c r="G5" s="55">
        <v>6</v>
      </c>
      <c r="H5" s="55">
        <v>4953</v>
      </c>
      <c r="I5" s="55" t="s">
        <v>543</v>
      </c>
      <c r="J5" s="55">
        <v>19067495</v>
      </c>
      <c r="K5" s="55" t="s">
        <v>1107</v>
      </c>
      <c r="L5" s="55" t="s">
        <v>1111</v>
      </c>
      <c r="M5" s="60">
        <v>79900</v>
      </c>
      <c r="N5" s="62">
        <v>0.75</v>
      </c>
      <c r="O5" s="60">
        <f t="shared" si="0"/>
        <v>19975</v>
      </c>
      <c r="P5" s="55" t="s">
        <v>3499</v>
      </c>
    </row>
    <row r="6" spans="1:16" s="61" customFormat="1" x14ac:dyDescent="0.25">
      <c r="A6" s="55" t="s">
        <v>3500</v>
      </c>
      <c r="B6" s="56">
        <v>46121</v>
      </c>
      <c r="C6" s="56">
        <v>46127</v>
      </c>
      <c r="D6" s="55">
        <v>3271</v>
      </c>
      <c r="E6" s="55">
        <v>336</v>
      </c>
      <c r="F6" s="55">
        <v>4</v>
      </c>
      <c r="G6" s="55">
        <v>6</v>
      </c>
      <c r="H6" s="55">
        <v>4953</v>
      </c>
      <c r="I6" s="55" t="s">
        <v>543</v>
      </c>
      <c r="J6" s="55">
        <v>19067502</v>
      </c>
      <c r="K6" s="55" t="s">
        <v>1112</v>
      </c>
      <c r="L6" s="55" t="s">
        <v>1113</v>
      </c>
      <c r="M6" s="60">
        <v>79900</v>
      </c>
      <c r="N6" s="62">
        <v>0.75</v>
      </c>
      <c r="O6" s="60">
        <f t="shared" si="0"/>
        <v>19975</v>
      </c>
      <c r="P6" s="55" t="s">
        <v>3499</v>
      </c>
    </row>
    <row r="7" spans="1:16" s="61" customFormat="1" x14ac:dyDescent="0.25">
      <c r="A7" s="55" t="s">
        <v>3500</v>
      </c>
      <c r="B7" s="56">
        <v>46121</v>
      </c>
      <c r="C7" s="56">
        <v>46127</v>
      </c>
      <c r="D7" s="55">
        <v>3271</v>
      </c>
      <c r="E7" s="55">
        <v>336</v>
      </c>
      <c r="F7" s="55">
        <v>4</v>
      </c>
      <c r="G7" s="55">
        <v>6</v>
      </c>
      <c r="H7" s="55">
        <v>4953</v>
      </c>
      <c r="I7" s="55" t="s">
        <v>543</v>
      </c>
      <c r="J7" s="55">
        <v>19067511</v>
      </c>
      <c r="K7" s="55" t="s">
        <v>1112</v>
      </c>
      <c r="L7" s="55" t="s">
        <v>1114</v>
      </c>
      <c r="M7" s="60">
        <v>79900</v>
      </c>
      <c r="N7" s="62">
        <v>0.75</v>
      </c>
      <c r="O7" s="60">
        <f t="shared" si="0"/>
        <v>19975</v>
      </c>
      <c r="P7" s="55" t="s">
        <v>3499</v>
      </c>
    </row>
    <row r="8" spans="1:16" s="61" customFormat="1" x14ac:dyDescent="0.25">
      <c r="A8" s="55" t="s">
        <v>3500</v>
      </c>
      <c r="B8" s="56">
        <v>46121</v>
      </c>
      <c r="C8" s="56">
        <v>46127</v>
      </c>
      <c r="D8" s="55">
        <v>3271</v>
      </c>
      <c r="E8" s="55">
        <v>336</v>
      </c>
      <c r="F8" s="55">
        <v>4</v>
      </c>
      <c r="G8" s="55">
        <v>6</v>
      </c>
      <c r="H8" s="55">
        <v>4953</v>
      </c>
      <c r="I8" s="55" t="s">
        <v>543</v>
      </c>
      <c r="J8" s="55">
        <v>19067520</v>
      </c>
      <c r="K8" s="55" t="s">
        <v>1112</v>
      </c>
      <c r="L8" s="55" t="s">
        <v>1115</v>
      </c>
      <c r="M8" s="60">
        <v>79900</v>
      </c>
      <c r="N8" s="62">
        <v>0.75</v>
      </c>
      <c r="O8" s="60">
        <f t="shared" si="0"/>
        <v>19975</v>
      </c>
      <c r="P8" s="55" t="s">
        <v>3499</v>
      </c>
    </row>
    <row r="9" spans="1:16" s="61" customFormat="1" x14ac:dyDescent="0.25">
      <c r="A9" s="55" t="s">
        <v>3500</v>
      </c>
      <c r="B9" s="56">
        <v>46121</v>
      </c>
      <c r="C9" s="56">
        <v>46127</v>
      </c>
      <c r="D9" s="55">
        <v>3271</v>
      </c>
      <c r="E9" s="55">
        <v>336</v>
      </c>
      <c r="F9" s="55">
        <v>4</v>
      </c>
      <c r="G9" s="55">
        <v>6</v>
      </c>
      <c r="H9" s="55">
        <v>4953</v>
      </c>
      <c r="I9" s="55" t="s">
        <v>543</v>
      </c>
      <c r="J9" s="55">
        <v>19067539</v>
      </c>
      <c r="K9" s="55" t="s">
        <v>1112</v>
      </c>
      <c r="L9" s="55" t="s">
        <v>1116</v>
      </c>
      <c r="M9" s="60">
        <v>79900</v>
      </c>
      <c r="N9" s="62">
        <v>0.75</v>
      </c>
      <c r="O9" s="60">
        <f t="shared" si="0"/>
        <v>19975</v>
      </c>
      <c r="P9" s="55" t="s">
        <v>3499</v>
      </c>
    </row>
    <row r="10" spans="1:16" s="61" customFormat="1" x14ac:dyDescent="0.25">
      <c r="A10" s="55" t="s">
        <v>3500</v>
      </c>
      <c r="B10" s="56">
        <v>46121</v>
      </c>
      <c r="C10" s="56">
        <v>46127</v>
      </c>
      <c r="D10" s="55">
        <v>3271</v>
      </c>
      <c r="E10" s="55">
        <v>336</v>
      </c>
      <c r="F10" s="55">
        <v>4</v>
      </c>
      <c r="G10" s="55">
        <v>6</v>
      </c>
      <c r="H10" s="55">
        <v>4953</v>
      </c>
      <c r="I10" s="55" t="s">
        <v>543</v>
      </c>
      <c r="J10" s="55">
        <v>19104435</v>
      </c>
      <c r="K10" s="55" t="s">
        <v>1117</v>
      </c>
      <c r="L10" s="55" t="s">
        <v>1118</v>
      </c>
      <c r="M10" s="60">
        <v>79900</v>
      </c>
      <c r="N10" s="62">
        <v>0.75</v>
      </c>
      <c r="O10" s="60">
        <f t="shared" si="0"/>
        <v>19975</v>
      </c>
      <c r="P10" s="55" t="s">
        <v>3499</v>
      </c>
    </row>
    <row r="11" spans="1:16" s="61" customFormat="1" x14ac:dyDescent="0.25">
      <c r="A11" s="55" t="s">
        <v>3500</v>
      </c>
      <c r="B11" s="56">
        <v>46121</v>
      </c>
      <c r="C11" s="56">
        <v>46127</v>
      </c>
      <c r="D11" s="55">
        <v>3271</v>
      </c>
      <c r="E11" s="55">
        <v>336</v>
      </c>
      <c r="F11" s="55">
        <v>4</v>
      </c>
      <c r="G11" s="55">
        <v>6</v>
      </c>
      <c r="H11" s="55">
        <v>4953</v>
      </c>
      <c r="I11" s="55" t="s">
        <v>543</v>
      </c>
      <c r="J11" s="55">
        <v>19104444</v>
      </c>
      <c r="K11" s="55" t="s">
        <v>1117</v>
      </c>
      <c r="L11" s="55" t="s">
        <v>1119</v>
      </c>
      <c r="M11" s="60">
        <v>79900</v>
      </c>
      <c r="N11" s="62">
        <v>0.75</v>
      </c>
      <c r="O11" s="60">
        <f t="shared" si="0"/>
        <v>19975</v>
      </c>
      <c r="P11" s="55" t="s">
        <v>3499</v>
      </c>
    </row>
    <row r="12" spans="1:16" s="61" customFormat="1" x14ac:dyDescent="0.25">
      <c r="A12" s="55" t="s">
        <v>3500</v>
      </c>
      <c r="B12" s="56">
        <v>46121</v>
      </c>
      <c r="C12" s="56">
        <v>46127</v>
      </c>
      <c r="D12" s="55">
        <v>3271</v>
      </c>
      <c r="E12" s="55">
        <v>336</v>
      </c>
      <c r="F12" s="55">
        <v>4</v>
      </c>
      <c r="G12" s="55">
        <v>6</v>
      </c>
      <c r="H12" s="55">
        <v>4953</v>
      </c>
      <c r="I12" s="55" t="s">
        <v>543</v>
      </c>
      <c r="J12" s="55">
        <v>19104453</v>
      </c>
      <c r="K12" s="55" t="s">
        <v>1117</v>
      </c>
      <c r="L12" s="55" t="s">
        <v>1120</v>
      </c>
      <c r="M12" s="60">
        <v>79900</v>
      </c>
      <c r="N12" s="62">
        <v>0.75</v>
      </c>
      <c r="O12" s="60">
        <f t="shared" si="0"/>
        <v>19975</v>
      </c>
      <c r="P12" s="55" t="s">
        <v>3499</v>
      </c>
    </row>
    <row r="13" spans="1:16" s="61" customFormat="1" x14ac:dyDescent="0.25">
      <c r="A13" s="55" t="s">
        <v>3500</v>
      </c>
      <c r="B13" s="56">
        <v>46121</v>
      </c>
      <c r="C13" s="56">
        <v>46127</v>
      </c>
      <c r="D13" s="55">
        <v>3271</v>
      </c>
      <c r="E13" s="55">
        <v>336</v>
      </c>
      <c r="F13" s="55">
        <v>4</v>
      </c>
      <c r="G13" s="55">
        <v>6</v>
      </c>
      <c r="H13" s="55">
        <v>4953</v>
      </c>
      <c r="I13" s="55" t="s">
        <v>543</v>
      </c>
      <c r="J13" s="55">
        <v>19104462</v>
      </c>
      <c r="K13" s="55" t="s">
        <v>1117</v>
      </c>
      <c r="L13" s="55" t="s">
        <v>1121</v>
      </c>
      <c r="M13" s="60">
        <v>79900</v>
      </c>
      <c r="N13" s="62">
        <v>0.75</v>
      </c>
      <c r="O13" s="60">
        <f t="shared" si="0"/>
        <v>19975</v>
      </c>
      <c r="P13" s="55" t="s">
        <v>3499</v>
      </c>
    </row>
    <row r="14" spans="1:16" s="61" customFormat="1" x14ac:dyDescent="0.25">
      <c r="A14" s="55" t="s">
        <v>3500</v>
      </c>
      <c r="B14" s="56">
        <v>46121</v>
      </c>
      <c r="C14" s="56">
        <v>46127</v>
      </c>
      <c r="D14" s="55">
        <v>3271</v>
      </c>
      <c r="E14" s="55">
        <v>336</v>
      </c>
      <c r="F14" s="55">
        <v>4</v>
      </c>
      <c r="G14" s="55">
        <v>6</v>
      </c>
      <c r="H14" s="55">
        <v>4953</v>
      </c>
      <c r="I14" s="55" t="s">
        <v>543</v>
      </c>
      <c r="J14" s="55">
        <v>19067548</v>
      </c>
      <c r="K14" s="55" t="s">
        <v>1122</v>
      </c>
      <c r="L14" s="55" t="s">
        <v>1123</v>
      </c>
      <c r="M14" s="60">
        <v>79900</v>
      </c>
      <c r="N14" s="62">
        <v>0.75</v>
      </c>
      <c r="O14" s="60">
        <f t="shared" si="0"/>
        <v>19975</v>
      </c>
      <c r="P14" s="55" t="s">
        <v>3499</v>
      </c>
    </row>
    <row r="15" spans="1:16" s="61" customFormat="1" x14ac:dyDescent="0.25">
      <c r="A15" s="55" t="s">
        <v>3500</v>
      </c>
      <c r="B15" s="56">
        <v>46121</v>
      </c>
      <c r="C15" s="56">
        <v>46127</v>
      </c>
      <c r="D15" s="55">
        <v>3271</v>
      </c>
      <c r="E15" s="55">
        <v>336</v>
      </c>
      <c r="F15" s="55">
        <v>4</v>
      </c>
      <c r="G15" s="55">
        <v>6</v>
      </c>
      <c r="H15" s="55">
        <v>4953</v>
      </c>
      <c r="I15" s="55" t="s">
        <v>543</v>
      </c>
      <c r="J15" s="55">
        <v>19067557</v>
      </c>
      <c r="K15" s="55" t="s">
        <v>1122</v>
      </c>
      <c r="L15" s="55" t="s">
        <v>1124</v>
      </c>
      <c r="M15" s="60">
        <v>79900</v>
      </c>
      <c r="N15" s="62">
        <v>0.75</v>
      </c>
      <c r="O15" s="60">
        <f t="shared" si="0"/>
        <v>19975</v>
      </c>
      <c r="P15" s="55" t="s">
        <v>3499</v>
      </c>
    </row>
    <row r="16" spans="1:16" s="61" customFormat="1" x14ac:dyDescent="0.25">
      <c r="A16" s="55" t="s">
        <v>3500</v>
      </c>
      <c r="B16" s="56">
        <v>46121</v>
      </c>
      <c r="C16" s="56">
        <v>46127</v>
      </c>
      <c r="D16" s="55">
        <v>3271</v>
      </c>
      <c r="E16" s="55">
        <v>336</v>
      </c>
      <c r="F16" s="55">
        <v>4</v>
      </c>
      <c r="G16" s="55">
        <v>6</v>
      </c>
      <c r="H16" s="55">
        <v>4953</v>
      </c>
      <c r="I16" s="55" t="s">
        <v>543</v>
      </c>
      <c r="J16" s="55">
        <v>19067566</v>
      </c>
      <c r="K16" s="55" t="s">
        <v>1122</v>
      </c>
      <c r="L16" s="55" t="s">
        <v>1125</v>
      </c>
      <c r="M16" s="60">
        <v>79900</v>
      </c>
      <c r="N16" s="62">
        <v>0.75</v>
      </c>
      <c r="O16" s="60">
        <f t="shared" si="0"/>
        <v>19975</v>
      </c>
      <c r="P16" s="55" t="s">
        <v>3499</v>
      </c>
    </row>
    <row r="17" spans="1:16" s="61" customFormat="1" x14ac:dyDescent="0.25">
      <c r="A17" s="55" t="s">
        <v>3500</v>
      </c>
      <c r="B17" s="56">
        <v>46121</v>
      </c>
      <c r="C17" s="56">
        <v>46127</v>
      </c>
      <c r="D17" s="55">
        <v>3271</v>
      </c>
      <c r="E17" s="55">
        <v>336</v>
      </c>
      <c r="F17" s="55">
        <v>4</v>
      </c>
      <c r="G17" s="55">
        <v>6</v>
      </c>
      <c r="H17" s="55">
        <v>4953</v>
      </c>
      <c r="I17" s="55" t="s">
        <v>543</v>
      </c>
      <c r="J17" s="55">
        <v>19067575</v>
      </c>
      <c r="K17" s="55" t="s">
        <v>1122</v>
      </c>
      <c r="L17" s="55" t="s">
        <v>1126</v>
      </c>
      <c r="M17" s="60">
        <v>79900</v>
      </c>
      <c r="N17" s="62">
        <v>0.75</v>
      </c>
      <c r="O17" s="60">
        <f t="shared" si="0"/>
        <v>19975</v>
      </c>
      <c r="P17" s="55" t="s">
        <v>3499</v>
      </c>
    </row>
    <row r="18" spans="1:16" s="61" customFormat="1" x14ac:dyDescent="0.25">
      <c r="A18" s="55" t="s">
        <v>3500</v>
      </c>
      <c r="B18" s="56">
        <v>46121</v>
      </c>
      <c r="C18" s="56">
        <v>46127</v>
      </c>
      <c r="D18" s="55">
        <v>3271</v>
      </c>
      <c r="E18" s="55">
        <v>336</v>
      </c>
      <c r="F18" s="55">
        <v>4</v>
      </c>
      <c r="G18" s="55">
        <v>6</v>
      </c>
      <c r="H18" s="55">
        <v>81684</v>
      </c>
      <c r="I18" s="55" t="s">
        <v>543</v>
      </c>
      <c r="J18" s="55">
        <v>17458736</v>
      </c>
      <c r="K18" s="55" t="s">
        <v>1127</v>
      </c>
      <c r="L18" s="55" t="s">
        <v>1128</v>
      </c>
      <c r="M18" s="60">
        <v>79900</v>
      </c>
      <c r="N18" s="62">
        <v>0.75</v>
      </c>
      <c r="O18" s="60">
        <f t="shared" si="0"/>
        <v>19975</v>
      </c>
      <c r="P18" s="55" t="s">
        <v>3499</v>
      </c>
    </row>
    <row r="19" spans="1:16" s="61" customFormat="1" x14ac:dyDescent="0.25">
      <c r="A19" s="55" t="s">
        <v>3500</v>
      </c>
      <c r="B19" s="56">
        <v>46121</v>
      </c>
      <c r="C19" s="56">
        <v>46127</v>
      </c>
      <c r="D19" s="55">
        <v>3271</v>
      </c>
      <c r="E19" s="55">
        <v>336</v>
      </c>
      <c r="F19" s="55">
        <v>4</v>
      </c>
      <c r="G19" s="55">
        <v>6</v>
      </c>
      <c r="H19" s="55">
        <v>81684</v>
      </c>
      <c r="I19" s="55" t="s">
        <v>543</v>
      </c>
      <c r="J19" s="55">
        <v>17458745</v>
      </c>
      <c r="K19" s="55" t="s">
        <v>1127</v>
      </c>
      <c r="L19" s="55" t="s">
        <v>1129</v>
      </c>
      <c r="M19" s="60">
        <v>79900</v>
      </c>
      <c r="N19" s="62">
        <v>0.75</v>
      </c>
      <c r="O19" s="60">
        <f t="shared" si="0"/>
        <v>19975</v>
      </c>
      <c r="P19" s="55" t="s">
        <v>3499</v>
      </c>
    </row>
    <row r="20" spans="1:16" s="61" customFormat="1" x14ac:dyDescent="0.25">
      <c r="A20" s="55" t="s">
        <v>3500</v>
      </c>
      <c r="B20" s="56">
        <v>46121</v>
      </c>
      <c r="C20" s="56">
        <v>46127</v>
      </c>
      <c r="D20" s="55">
        <v>3271</v>
      </c>
      <c r="E20" s="55">
        <v>336</v>
      </c>
      <c r="F20" s="55">
        <v>4</v>
      </c>
      <c r="G20" s="55">
        <v>6</v>
      </c>
      <c r="H20" s="55">
        <v>81684</v>
      </c>
      <c r="I20" s="55" t="s">
        <v>543</v>
      </c>
      <c r="J20" s="55">
        <v>17458754</v>
      </c>
      <c r="K20" s="55" t="s">
        <v>1127</v>
      </c>
      <c r="L20" s="55" t="s">
        <v>1130</v>
      </c>
      <c r="M20" s="60">
        <v>79900</v>
      </c>
      <c r="N20" s="62">
        <v>0.75</v>
      </c>
      <c r="O20" s="60">
        <f t="shared" si="0"/>
        <v>19975</v>
      </c>
      <c r="P20" s="55" t="s">
        <v>3499</v>
      </c>
    </row>
    <row r="21" spans="1:16" s="61" customFormat="1" x14ac:dyDescent="0.25">
      <c r="A21" s="55" t="s">
        <v>3500</v>
      </c>
      <c r="B21" s="56">
        <v>46121</v>
      </c>
      <c r="C21" s="56">
        <v>46127</v>
      </c>
      <c r="D21" s="55">
        <v>3271</v>
      </c>
      <c r="E21" s="55">
        <v>336</v>
      </c>
      <c r="F21" s="55">
        <v>4</v>
      </c>
      <c r="G21" s="55">
        <v>6</v>
      </c>
      <c r="H21" s="55">
        <v>81684</v>
      </c>
      <c r="I21" s="55" t="s">
        <v>543</v>
      </c>
      <c r="J21" s="55">
        <v>17458763</v>
      </c>
      <c r="K21" s="55" t="s">
        <v>1127</v>
      </c>
      <c r="L21" s="55" t="s">
        <v>1131</v>
      </c>
      <c r="M21" s="60">
        <v>79900</v>
      </c>
      <c r="N21" s="62">
        <v>0.75</v>
      </c>
      <c r="O21" s="60">
        <f t="shared" si="0"/>
        <v>19975</v>
      </c>
      <c r="P21" s="55" t="s">
        <v>3499</v>
      </c>
    </row>
    <row r="22" spans="1:16" s="61" customFormat="1" x14ac:dyDescent="0.25">
      <c r="A22" s="55" t="s">
        <v>3500</v>
      </c>
      <c r="B22" s="56">
        <v>46121</v>
      </c>
      <c r="C22" s="56">
        <v>46127</v>
      </c>
      <c r="D22" s="55">
        <v>3271</v>
      </c>
      <c r="E22" s="55">
        <v>336</v>
      </c>
      <c r="F22" s="55">
        <v>4</v>
      </c>
      <c r="G22" s="55">
        <v>6</v>
      </c>
      <c r="H22" s="55">
        <v>81684</v>
      </c>
      <c r="I22" s="55" t="s">
        <v>543</v>
      </c>
      <c r="J22" s="55">
        <v>17458772</v>
      </c>
      <c r="K22" s="55" t="s">
        <v>1132</v>
      </c>
      <c r="L22" s="55" t="s">
        <v>1133</v>
      </c>
      <c r="M22" s="60">
        <v>79900</v>
      </c>
      <c r="N22" s="62">
        <v>0.75</v>
      </c>
      <c r="O22" s="60">
        <f t="shared" si="0"/>
        <v>19975</v>
      </c>
      <c r="P22" s="55" t="s">
        <v>3499</v>
      </c>
    </row>
    <row r="23" spans="1:16" s="61" customFormat="1" x14ac:dyDescent="0.25">
      <c r="A23" s="55" t="s">
        <v>3500</v>
      </c>
      <c r="B23" s="56">
        <v>46121</v>
      </c>
      <c r="C23" s="56">
        <v>46127</v>
      </c>
      <c r="D23" s="55">
        <v>3271</v>
      </c>
      <c r="E23" s="55">
        <v>336</v>
      </c>
      <c r="F23" s="55">
        <v>4</v>
      </c>
      <c r="G23" s="55">
        <v>6</v>
      </c>
      <c r="H23" s="55">
        <v>81684</v>
      </c>
      <c r="I23" s="55" t="s">
        <v>543</v>
      </c>
      <c r="J23" s="55">
        <v>17458781</v>
      </c>
      <c r="K23" s="55" t="s">
        <v>1132</v>
      </c>
      <c r="L23" s="55" t="s">
        <v>1134</v>
      </c>
      <c r="M23" s="60">
        <v>79900</v>
      </c>
      <c r="N23" s="62">
        <v>0.75</v>
      </c>
      <c r="O23" s="60">
        <f t="shared" si="0"/>
        <v>19975</v>
      </c>
      <c r="P23" s="55" t="s">
        <v>3499</v>
      </c>
    </row>
    <row r="24" spans="1:16" s="61" customFormat="1" x14ac:dyDescent="0.25">
      <c r="A24" s="55" t="s">
        <v>3500</v>
      </c>
      <c r="B24" s="56">
        <v>46121</v>
      </c>
      <c r="C24" s="56">
        <v>46127</v>
      </c>
      <c r="D24" s="55">
        <v>3271</v>
      </c>
      <c r="E24" s="55">
        <v>336</v>
      </c>
      <c r="F24" s="55">
        <v>4</v>
      </c>
      <c r="G24" s="55">
        <v>6</v>
      </c>
      <c r="H24" s="55">
        <v>81684</v>
      </c>
      <c r="I24" s="55" t="s">
        <v>543</v>
      </c>
      <c r="J24" s="55">
        <v>17458790</v>
      </c>
      <c r="K24" s="55" t="s">
        <v>1132</v>
      </c>
      <c r="L24" s="55" t="s">
        <v>1135</v>
      </c>
      <c r="M24" s="60">
        <v>79900</v>
      </c>
      <c r="N24" s="62">
        <v>0.75</v>
      </c>
      <c r="O24" s="60">
        <f t="shared" si="0"/>
        <v>19975</v>
      </c>
      <c r="P24" s="55" t="s">
        <v>3499</v>
      </c>
    </row>
    <row r="25" spans="1:16" s="61" customFormat="1" x14ac:dyDescent="0.25">
      <c r="A25" s="55" t="s">
        <v>3500</v>
      </c>
      <c r="B25" s="56">
        <v>46121</v>
      </c>
      <c r="C25" s="56">
        <v>46127</v>
      </c>
      <c r="D25" s="55">
        <v>3271</v>
      </c>
      <c r="E25" s="55">
        <v>336</v>
      </c>
      <c r="F25" s="55">
        <v>4</v>
      </c>
      <c r="G25" s="55">
        <v>6</v>
      </c>
      <c r="H25" s="55">
        <v>81684</v>
      </c>
      <c r="I25" s="55" t="s">
        <v>543</v>
      </c>
      <c r="J25" s="55">
        <v>17458807</v>
      </c>
      <c r="K25" s="55" t="s">
        <v>1132</v>
      </c>
      <c r="L25" s="55" t="s">
        <v>1136</v>
      </c>
      <c r="M25" s="60">
        <v>79900</v>
      </c>
      <c r="N25" s="62">
        <v>0.75</v>
      </c>
      <c r="O25" s="60">
        <f t="shared" si="0"/>
        <v>19975</v>
      </c>
      <c r="P25" s="55" t="s">
        <v>3499</v>
      </c>
    </row>
    <row r="26" spans="1:16" s="61" customFormat="1" x14ac:dyDescent="0.25">
      <c r="A26" s="55" t="s">
        <v>3500</v>
      </c>
      <c r="B26" s="56">
        <v>46121</v>
      </c>
      <c r="C26" s="56">
        <v>46127</v>
      </c>
      <c r="D26" s="55">
        <v>3271</v>
      </c>
      <c r="E26" s="55">
        <v>336</v>
      </c>
      <c r="F26" s="55">
        <v>4</v>
      </c>
      <c r="G26" s="55">
        <v>6</v>
      </c>
      <c r="H26" s="55">
        <v>81684</v>
      </c>
      <c r="I26" s="55" t="s">
        <v>543</v>
      </c>
      <c r="J26" s="55">
        <v>18738388</v>
      </c>
      <c r="K26" s="55" t="s">
        <v>1137</v>
      </c>
      <c r="L26" s="55" t="s">
        <v>1138</v>
      </c>
      <c r="M26" s="60">
        <v>79900</v>
      </c>
      <c r="N26" s="62">
        <v>0.75</v>
      </c>
      <c r="O26" s="60">
        <f t="shared" si="0"/>
        <v>19975</v>
      </c>
      <c r="P26" s="55" t="s">
        <v>3499</v>
      </c>
    </row>
    <row r="27" spans="1:16" s="61" customFormat="1" x14ac:dyDescent="0.25">
      <c r="A27" s="55" t="s">
        <v>3500</v>
      </c>
      <c r="B27" s="56">
        <v>46121</v>
      </c>
      <c r="C27" s="56">
        <v>46127</v>
      </c>
      <c r="D27" s="55">
        <v>3271</v>
      </c>
      <c r="E27" s="55">
        <v>336</v>
      </c>
      <c r="F27" s="55">
        <v>4</v>
      </c>
      <c r="G27" s="55">
        <v>6</v>
      </c>
      <c r="H27" s="55">
        <v>81684</v>
      </c>
      <c r="I27" s="55" t="s">
        <v>543</v>
      </c>
      <c r="J27" s="55">
        <v>18738422</v>
      </c>
      <c r="K27" s="55" t="s">
        <v>1137</v>
      </c>
      <c r="L27" s="55" t="s">
        <v>1139</v>
      </c>
      <c r="M27" s="60">
        <v>79900</v>
      </c>
      <c r="N27" s="62">
        <v>0.75</v>
      </c>
      <c r="O27" s="60">
        <f t="shared" si="0"/>
        <v>19975</v>
      </c>
      <c r="P27" s="55" t="s">
        <v>3499</v>
      </c>
    </row>
    <row r="28" spans="1:16" s="61" customFormat="1" x14ac:dyDescent="0.25">
      <c r="A28" s="55" t="s">
        <v>3500</v>
      </c>
      <c r="B28" s="56">
        <v>46121</v>
      </c>
      <c r="C28" s="56">
        <v>46127</v>
      </c>
      <c r="D28" s="55">
        <v>3271</v>
      </c>
      <c r="E28" s="55">
        <v>336</v>
      </c>
      <c r="F28" s="55">
        <v>4</v>
      </c>
      <c r="G28" s="55">
        <v>6</v>
      </c>
      <c r="H28" s="55">
        <v>81684</v>
      </c>
      <c r="I28" s="55" t="s">
        <v>543</v>
      </c>
      <c r="J28" s="55">
        <v>18738431</v>
      </c>
      <c r="K28" s="55" t="s">
        <v>1137</v>
      </c>
      <c r="L28" s="55" t="s">
        <v>1140</v>
      </c>
      <c r="M28" s="60">
        <v>79900</v>
      </c>
      <c r="N28" s="62">
        <v>0.75</v>
      </c>
      <c r="O28" s="60">
        <f t="shared" si="0"/>
        <v>19975</v>
      </c>
      <c r="P28" s="55" t="s">
        <v>3499</v>
      </c>
    </row>
    <row r="29" spans="1:16" s="61" customFormat="1" x14ac:dyDescent="0.25">
      <c r="A29" s="55" t="s">
        <v>3500</v>
      </c>
      <c r="B29" s="56">
        <v>46121</v>
      </c>
      <c r="C29" s="56">
        <v>46127</v>
      </c>
      <c r="D29" s="55">
        <v>3271</v>
      </c>
      <c r="E29" s="55">
        <v>336</v>
      </c>
      <c r="F29" s="55">
        <v>4</v>
      </c>
      <c r="G29" s="55">
        <v>6</v>
      </c>
      <c r="H29" s="55">
        <v>81684</v>
      </c>
      <c r="I29" s="55" t="s">
        <v>543</v>
      </c>
      <c r="J29" s="55">
        <v>18738440</v>
      </c>
      <c r="K29" s="55" t="s">
        <v>1137</v>
      </c>
      <c r="L29" s="55" t="s">
        <v>1141</v>
      </c>
      <c r="M29" s="60">
        <v>79900</v>
      </c>
      <c r="N29" s="62">
        <v>0.75</v>
      </c>
      <c r="O29" s="60">
        <f t="shared" si="0"/>
        <v>19975</v>
      </c>
      <c r="P29" s="55" t="s">
        <v>3499</v>
      </c>
    </row>
    <row r="30" spans="1:16" s="61" customFormat="1" x14ac:dyDescent="0.25">
      <c r="A30" s="55" t="s">
        <v>3500</v>
      </c>
      <c r="B30" s="56">
        <v>46121</v>
      </c>
      <c r="C30" s="56">
        <v>46127</v>
      </c>
      <c r="D30" s="55">
        <v>3271</v>
      </c>
      <c r="E30" s="55">
        <v>336</v>
      </c>
      <c r="F30" s="55">
        <v>4</v>
      </c>
      <c r="G30" s="55">
        <v>6</v>
      </c>
      <c r="H30" s="55">
        <v>81684</v>
      </c>
      <c r="I30" s="55" t="s">
        <v>543</v>
      </c>
      <c r="J30" s="55">
        <v>17458852</v>
      </c>
      <c r="K30" s="55" t="s">
        <v>1142</v>
      </c>
      <c r="L30" s="55" t="s">
        <v>1143</v>
      </c>
      <c r="M30" s="60">
        <v>79900</v>
      </c>
      <c r="N30" s="62">
        <v>0.75</v>
      </c>
      <c r="O30" s="60">
        <f t="shared" si="0"/>
        <v>19975</v>
      </c>
      <c r="P30" s="55" t="s">
        <v>3499</v>
      </c>
    </row>
    <row r="31" spans="1:16" s="61" customFormat="1" x14ac:dyDescent="0.25">
      <c r="A31" s="55" t="s">
        <v>3500</v>
      </c>
      <c r="B31" s="56">
        <v>46121</v>
      </c>
      <c r="C31" s="56">
        <v>46127</v>
      </c>
      <c r="D31" s="55">
        <v>3271</v>
      </c>
      <c r="E31" s="55">
        <v>336</v>
      </c>
      <c r="F31" s="55">
        <v>4</v>
      </c>
      <c r="G31" s="55">
        <v>6</v>
      </c>
      <c r="H31" s="55">
        <v>81684</v>
      </c>
      <c r="I31" s="55" t="s">
        <v>543</v>
      </c>
      <c r="J31" s="55">
        <v>17458861</v>
      </c>
      <c r="K31" s="55" t="s">
        <v>1142</v>
      </c>
      <c r="L31" s="55" t="s">
        <v>1144</v>
      </c>
      <c r="M31" s="60">
        <v>79900</v>
      </c>
      <c r="N31" s="62">
        <v>0.75</v>
      </c>
      <c r="O31" s="60">
        <f t="shared" si="0"/>
        <v>19975</v>
      </c>
      <c r="P31" s="55" t="s">
        <v>3499</v>
      </c>
    </row>
    <row r="32" spans="1:16" s="61" customFormat="1" x14ac:dyDescent="0.25">
      <c r="A32" s="55" t="s">
        <v>3500</v>
      </c>
      <c r="B32" s="56">
        <v>46121</v>
      </c>
      <c r="C32" s="56">
        <v>46127</v>
      </c>
      <c r="D32" s="55">
        <v>3271</v>
      </c>
      <c r="E32" s="55">
        <v>336</v>
      </c>
      <c r="F32" s="55">
        <v>4</v>
      </c>
      <c r="G32" s="55">
        <v>6</v>
      </c>
      <c r="H32" s="55">
        <v>81684</v>
      </c>
      <c r="I32" s="55" t="s">
        <v>543</v>
      </c>
      <c r="J32" s="55">
        <v>17458870</v>
      </c>
      <c r="K32" s="55" t="s">
        <v>1142</v>
      </c>
      <c r="L32" s="55" t="s">
        <v>1145</v>
      </c>
      <c r="M32" s="60">
        <v>79900</v>
      </c>
      <c r="N32" s="62">
        <v>0.75</v>
      </c>
      <c r="O32" s="60">
        <f t="shared" si="0"/>
        <v>19975</v>
      </c>
      <c r="P32" s="55" t="s">
        <v>3499</v>
      </c>
    </row>
    <row r="33" spans="1:16" s="61" customFormat="1" x14ac:dyDescent="0.25">
      <c r="A33" s="55" t="s">
        <v>3500</v>
      </c>
      <c r="B33" s="56">
        <v>46121</v>
      </c>
      <c r="C33" s="56">
        <v>46127</v>
      </c>
      <c r="D33" s="55">
        <v>3271</v>
      </c>
      <c r="E33" s="55">
        <v>336</v>
      </c>
      <c r="F33" s="55">
        <v>4</v>
      </c>
      <c r="G33" s="55">
        <v>6</v>
      </c>
      <c r="H33" s="55">
        <v>81684</v>
      </c>
      <c r="I33" s="55" t="s">
        <v>543</v>
      </c>
      <c r="J33" s="55">
        <v>17458889</v>
      </c>
      <c r="K33" s="55" t="s">
        <v>1142</v>
      </c>
      <c r="L33" s="55" t="s">
        <v>1146</v>
      </c>
      <c r="M33" s="60">
        <v>79900</v>
      </c>
      <c r="N33" s="62">
        <v>0.75</v>
      </c>
      <c r="O33" s="60">
        <f t="shared" si="0"/>
        <v>19975</v>
      </c>
      <c r="P33" s="55" t="s">
        <v>3499</v>
      </c>
    </row>
    <row r="34" spans="1:16" s="61" customFormat="1" x14ac:dyDescent="0.25">
      <c r="A34" s="55" t="s">
        <v>3500</v>
      </c>
      <c r="B34" s="56">
        <v>46121</v>
      </c>
      <c r="C34" s="56">
        <v>46127</v>
      </c>
      <c r="D34" s="55">
        <v>3271</v>
      </c>
      <c r="E34" s="55">
        <v>336</v>
      </c>
      <c r="F34" s="55">
        <v>4</v>
      </c>
      <c r="G34" s="55">
        <v>6</v>
      </c>
      <c r="H34" s="55">
        <v>81684</v>
      </c>
      <c r="I34" s="55" t="s">
        <v>543</v>
      </c>
      <c r="J34" s="55">
        <v>19067244</v>
      </c>
      <c r="K34" s="55" t="s">
        <v>1147</v>
      </c>
      <c r="L34" s="55" t="s">
        <v>1148</v>
      </c>
      <c r="M34" s="60">
        <v>79900</v>
      </c>
      <c r="N34" s="62">
        <v>0.75</v>
      </c>
      <c r="O34" s="60">
        <f t="shared" ref="O34:O65" si="1">M34-((75*M34)/100)</f>
        <v>19975</v>
      </c>
      <c r="P34" s="55" t="s">
        <v>3499</v>
      </c>
    </row>
    <row r="35" spans="1:16" s="61" customFormat="1" x14ac:dyDescent="0.25">
      <c r="A35" s="55" t="s">
        <v>3500</v>
      </c>
      <c r="B35" s="56">
        <v>46121</v>
      </c>
      <c r="C35" s="56">
        <v>46127</v>
      </c>
      <c r="D35" s="55">
        <v>3271</v>
      </c>
      <c r="E35" s="55">
        <v>336</v>
      </c>
      <c r="F35" s="55">
        <v>4</v>
      </c>
      <c r="G35" s="55">
        <v>6</v>
      </c>
      <c r="H35" s="55">
        <v>81684</v>
      </c>
      <c r="I35" s="55" t="s">
        <v>543</v>
      </c>
      <c r="J35" s="55">
        <v>19067253</v>
      </c>
      <c r="K35" s="55" t="s">
        <v>1147</v>
      </c>
      <c r="L35" s="55" t="s">
        <v>1149</v>
      </c>
      <c r="M35" s="60">
        <v>79900</v>
      </c>
      <c r="N35" s="62">
        <v>0.75</v>
      </c>
      <c r="O35" s="60">
        <f t="shared" si="1"/>
        <v>19975</v>
      </c>
      <c r="P35" s="55" t="s">
        <v>3499</v>
      </c>
    </row>
    <row r="36" spans="1:16" s="61" customFormat="1" x14ac:dyDescent="0.25">
      <c r="A36" s="55" t="s">
        <v>3500</v>
      </c>
      <c r="B36" s="56">
        <v>46121</v>
      </c>
      <c r="C36" s="56">
        <v>46127</v>
      </c>
      <c r="D36" s="55">
        <v>3271</v>
      </c>
      <c r="E36" s="55">
        <v>336</v>
      </c>
      <c r="F36" s="55">
        <v>4</v>
      </c>
      <c r="G36" s="55">
        <v>6</v>
      </c>
      <c r="H36" s="55">
        <v>81684</v>
      </c>
      <c r="I36" s="55" t="s">
        <v>543</v>
      </c>
      <c r="J36" s="55">
        <v>19067271</v>
      </c>
      <c r="K36" s="55" t="s">
        <v>1147</v>
      </c>
      <c r="L36" s="55" t="s">
        <v>1150</v>
      </c>
      <c r="M36" s="60">
        <v>79900</v>
      </c>
      <c r="N36" s="62">
        <v>0.75</v>
      </c>
      <c r="O36" s="60">
        <f t="shared" si="1"/>
        <v>19975</v>
      </c>
      <c r="P36" s="55" t="s">
        <v>3499</v>
      </c>
    </row>
    <row r="37" spans="1:16" s="61" customFormat="1" x14ac:dyDescent="0.25">
      <c r="A37" s="55" t="s">
        <v>3500</v>
      </c>
      <c r="B37" s="56">
        <v>46121</v>
      </c>
      <c r="C37" s="56">
        <v>46127</v>
      </c>
      <c r="D37" s="55">
        <v>3271</v>
      </c>
      <c r="E37" s="55">
        <v>336</v>
      </c>
      <c r="F37" s="55">
        <v>4</v>
      </c>
      <c r="G37" s="55">
        <v>6</v>
      </c>
      <c r="H37" s="55">
        <v>81684</v>
      </c>
      <c r="I37" s="55" t="s">
        <v>543</v>
      </c>
      <c r="J37" s="55">
        <v>19067299</v>
      </c>
      <c r="K37" s="55" t="s">
        <v>1147</v>
      </c>
      <c r="L37" s="55" t="s">
        <v>1151</v>
      </c>
      <c r="M37" s="60">
        <v>79900</v>
      </c>
      <c r="N37" s="62">
        <v>0.75</v>
      </c>
      <c r="O37" s="60">
        <f t="shared" si="1"/>
        <v>19975</v>
      </c>
      <c r="P37" s="55" t="s">
        <v>3499</v>
      </c>
    </row>
    <row r="38" spans="1:16" s="61" customFormat="1" x14ac:dyDescent="0.25">
      <c r="A38" s="55" t="s">
        <v>3500</v>
      </c>
      <c r="B38" s="56">
        <v>46121</v>
      </c>
      <c r="C38" s="56">
        <v>46127</v>
      </c>
      <c r="D38" s="55">
        <v>3271</v>
      </c>
      <c r="E38" s="55">
        <v>336</v>
      </c>
      <c r="F38" s="55">
        <v>4</v>
      </c>
      <c r="G38" s="55">
        <v>6</v>
      </c>
      <c r="H38" s="55">
        <v>81684</v>
      </c>
      <c r="I38" s="55" t="s">
        <v>543</v>
      </c>
      <c r="J38" s="55">
        <v>19067342</v>
      </c>
      <c r="K38" s="55" t="s">
        <v>1152</v>
      </c>
      <c r="L38" s="55" t="s">
        <v>1153</v>
      </c>
      <c r="M38" s="60">
        <v>79900</v>
      </c>
      <c r="N38" s="62">
        <v>0.75</v>
      </c>
      <c r="O38" s="60">
        <f t="shared" si="1"/>
        <v>19975</v>
      </c>
      <c r="P38" s="55" t="s">
        <v>3499</v>
      </c>
    </row>
    <row r="39" spans="1:16" s="61" customFormat="1" x14ac:dyDescent="0.25">
      <c r="A39" s="55" t="s">
        <v>3500</v>
      </c>
      <c r="B39" s="56">
        <v>46121</v>
      </c>
      <c r="C39" s="56">
        <v>46127</v>
      </c>
      <c r="D39" s="55">
        <v>3271</v>
      </c>
      <c r="E39" s="55">
        <v>336</v>
      </c>
      <c r="F39" s="55">
        <v>4</v>
      </c>
      <c r="G39" s="55">
        <v>6</v>
      </c>
      <c r="H39" s="55">
        <v>81684</v>
      </c>
      <c r="I39" s="55" t="s">
        <v>543</v>
      </c>
      <c r="J39" s="55">
        <v>19067351</v>
      </c>
      <c r="K39" s="55" t="s">
        <v>1152</v>
      </c>
      <c r="L39" s="55" t="s">
        <v>1154</v>
      </c>
      <c r="M39" s="60">
        <v>79900</v>
      </c>
      <c r="N39" s="62">
        <v>0.75</v>
      </c>
      <c r="O39" s="60">
        <f t="shared" si="1"/>
        <v>19975</v>
      </c>
      <c r="P39" s="55" t="s">
        <v>3499</v>
      </c>
    </row>
    <row r="40" spans="1:16" s="61" customFormat="1" x14ac:dyDescent="0.25">
      <c r="A40" s="55" t="s">
        <v>3500</v>
      </c>
      <c r="B40" s="56">
        <v>46121</v>
      </c>
      <c r="C40" s="56">
        <v>46127</v>
      </c>
      <c r="D40" s="55">
        <v>3271</v>
      </c>
      <c r="E40" s="55">
        <v>336</v>
      </c>
      <c r="F40" s="55">
        <v>4</v>
      </c>
      <c r="G40" s="55">
        <v>6</v>
      </c>
      <c r="H40" s="55">
        <v>81684</v>
      </c>
      <c r="I40" s="55" t="s">
        <v>543</v>
      </c>
      <c r="J40" s="55">
        <v>19067360</v>
      </c>
      <c r="K40" s="55" t="s">
        <v>1152</v>
      </c>
      <c r="L40" s="55" t="s">
        <v>1155</v>
      </c>
      <c r="M40" s="60">
        <v>79900</v>
      </c>
      <c r="N40" s="62">
        <v>0.75</v>
      </c>
      <c r="O40" s="60">
        <f t="shared" si="1"/>
        <v>19975</v>
      </c>
      <c r="P40" s="55" t="s">
        <v>3499</v>
      </c>
    </row>
    <row r="41" spans="1:16" s="61" customFormat="1" x14ac:dyDescent="0.25">
      <c r="A41" s="55" t="s">
        <v>3500</v>
      </c>
      <c r="B41" s="56">
        <v>46121</v>
      </c>
      <c r="C41" s="56">
        <v>46127</v>
      </c>
      <c r="D41" s="55">
        <v>3271</v>
      </c>
      <c r="E41" s="55">
        <v>336</v>
      </c>
      <c r="F41" s="55">
        <v>4</v>
      </c>
      <c r="G41" s="55">
        <v>6</v>
      </c>
      <c r="H41" s="55">
        <v>81684</v>
      </c>
      <c r="I41" s="55" t="s">
        <v>543</v>
      </c>
      <c r="J41" s="55">
        <v>19067379</v>
      </c>
      <c r="K41" s="55" t="s">
        <v>1152</v>
      </c>
      <c r="L41" s="55" t="s">
        <v>1156</v>
      </c>
      <c r="M41" s="60">
        <v>79900</v>
      </c>
      <c r="N41" s="62">
        <v>0.75</v>
      </c>
      <c r="O41" s="60">
        <f t="shared" si="1"/>
        <v>19975</v>
      </c>
      <c r="P41" s="55" t="s">
        <v>3499</v>
      </c>
    </row>
    <row r="42" spans="1:16" s="61" customFormat="1" x14ac:dyDescent="0.25">
      <c r="A42" s="55" t="s">
        <v>3500</v>
      </c>
      <c r="B42" s="56">
        <v>46121</v>
      </c>
      <c r="C42" s="56">
        <v>46127</v>
      </c>
      <c r="D42" s="55">
        <v>3271</v>
      </c>
      <c r="E42" s="55">
        <v>336</v>
      </c>
      <c r="F42" s="55">
        <v>4</v>
      </c>
      <c r="G42" s="55">
        <v>6</v>
      </c>
      <c r="H42" s="55">
        <v>81684</v>
      </c>
      <c r="I42" s="55" t="s">
        <v>543</v>
      </c>
      <c r="J42" s="55">
        <v>19067388</v>
      </c>
      <c r="K42" s="55" t="s">
        <v>1157</v>
      </c>
      <c r="L42" s="55" t="s">
        <v>1158</v>
      </c>
      <c r="M42" s="60">
        <v>79900</v>
      </c>
      <c r="N42" s="62">
        <v>0.75</v>
      </c>
      <c r="O42" s="60">
        <f t="shared" si="1"/>
        <v>19975</v>
      </c>
      <c r="P42" s="55" t="s">
        <v>3499</v>
      </c>
    </row>
    <row r="43" spans="1:16" s="61" customFormat="1" x14ac:dyDescent="0.25">
      <c r="A43" s="55" t="s">
        <v>3500</v>
      </c>
      <c r="B43" s="56">
        <v>46121</v>
      </c>
      <c r="C43" s="56">
        <v>46127</v>
      </c>
      <c r="D43" s="55">
        <v>3271</v>
      </c>
      <c r="E43" s="55">
        <v>336</v>
      </c>
      <c r="F43" s="55">
        <v>4</v>
      </c>
      <c r="G43" s="55">
        <v>6</v>
      </c>
      <c r="H43" s="55">
        <v>81684</v>
      </c>
      <c r="I43" s="55" t="s">
        <v>543</v>
      </c>
      <c r="J43" s="55">
        <v>19067397</v>
      </c>
      <c r="K43" s="55" t="s">
        <v>1157</v>
      </c>
      <c r="L43" s="55" t="s">
        <v>1159</v>
      </c>
      <c r="M43" s="60">
        <v>79900</v>
      </c>
      <c r="N43" s="62">
        <v>0.75</v>
      </c>
      <c r="O43" s="60">
        <f t="shared" si="1"/>
        <v>19975</v>
      </c>
      <c r="P43" s="55" t="s">
        <v>3499</v>
      </c>
    </row>
    <row r="44" spans="1:16" s="61" customFormat="1" x14ac:dyDescent="0.25">
      <c r="A44" s="55" t="s">
        <v>3500</v>
      </c>
      <c r="B44" s="56">
        <v>46121</v>
      </c>
      <c r="C44" s="56">
        <v>46127</v>
      </c>
      <c r="D44" s="55">
        <v>3271</v>
      </c>
      <c r="E44" s="55">
        <v>336</v>
      </c>
      <c r="F44" s="55">
        <v>4</v>
      </c>
      <c r="G44" s="55">
        <v>6</v>
      </c>
      <c r="H44" s="55">
        <v>81684</v>
      </c>
      <c r="I44" s="55" t="s">
        <v>543</v>
      </c>
      <c r="J44" s="55">
        <v>19067404</v>
      </c>
      <c r="K44" s="55" t="s">
        <v>1157</v>
      </c>
      <c r="L44" s="55" t="s">
        <v>1160</v>
      </c>
      <c r="M44" s="60">
        <v>79900</v>
      </c>
      <c r="N44" s="62">
        <v>0.75</v>
      </c>
      <c r="O44" s="60">
        <f t="shared" si="1"/>
        <v>19975</v>
      </c>
      <c r="P44" s="55" t="s">
        <v>3499</v>
      </c>
    </row>
    <row r="45" spans="1:16" s="61" customFormat="1" x14ac:dyDescent="0.25">
      <c r="A45" s="55" t="s">
        <v>3500</v>
      </c>
      <c r="B45" s="56">
        <v>46121</v>
      </c>
      <c r="C45" s="56">
        <v>46127</v>
      </c>
      <c r="D45" s="55">
        <v>3271</v>
      </c>
      <c r="E45" s="55">
        <v>336</v>
      </c>
      <c r="F45" s="55">
        <v>4</v>
      </c>
      <c r="G45" s="55">
        <v>6</v>
      </c>
      <c r="H45" s="55">
        <v>81684</v>
      </c>
      <c r="I45" s="55" t="s">
        <v>543</v>
      </c>
      <c r="J45" s="55">
        <v>19067413</v>
      </c>
      <c r="K45" s="55" t="s">
        <v>1157</v>
      </c>
      <c r="L45" s="55" t="s">
        <v>1161</v>
      </c>
      <c r="M45" s="60">
        <v>79900</v>
      </c>
      <c r="N45" s="62">
        <v>0.75</v>
      </c>
      <c r="O45" s="60">
        <f t="shared" si="1"/>
        <v>19975</v>
      </c>
      <c r="P45" s="55" t="s">
        <v>3499</v>
      </c>
    </row>
    <row r="46" spans="1:16" s="61" customFormat="1" x14ac:dyDescent="0.25">
      <c r="A46" s="55" t="s">
        <v>3500</v>
      </c>
      <c r="B46" s="56">
        <v>46121</v>
      </c>
      <c r="C46" s="56">
        <v>46127</v>
      </c>
      <c r="D46" s="55">
        <v>3271</v>
      </c>
      <c r="E46" s="55">
        <v>336</v>
      </c>
      <c r="F46" s="55">
        <v>4</v>
      </c>
      <c r="G46" s="55">
        <v>6</v>
      </c>
      <c r="H46" s="55">
        <v>81684</v>
      </c>
      <c r="I46" s="55" t="s">
        <v>543</v>
      </c>
      <c r="J46" s="55">
        <v>19067422</v>
      </c>
      <c r="K46" s="55" t="s">
        <v>1162</v>
      </c>
      <c r="L46" s="55" t="s">
        <v>1163</v>
      </c>
      <c r="M46" s="60">
        <v>79900</v>
      </c>
      <c r="N46" s="62">
        <v>0.75</v>
      </c>
      <c r="O46" s="60">
        <f t="shared" si="1"/>
        <v>19975</v>
      </c>
      <c r="P46" s="55" t="s">
        <v>3499</v>
      </c>
    </row>
    <row r="47" spans="1:16" s="61" customFormat="1" x14ac:dyDescent="0.25">
      <c r="A47" s="55" t="s">
        <v>3500</v>
      </c>
      <c r="B47" s="56">
        <v>46121</v>
      </c>
      <c r="C47" s="56">
        <v>46127</v>
      </c>
      <c r="D47" s="55">
        <v>3271</v>
      </c>
      <c r="E47" s="55">
        <v>336</v>
      </c>
      <c r="F47" s="55">
        <v>4</v>
      </c>
      <c r="G47" s="55">
        <v>6</v>
      </c>
      <c r="H47" s="55">
        <v>81684</v>
      </c>
      <c r="I47" s="55" t="s">
        <v>543</v>
      </c>
      <c r="J47" s="55">
        <v>19067431</v>
      </c>
      <c r="K47" s="55" t="s">
        <v>1162</v>
      </c>
      <c r="L47" s="55" t="s">
        <v>1164</v>
      </c>
      <c r="M47" s="60">
        <v>79900</v>
      </c>
      <c r="N47" s="62">
        <v>0.75</v>
      </c>
      <c r="O47" s="60">
        <f t="shared" si="1"/>
        <v>19975</v>
      </c>
      <c r="P47" s="55" t="s">
        <v>3499</v>
      </c>
    </row>
    <row r="48" spans="1:16" s="61" customFormat="1" x14ac:dyDescent="0.25">
      <c r="A48" s="55" t="s">
        <v>3500</v>
      </c>
      <c r="B48" s="56">
        <v>46121</v>
      </c>
      <c r="C48" s="56">
        <v>46127</v>
      </c>
      <c r="D48" s="55">
        <v>3271</v>
      </c>
      <c r="E48" s="55">
        <v>336</v>
      </c>
      <c r="F48" s="55">
        <v>4</v>
      </c>
      <c r="G48" s="55">
        <v>6</v>
      </c>
      <c r="H48" s="55">
        <v>81684</v>
      </c>
      <c r="I48" s="55" t="s">
        <v>543</v>
      </c>
      <c r="J48" s="55">
        <v>19067440</v>
      </c>
      <c r="K48" s="55" t="s">
        <v>1162</v>
      </c>
      <c r="L48" s="55" t="s">
        <v>1165</v>
      </c>
      <c r="M48" s="60">
        <v>79900</v>
      </c>
      <c r="N48" s="62">
        <v>0.75</v>
      </c>
      <c r="O48" s="60">
        <f t="shared" si="1"/>
        <v>19975</v>
      </c>
      <c r="P48" s="55" t="s">
        <v>3499</v>
      </c>
    </row>
    <row r="49" spans="1:16" s="61" customFormat="1" x14ac:dyDescent="0.25">
      <c r="A49" s="55" t="s">
        <v>3500</v>
      </c>
      <c r="B49" s="56">
        <v>46121</v>
      </c>
      <c r="C49" s="56">
        <v>46127</v>
      </c>
      <c r="D49" s="55">
        <v>3271</v>
      </c>
      <c r="E49" s="55">
        <v>336</v>
      </c>
      <c r="F49" s="55">
        <v>4</v>
      </c>
      <c r="G49" s="55">
        <v>6</v>
      </c>
      <c r="H49" s="55">
        <v>81684</v>
      </c>
      <c r="I49" s="55" t="s">
        <v>543</v>
      </c>
      <c r="J49" s="55">
        <v>19067459</v>
      </c>
      <c r="K49" s="55" t="s">
        <v>1162</v>
      </c>
      <c r="L49" s="55" t="s">
        <v>1166</v>
      </c>
      <c r="M49" s="60">
        <v>79900</v>
      </c>
      <c r="N49" s="62">
        <v>0.75</v>
      </c>
      <c r="O49" s="60">
        <f t="shared" si="1"/>
        <v>19975</v>
      </c>
      <c r="P49" s="55" t="s">
        <v>3499</v>
      </c>
    </row>
    <row r="50" spans="1:16" s="61" customFormat="1" x14ac:dyDescent="0.25">
      <c r="A50" s="55" t="s">
        <v>3500</v>
      </c>
      <c r="B50" s="56">
        <v>46121</v>
      </c>
      <c r="C50" s="56">
        <v>46127</v>
      </c>
      <c r="D50" s="55">
        <v>3271</v>
      </c>
      <c r="E50" s="55">
        <v>336</v>
      </c>
      <c r="F50" s="55">
        <v>4</v>
      </c>
      <c r="G50" s="55">
        <v>6</v>
      </c>
      <c r="H50" s="55">
        <v>81684</v>
      </c>
      <c r="I50" s="55" t="s">
        <v>543</v>
      </c>
      <c r="J50" s="55">
        <v>19067306</v>
      </c>
      <c r="K50" s="55" t="s">
        <v>1167</v>
      </c>
      <c r="L50" s="55" t="s">
        <v>1168</v>
      </c>
      <c r="M50" s="60">
        <v>79900</v>
      </c>
      <c r="N50" s="62">
        <v>0.75</v>
      </c>
      <c r="O50" s="60">
        <f t="shared" si="1"/>
        <v>19975</v>
      </c>
      <c r="P50" s="55" t="s">
        <v>3499</v>
      </c>
    </row>
    <row r="51" spans="1:16" s="61" customFormat="1" x14ac:dyDescent="0.25">
      <c r="A51" s="55" t="s">
        <v>3500</v>
      </c>
      <c r="B51" s="56">
        <v>46121</v>
      </c>
      <c r="C51" s="56">
        <v>46127</v>
      </c>
      <c r="D51" s="55">
        <v>3271</v>
      </c>
      <c r="E51" s="55">
        <v>336</v>
      </c>
      <c r="F51" s="55">
        <v>4</v>
      </c>
      <c r="G51" s="55">
        <v>6</v>
      </c>
      <c r="H51" s="55">
        <v>81684</v>
      </c>
      <c r="I51" s="55" t="s">
        <v>543</v>
      </c>
      <c r="J51" s="55">
        <v>19067315</v>
      </c>
      <c r="K51" s="55" t="s">
        <v>1167</v>
      </c>
      <c r="L51" s="55" t="s">
        <v>1169</v>
      </c>
      <c r="M51" s="60">
        <v>79900</v>
      </c>
      <c r="N51" s="62">
        <v>0.75</v>
      </c>
      <c r="O51" s="60">
        <f t="shared" si="1"/>
        <v>19975</v>
      </c>
      <c r="P51" s="55" t="s">
        <v>3499</v>
      </c>
    </row>
    <row r="52" spans="1:16" s="61" customFormat="1" x14ac:dyDescent="0.25">
      <c r="A52" s="55" t="s">
        <v>3500</v>
      </c>
      <c r="B52" s="56">
        <v>46121</v>
      </c>
      <c r="C52" s="56">
        <v>46127</v>
      </c>
      <c r="D52" s="55">
        <v>3271</v>
      </c>
      <c r="E52" s="55">
        <v>336</v>
      </c>
      <c r="F52" s="55">
        <v>4</v>
      </c>
      <c r="G52" s="55">
        <v>6</v>
      </c>
      <c r="H52" s="55">
        <v>81684</v>
      </c>
      <c r="I52" s="55" t="s">
        <v>543</v>
      </c>
      <c r="J52" s="55">
        <v>19067324</v>
      </c>
      <c r="K52" s="55" t="s">
        <v>1167</v>
      </c>
      <c r="L52" s="55" t="s">
        <v>1170</v>
      </c>
      <c r="M52" s="60">
        <v>79900</v>
      </c>
      <c r="N52" s="62">
        <v>0.75</v>
      </c>
      <c r="O52" s="60">
        <f t="shared" si="1"/>
        <v>19975</v>
      </c>
      <c r="P52" s="55" t="s">
        <v>3499</v>
      </c>
    </row>
    <row r="53" spans="1:16" s="61" customFormat="1" x14ac:dyDescent="0.25">
      <c r="A53" s="55" t="s">
        <v>3500</v>
      </c>
      <c r="B53" s="56">
        <v>46121</v>
      </c>
      <c r="C53" s="56">
        <v>46127</v>
      </c>
      <c r="D53" s="55">
        <v>3271</v>
      </c>
      <c r="E53" s="55">
        <v>336</v>
      </c>
      <c r="F53" s="55">
        <v>4</v>
      </c>
      <c r="G53" s="55">
        <v>6</v>
      </c>
      <c r="H53" s="55">
        <v>81684</v>
      </c>
      <c r="I53" s="55" t="s">
        <v>543</v>
      </c>
      <c r="J53" s="55">
        <v>19067333</v>
      </c>
      <c r="K53" s="55" t="s">
        <v>1167</v>
      </c>
      <c r="L53" s="55" t="s">
        <v>1171</v>
      </c>
      <c r="M53" s="60">
        <v>79900</v>
      </c>
      <c r="N53" s="62">
        <v>0.75</v>
      </c>
      <c r="O53" s="60">
        <f t="shared" si="1"/>
        <v>19975</v>
      </c>
      <c r="P53" s="55" t="s">
        <v>3499</v>
      </c>
    </row>
    <row r="54" spans="1:16" s="61" customFormat="1" x14ac:dyDescent="0.25">
      <c r="A54" s="55" t="s">
        <v>3500</v>
      </c>
      <c r="B54" s="56">
        <v>46121</v>
      </c>
      <c r="C54" s="56">
        <v>46127</v>
      </c>
      <c r="D54" s="55">
        <v>3271</v>
      </c>
      <c r="E54" s="55">
        <v>336</v>
      </c>
      <c r="F54" s="55">
        <v>4</v>
      </c>
      <c r="G54" s="55">
        <v>6</v>
      </c>
      <c r="H54" s="55">
        <v>81684</v>
      </c>
      <c r="I54" s="55" t="s">
        <v>543</v>
      </c>
      <c r="J54" s="55">
        <v>17899199</v>
      </c>
      <c r="K54" s="55" t="s">
        <v>1172</v>
      </c>
      <c r="L54" s="55" t="s">
        <v>1173</v>
      </c>
      <c r="M54" s="60">
        <v>79900</v>
      </c>
      <c r="N54" s="62">
        <v>0.75</v>
      </c>
      <c r="O54" s="60">
        <f t="shared" si="1"/>
        <v>19975</v>
      </c>
      <c r="P54" s="55" t="s">
        <v>3499</v>
      </c>
    </row>
    <row r="55" spans="1:16" s="61" customFormat="1" x14ac:dyDescent="0.25">
      <c r="A55" s="55" t="s">
        <v>3500</v>
      </c>
      <c r="B55" s="56">
        <v>46121</v>
      </c>
      <c r="C55" s="56">
        <v>46127</v>
      </c>
      <c r="D55" s="55">
        <v>3271</v>
      </c>
      <c r="E55" s="55">
        <v>336</v>
      </c>
      <c r="F55" s="55">
        <v>4</v>
      </c>
      <c r="G55" s="55">
        <v>6</v>
      </c>
      <c r="H55" s="55">
        <v>81684</v>
      </c>
      <c r="I55" s="55" t="s">
        <v>543</v>
      </c>
      <c r="J55" s="55">
        <v>17899206</v>
      </c>
      <c r="K55" s="55" t="s">
        <v>1172</v>
      </c>
      <c r="L55" s="55" t="s">
        <v>1174</v>
      </c>
      <c r="M55" s="60">
        <v>79900</v>
      </c>
      <c r="N55" s="62">
        <v>0.75</v>
      </c>
      <c r="O55" s="60">
        <f t="shared" si="1"/>
        <v>19975</v>
      </c>
      <c r="P55" s="55" t="s">
        <v>3499</v>
      </c>
    </row>
    <row r="56" spans="1:16" s="61" customFormat="1" x14ac:dyDescent="0.25">
      <c r="A56" s="55" t="s">
        <v>3500</v>
      </c>
      <c r="B56" s="56">
        <v>46121</v>
      </c>
      <c r="C56" s="56">
        <v>46127</v>
      </c>
      <c r="D56" s="55">
        <v>3271</v>
      </c>
      <c r="E56" s="55">
        <v>336</v>
      </c>
      <c r="F56" s="55">
        <v>4</v>
      </c>
      <c r="G56" s="55">
        <v>6</v>
      </c>
      <c r="H56" s="55">
        <v>81684</v>
      </c>
      <c r="I56" s="55" t="s">
        <v>543</v>
      </c>
      <c r="J56" s="55">
        <v>17899215</v>
      </c>
      <c r="K56" s="55" t="s">
        <v>1172</v>
      </c>
      <c r="L56" s="55" t="s">
        <v>1175</v>
      </c>
      <c r="M56" s="60">
        <v>79900</v>
      </c>
      <c r="N56" s="62">
        <v>0.75</v>
      </c>
      <c r="O56" s="60">
        <f t="shared" si="1"/>
        <v>19975</v>
      </c>
      <c r="P56" s="55" t="s">
        <v>3499</v>
      </c>
    </row>
    <row r="57" spans="1:16" s="61" customFormat="1" x14ac:dyDescent="0.25">
      <c r="A57" s="55" t="s">
        <v>3500</v>
      </c>
      <c r="B57" s="56">
        <v>46121</v>
      </c>
      <c r="C57" s="56">
        <v>46127</v>
      </c>
      <c r="D57" s="55">
        <v>3271</v>
      </c>
      <c r="E57" s="55">
        <v>336</v>
      </c>
      <c r="F57" s="55">
        <v>4</v>
      </c>
      <c r="G57" s="55">
        <v>6</v>
      </c>
      <c r="H57" s="55">
        <v>81684</v>
      </c>
      <c r="I57" s="55" t="s">
        <v>543</v>
      </c>
      <c r="J57" s="55">
        <v>17899224</v>
      </c>
      <c r="K57" s="55" t="s">
        <v>1172</v>
      </c>
      <c r="L57" s="55" t="s">
        <v>1176</v>
      </c>
      <c r="M57" s="60">
        <v>79900</v>
      </c>
      <c r="N57" s="62">
        <v>0.75</v>
      </c>
      <c r="O57" s="60">
        <f t="shared" si="1"/>
        <v>19975</v>
      </c>
      <c r="P57" s="55" t="s">
        <v>3499</v>
      </c>
    </row>
    <row r="58" spans="1:16" s="61" customFormat="1" x14ac:dyDescent="0.25">
      <c r="A58" s="55" t="s">
        <v>3500</v>
      </c>
      <c r="B58" s="56">
        <v>46121</v>
      </c>
      <c r="C58" s="56">
        <v>46127</v>
      </c>
      <c r="D58" s="55">
        <v>3271</v>
      </c>
      <c r="E58" s="55">
        <v>336</v>
      </c>
      <c r="F58" s="55">
        <v>4</v>
      </c>
      <c r="G58" s="55">
        <v>6</v>
      </c>
      <c r="H58" s="55">
        <v>81684</v>
      </c>
      <c r="I58" s="55" t="s">
        <v>543</v>
      </c>
      <c r="J58" s="55">
        <v>17899233</v>
      </c>
      <c r="K58" s="55" t="s">
        <v>1177</v>
      </c>
      <c r="L58" s="55" t="s">
        <v>1178</v>
      </c>
      <c r="M58" s="60">
        <v>79900</v>
      </c>
      <c r="N58" s="62">
        <v>0.75</v>
      </c>
      <c r="O58" s="60">
        <f t="shared" si="1"/>
        <v>19975</v>
      </c>
      <c r="P58" s="55" t="s">
        <v>3499</v>
      </c>
    </row>
    <row r="59" spans="1:16" s="61" customFormat="1" x14ac:dyDescent="0.25">
      <c r="A59" s="55" t="s">
        <v>3500</v>
      </c>
      <c r="B59" s="56">
        <v>46121</v>
      </c>
      <c r="C59" s="56">
        <v>46127</v>
      </c>
      <c r="D59" s="55">
        <v>3271</v>
      </c>
      <c r="E59" s="55">
        <v>336</v>
      </c>
      <c r="F59" s="55">
        <v>4</v>
      </c>
      <c r="G59" s="55">
        <v>6</v>
      </c>
      <c r="H59" s="55">
        <v>81684</v>
      </c>
      <c r="I59" s="55" t="s">
        <v>543</v>
      </c>
      <c r="J59" s="55">
        <v>17899242</v>
      </c>
      <c r="K59" s="55" t="s">
        <v>1177</v>
      </c>
      <c r="L59" s="55" t="s">
        <v>1179</v>
      </c>
      <c r="M59" s="60">
        <v>79900</v>
      </c>
      <c r="N59" s="62">
        <v>0.75</v>
      </c>
      <c r="O59" s="60">
        <f t="shared" si="1"/>
        <v>19975</v>
      </c>
      <c r="P59" s="55" t="s">
        <v>3499</v>
      </c>
    </row>
    <row r="60" spans="1:16" s="61" customFormat="1" x14ac:dyDescent="0.25">
      <c r="A60" s="55" t="s">
        <v>3500</v>
      </c>
      <c r="B60" s="56">
        <v>46121</v>
      </c>
      <c r="C60" s="56">
        <v>46127</v>
      </c>
      <c r="D60" s="55">
        <v>3271</v>
      </c>
      <c r="E60" s="55">
        <v>336</v>
      </c>
      <c r="F60" s="55">
        <v>4</v>
      </c>
      <c r="G60" s="55">
        <v>6</v>
      </c>
      <c r="H60" s="55">
        <v>81684</v>
      </c>
      <c r="I60" s="55" t="s">
        <v>543</v>
      </c>
      <c r="J60" s="55">
        <v>17899251</v>
      </c>
      <c r="K60" s="55" t="s">
        <v>1177</v>
      </c>
      <c r="L60" s="55" t="s">
        <v>1180</v>
      </c>
      <c r="M60" s="60">
        <v>79900</v>
      </c>
      <c r="N60" s="62">
        <v>0.75</v>
      </c>
      <c r="O60" s="60">
        <f t="shared" si="1"/>
        <v>19975</v>
      </c>
      <c r="P60" s="55" t="s">
        <v>3499</v>
      </c>
    </row>
    <row r="61" spans="1:16" s="61" customFormat="1" x14ac:dyDescent="0.25">
      <c r="A61" s="55" t="s">
        <v>3500</v>
      </c>
      <c r="B61" s="56">
        <v>46121</v>
      </c>
      <c r="C61" s="56">
        <v>46127</v>
      </c>
      <c r="D61" s="55">
        <v>3271</v>
      </c>
      <c r="E61" s="55">
        <v>336</v>
      </c>
      <c r="F61" s="55">
        <v>4</v>
      </c>
      <c r="G61" s="55">
        <v>6</v>
      </c>
      <c r="H61" s="55">
        <v>81684</v>
      </c>
      <c r="I61" s="55" t="s">
        <v>543</v>
      </c>
      <c r="J61" s="55">
        <v>17899260</v>
      </c>
      <c r="K61" s="55" t="s">
        <v>1177</v>
      </c>
      <c r="L61" s="55" t="s">
        <v>1181</v>
      </c>
      <c r="M61" s="60">
        <v>79900</v>
      </c>
      <c r="N61" s="62">
        <v>0.75</v>
      </c>
      <c r="O61" s="60">
        <f t="shared" si="1"/>
        <v>19975</v>
      </c>
      <c r="P61" s="55" t="s">
        <v>3499</v>
      </c>
    </row>
    <row r="62" spans="1:16" s="61" customFormat="1" x14ac:dyDescent="0.25">
      <c r="A62" s="55" t="s">
        <v>3500</v>
      </c>
      <c r="B62" s="56">
        <v>46121</v>
      </c>
      <c r="C62" s="56">
        <v>46127</v>
      </c>
      <c r="D62" s="55">
        <v>3271</v>
      </c>
      <c r="E62" s="55">
        <v>336</v>
      </c>
      <c r="F62" s="55">
        <v>4</v>
      </c>
      <c r="G62" s="55">
        <v>6</v>
      </c>
      <c r="H62" s="55">
        <v>81684</v>
      </c>
      <c r="I62" s="55" t="s">
        <v>543</v>
      </c>
      <c r="J62" s="55">
        <v>17899279</v>
      </c>
      <c r="K62" s="55" t="s">
        <v>1182</v>
      </c>
      <c r="L62" s="55" t="s">
        <v>1183</v>
      </c>
      <c r="M62" s="60">
        <v>79900</v>
      </c>
      <c r="N62" s="62">
        <v>0.75</v>
      </c>
      <c r="O62" s="60">
        <f t="shared" si="1"/>
        <v>19975</v>
      </c>
      <c r="P62" s="55" t="s">
        <v>3499</v>
      </c>
    </row>
    <row r="63" spans="1:16" s="61" customFormat="1" x14ac:dyDescent="0.25">
      <c r="A63" s="55" t="s">
        <v>3500</v>
      </c>
      <c r="B63" s="56">
        <v>46121</v>
      </c>
      <c r="C63" s="56">
        <v>46127</v>
      </c>
      <c r="D63" s="55">
        <v>3271</v>
      </c>
      <c r="E63" s="55">
        <v>336</v>
      </c>
      <c r="F63" s="55">
        <v>4</v>
      </c>
      <c r="G63" s="55">
        <v>6</v>
      </c>
      <c r="H63" s="55">
        <v>81684</v>
      </c>
      <c r="I63" s="55" t="s">
        <v>543</v>
      </c>
      <c r="J63" s="55">
        <v>17899288</v>
      </c>
      <c r="K63" s="55" t="s">
        <v>1182</v>
      </c>
      <c r="L63" s="55" t="s">
        <v>1184</v>
      </c>
      <c r="M63" s="60">
        <v>79900</v>
      </c>
      <c r="N63" s="62">
        <v>0.75</v>
      </c>
      <c r="O63" s="60">
        <f t="shared" si="1"/>
        <v>19975</v>
      </c>
      <c r="P63" s="55" t="s">
        <v>3499</v>
      </c>
    </row>
    <row r="64" spans="1:16" s="61" customFormat="1" x14ac:dyDescent="0.25">
      <c r="A64" s="55" t="s">
        <v>3500</v>
      </c>
      <c r="B64" s="56">
        <v>46121</v>
      </c>
      <c r="C64" s="56">
        <v>46127</v>
      </c>
      <c r="D64" s="55">
        <v>3271</v>
      </c>
      <c r="E64" s="55">
        <v>336</v>
      </c>
      <c r="F64" s="55">
        <v>4</v>
      </c>
      <c r="G64" s="55">
        <v>6</v>
      </c>
      <c r="H64" s="55">
        <v>81684</v>
      </c>
      <c r="I64" s="55" t="s">
        <v>543</v>
      </c>
      <c r="J64" s="55">
        <v>17899297</v>
      </c>
      <c r="K64" s="55" t="s">
        <v>1182</v>
      </c>
      <c r="L64" s="55" t="s">
        <v>1185</v>
      </c>
      <c r="M64" s="60">
        <v>79900</v>
      </c>
      <c r="N64" s="62">
        <v>0.75</v>
      </c>
      <c r="O64" s="60">
        <f t="shared" si="1"/>
        <v>19975</v>
      </c>
      <c r="P64" s="55" t="s">
        <v>3499</v>
      </c>
    </row>
    <row r="65" spans="1:16" s="61" customFormat="1" x14ac:dyDescent="0.25">
      <c r="A65" s="55" t="s">
        <v>3500</v>
      </c>
      <c r="B65" s="56">
        <v>46121</v>
      </c>
      <c r="C65" s="56">
        <v>46127</v>
      </c>
      <c r="D65" s="55">
        <v>3271</v>
      </c>
      <c r="E65" s="55">
        <v>336</v>
      </c>
      <c r="F65" s="55">
        <v>4</v>
      </c>
      <c r="G65" s="55">
        <v>6</v>
      </c>
      <c r="H65" s="55">
        <v>81684</v>
      </c>
      <c r="I65" s="55" t="s">
        <v>543</v>
      </c>
      <c r="J65" s="55">
        <v>17899304</v>
      </c>
      <c r="K65" s="55" t="s">
        <v>1182</v>
      </c>
      <c r="L65" s="55" t="s">
        <v>1186</v>
      </c>
      <c r="M65" s="60">
        <v>79900</v>
      </c>
      <c r="N65" s="62">
        <v>0.75</v>
      </c>
      <c r="O65" s="60">
        <f t="shared" si="1"/>
        <v>19975</v>
      </c>
      <c r="P65" s="55" t="s">
        <v>3499</v>
      </c>
    </row>
  </sheetData>
  <sortState xmlns:xlrd2="http://schemas.microsoft.com/office/spreadsheetml/2017/richdata2" ref="A2:P65">
    <sortCondition ref="G2:G65"/>
  </sortState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9A06-D62B-4521-A1B7-A543BFA48D0F}">
  <sheetPr>
    <tabColor rgb="FF00B050"/>
  </sheetPr>
  <dimension ref="A1:P73"/>
  <sheetViews>
    <sheetView topLeftCell="A19" workbookViewId="0">
      <selection activeCell="L31" sqref="L31"/>
    </sheetView>
  </sheetViews>
  <sheetFormatPr defaultRowHeight="15" x14ac:dyDescent="0.25"/>
  <cols>
    <col min="1" max="1" width="27.42578125" bestFit="1" customWidth="1"/>
    <col min="2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6.7109375" bestFit="1" customWidth="1"/>
    <col min="10" max="10" width="8.85546875" bestFit="1" customWidth="1"/>
    <col min="11" max="11" width="11.5703125" bestFit="1" customWidth="1"/>
    <col min="12" max="12" width="73.5703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3502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6">
        <v>7</v>
      </c>
      <c r="H2" s="6">
        <v>81305</v>
      </c>
      <c r="I2" s="6" t="s">
        <v>16</v>
      </c>
      <c r="J2" s="6">
        <v>25729811</v>
      </c>
      <c r="K2" s="6" t="s">
        <v>1255</v>
      </c>
      <c r="L2" s="13" t="s">
        <v>1256</v>
      </c>
      <c r="M2" s="19">
        <v>89900</v>
      </c>
      <c r="N2" s="62">
        <v>0.75</v>
      </c>
      <c r="O2" s="12">
        <f t="shared" ref="O2" si="0">M2-((75*M2)/100)</f>
        <v>22475</v>
      </c>
      <c r="P2" s="6" t="s">
        <v>3499</v>
      </c>
    </row>
    <row r="3" spans="1:16" x14ac:dyDescent="0.25">
      <c r="A3" s="6" t="s">
        <v>3502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6">
        <v>7</v>
      </c>
      <c r="H3" s="6">
        <v>81305</v>
      </c>
      <c r="I3" s="6" t="s">
        <v>16</v>
      </c>
      <c r="J3" s="6">
        <v>25729820</v>
      </c>
      <c r="K3" s="6" t="s">
        <v>1255</v>
      </c>
      <c r="L3" s="13" t="s">
        <v>1257</v>
      </c>
      <c r="M3" s="19">
        <v>89900</v>
      </c>
      <c r="N3" s="62">
        <v>0.75</v>
      </c>
      <c r="O3" s="12">
        <f t="shared" ref="O3:O66" si="1">M3-((75*M3)/100)</f>
        <v>22475</v>
      </c>
      <c r="P3" s="6" t="s">
        <v>3499</v>
      </c>
    </row>
    <row r="4" spans="1:16" x14ac:dyDescent="0.25">
      <c r="A4" s="6" t="s">
        <v>3502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6">
        <v>7</v>
      </c>
      <c r="H4" s="6">
        <v>81305</v>
      </c>
      <c r="I4" s="6" t="s">
        <v>16</v>
      </c>
      <c r="J4" s="6">
        <v>25729839</v>
      </c>
      <c r="K4" s="6" t="s">
        <v>1255</v>
      </c>
      <c r="L4" s="13" t="s">
        <v>1258</v>
      </c>
      <c r="M4" s="19">
        <v>89900</v>
      </c>
      <c r="N4" s="62">
        <v>0.75</v>
      </c>
      <c r="O4" s="12">
        <f t="shared" si="1"/>
        <v>22475</v>
      </c>
      <c r="P4" s="6" t="s">
        <v>3499</v>
      </c>
    </row>
    <row r="5" spans="1:16" x14ac:dyDescent="0.25">
      <c r="A5" s="6" t="s">
        <v>3502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6">
        <v>7</v>
      </c>
      <c r="H5" s="6">
        <v>81305</v>
      </c>
      <c r="I5" s="6" t="s">
        <v>16</v>
      </c>
      <c r="J5" s="6">
        <v>25729848</v>
      </c>
      <c r="K5" s="6" t="s">
        <v>1255</v>
      </c>
      <c r="L5" s="13" t="s">
        <v>1259</v>
      </c>
      <c r="M5" s="19">
        <v>89900</v>
      </c>
      <c r="N5" s="62">
        <v>0.75</v>
      </c>
      <c r="O5" s="12">
        <f t="shared" si="1"/>
        <v>22475</v>
      </c>
      <c r="P5" s="6" t="s">
        <v>3499</v>
      </c>
    </row>
    <row r="6" spans="1:16" x14ac:dyDescent="0.25">
      <c r="A6" s="6" t="s">
        <v>3502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6">
        <v>7</v>
      </c>
      <c r="H6" s="6">
        <v>81305</v>
      </c>
      <c r="I6" s="6" t="s">
        <v>16</v>
      </c>
      <c r="J6" s="6">
        <v>25729857</v>
      </c>
      <c r="K6" s="6" t="s">
        <v>1260</v>
      </c>
      <c r="L6" s="13" t="s">
        <v>1261</v>
      </c>
      <c r="M6" s="19">
        <v>89900</v>
      </c>
      <c r="N6" s="62">
        <v>0.75</v>
      </c>
      <c r="O6" s="12">
        <f t="shared" si="1"/>
        <v>22475</v>
      </c>
      <c r="P6" s="6" t="s">
        <v>3499</v>
      </c>
    </row>
    <row r="7" spans="1:16" x14ac:dyDescent="0.25">
      <c r="A7" s="6" t="s">
        <v>3502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6">
        <v>7</v>
      </c>
      <c r="H7" s="6">
        <v>81305</v>
      </c>
      <c r="I7" s="6" t="s">
        <v>16</v>
      </c>
      <c r="J7" s="6">
        <v>25729866</v>
      </c>
      <c r="K7" s="6" t="s">
        <v>1260</v>
      </c>
      <c r="L7" s="13" t="s">
        <v>1262</v>
      </c>
      <c r="M7" s="19">
        <v>89900</v>
      </c>
      <c r="N7" s="62">
        <v>0.75</v>
      </c>
      <c r="O7" s="12">
        <f t="shared" si="1"/>
        <v>22475</v>
      </c>
      <c r="P7" s="6" t="s">
        <v>3499</v>
      </c>
    </row>
    <row r="8" spans="1:16" x14ac:dyDescent="0.25">
      <c r="A8" s="6" t="s">
        <v>3502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6">
        <v>7</v>
      </c>
      <c r="H8" s="6">
        <v>81305</v>
      </c>
      <c r="I8" s="6" t="s">
        <v>16</v>
      </c>
      <c r="J8" s="6">
        <v>25729875</v>
      </c>
      <c r="K8" s="6" t="s">
        <v>1260</v>
      </c>
      <c r="L8" s="13" t="s">
        <v>1263</v>
      </c>
      <c r="M8" s="19">
        <v>89900</v>
      </c>
      <c r="N8" s="62">
        <v>0.75</v>
      </c>
      <c r="O8" s="12">
        <f t="shared" si="1"/>
        <v>22475</v>
      </c>
      <c r="P8" s="6" t="s">
        <v>3499</v>
      </c>
    </row>
    <row r="9" spans="1:16" x14ac:dyDescent="0.25">
      <c r="A9" s="6" t="s">
        <v>3502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6">
        <v>7</v>
      </c>
      <c r="H9" s="6">
        <v>81305</v>
      </c>
      <c r="I9" s="6" t="s">
        <v>16</v>
      </c>
      <c r="J9" s="6">
        <v>25729884</v>
      </c>
      <c r="K9" s="6" t="s">
        <v>1260</v>
      </c>
      <c r="L9" s="13" t="s">
        <v>1264</v>
      </c>
      <c r="M9" s="19">
        <v>89900</v>
      </c>
      <c r="N9" s="62">
        <v>0.75</v>
      </c>
      <c r="O9" s="12">
        <f t="shared" si="1"/>
        <v>22475</v>
      </c>
      <c r="P9" s="6" t="s">
        <v>3499</v>
      </c>
    </row>
    <row r="10" spans="1:16" x14ac:dyDescent="0.25">
      <c r="A10" s="6" t="s">
        <v>3502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6">
        <v>7</v>
      </c>
      <c r="H10" s="6">
        <v>81305</v>
      </c>
      <c r="I10" s="6" t="s">
        <v>16</v>
      </c>
      <c r="J10" s="6">
        <v>25729893</v>
      </c>
      <c r="K10" s="6" t="s">
        <v>1265</v>
      </c>
      <c r="L10" s="13" t="s">
        <v>1266</v>
      </c>
      <c r="M10" s="19">
        <v>89900</v>
      </c>
      <c r="N10" s="62">
        <v>0.75</v>
      </c>
      <c r="O10" s="12">
        <f t="shared" si="1"/>
        <v>22475</v>
      </c>
      <c r="P10" s="6" t="s">
        <v>3499</v>
      </c>
    </row>
    <row r="11" spans="1:16" x14ac:dyDescent="0.25">
      <c r="A11" s="6" t="s">
        <v>3502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6">
        <v>7</v>
      </c>
      <c r="H11" s="6">
        <v>81305</v>
      </c>
      <c r="I11" s="6" t="s">
        <v>16</v>
      </c>
      <c r="J11" s="6">
        <v>25729900</v>
      </c>
      <c r="K11" s="6" t="s">
        <v>1265</v>
      </c>
      <c r="L11" s="13" t="s">
        <v>1267</v>
      </c>
      <c r="M11" s="19">
        <v>89900</v>
      </c>
      <c r="N11" s="62">
        <v>0.75</v>
      </c>
      <c r="O11" s="12">
        <f t="shared" si="1"/>
        <v>22475</v>
      </c>
      <c r="P11" s="6" t="s">
        <v>3499</v>
      </c>
    </row>
    <row r="12" spans="1:16" x14ac:dyDescent="0.25">
      <c r="A12" s="6" t="s">
        <v>3502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6">
        <v>7</v>
      </c>
      <c r="H12" s="6">
        <v>81305</v>
      </c>
      <c r="I12" s="6" t="s">
        <v>16</v>
      </c>
      <c r="J12" s="6">
        <v>25729919</v>
      </c>
      <c r="K12" s="6" t="s">
        <v>1265</v>
      </c>
      <c r="L12" s="13" t="s">
        <v>1268</v>
      </c>
      <c r="M12" s="19">
        <v>89900</v>
      </c>
      <c r="N12" s="62">
        <v>0.75</v>
      </c>
      <c r="O12" s="12">
        <f t="shared" si="1"/>
        <v>22475</v>
      </c>
      <c r="P12" s="6" t="s">
        <v>3499</v>
      </c>
    </row>
    <row r="13" spans="1:16" x14ac:dyDescent="0.25">
      <c r="A13" s="6" t="s">
        <v>3502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6">
        <v>7</v>
      </c>
      <c r="H13" s="6">
        <v>81305</v>
      </c>
      <c r="I13" s="6" t="s">
        <v>16</v>
      </c>
      <c r="J13" s="6">
        <v>25729928</v>
      </c>
      <c r="K13" s="6" t="s">
        <v>1265</v>
      </c>
      <c r="L13" s="13" t="s">
        <v>1269</v>
      </c>
      <c r="M13" s="19">
        <v>89900</v>
      </c>
      <c r="N13" s="62">
        <v>0.75</v>
      </c>
      <c r="O13" s="12">
        <f t="shared" si="1"/>
        <v>22475</v>
      </c>
      <c r="P13" s="6" t="s">
        <v>3499</v>
      </c>
    </row>
    <row r="14" spans="1:16" x14ac:dyDescent="0.25">
      <c r="A14" s="6" t="s">
        <v>3502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6">
        <v>7</v>
      </c>
      <c r="H14" s="6">
        <v>81305</v>
      </c>
      <c r="I14" s="6" t="s">
        <v>16</v>
      </c>
      <c r="J14" s="6">
        <v>25729937</v>
      </c>
      <c r="K14" s="6" t="s">
        <v>1270</v>
      </c>
      <c r="L14" s="13" t="s">
        <v>1271</v>
      </c>
      <c r="M14" s="19">
        <v>89900</v>
      </c>
      <c r="N14" s="62">
        <v>0.75</v>
      </c>
      <c r="O14" s="12">
        <f t="shared" si="1"/>
        <v>22475</v>
      </c>
      <c r="P14" s="6" t="s">
        <v>3499</v>
      </c>
    </row>
    <row r="15" spans="1:16" x14ac:dyDescent="0.25">
      <c r="A15" s="6" t="s">
        <v>3502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6">
        <v>7</v>
      </c>
      <c r="H15" s="6">
        <v>81305</v>
      </c>
      <c r="I15" s="6" t="s">
        <v>16</v>
      </c>
      <c r="J15" s="6">
        <v>25729946</v>
      </c>
      <c r="K15" s="6" t="s">
        <v>1270</v>
      </c>
      <c r="L15" s="13" t="s">
        <v>1272</v>
      </c>
      <c r="M15" s="19">
        <v>89900</v>
      </c>
      <c r="N15" s="62">
        <v>0.75</v>
      </c>
      <c r="O15" s="12">
        <f t="shared" si="1"/>
        <v>22475</v>
      </c>
      <c r="P15" s="6" t="s">
        <v>3499</v>
      </c>
    </row>
    <row r="16" spans="1:16" x14ac:dyDescent="0.25">
      <c r="A16" s="6" t="s">
        <v>3502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6">
        <v>7</v>
      </c>
      <c r="H16" s="6">
        <v>81305</v>
      </c>
      <c r="I16" s="6" t="s">
        <v>16</v>
      </c>
      <c r="J16" s="6">
        <v>25729955</v>
      </c>
      <c r="K16" s="6" t="s">
        <v>1270</v>
      </c>
      <c r="L16" s="13" t="s">
        <v>1273</v>
      </c>
      <c r="M16" s="19">
        <v>89900</v>
      </c>
      <c r="N16" s="62">
        <v>0.75</v>
      </c>
      <c r="O16" s="12">
        <f t="shared" si="1"/>
        <v>22475</v>
      </c>
      <c r="P16" s="6" t="s">
        <v>3499</v>
      </c>
    </row>
    <row r="17" spans="1:16" x14ac:dyDescent="0.25">
      <c r="A17" s="6" t="s">
        <v>3502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6">
        <v>7</v>
      </c>
      <c r="H17" s="6">
        <v>81305</v>
      </c>
      <c r="I17" s="6" t="s">
        <v>16</v>
      </c>
      <c r="J17" s="6">
        <v>25729964</v>
      </c>
      <c r="K17" s="6" t="s">
        <v>1270</v>
      </c>
      <c r="L17" s="13" t="s">
        <v>1274</v>
      </c>
      <c r="M17" s="19">
        <v>89900</v>
      </c>
      <c r="N17" s="62">
        <v>0.75</v>
      </c>
      <c r="O17" s="12">
        <f t="shared" si="1"/>
        <v>22475</v>
      </c>
      <c r="P17" s="6" t="s">
        <v>3499</v>
      </c>
    </row>
    <row r="18" spans="1:16" x14ac:dyDescent="0.25">
      <c r="A18" s="6" t="s">
        <v>3502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6">
        <v>7</v>
      </c>
      <c r="H18" s="6">
        <v>4953</v>
      </c>
      <c r="I18" s="6" t="s">
        <v>16</v>
      </c>
      <c r="J18" s="6">
        <v>22434439</v>
      </c>
      <c r="K18" s="6" t="s">
        <v>1275</v>
      </c>
      <c r="L18" s="13" t="s">
        <v>1276</v>
      </c>
      <c r="M18" s="19">
        <v>89900</v>
      </c>
      <c r="N18" s="62">
        <v>0.75</v>
      </c>
      <c r="O18" s="12">
        <f t="shared" si="1"/>
        <v>22475</v>
      </c>
      <c r="P18" s="6" t="s">
        <v>3499</v>
      </c>
    </row>
    <row r="19" spans="1:16" x14ac:dyDescent="0.25">
      <c r="A19" s="6" t="s">
        <v>3502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6">
        <v>7</v>
      </c>
      <c r="H19" s="6">
        <v>4953</v>
      </c>
      <c r="I19" s="6" t="s">
        <v>16</v>
      </c>
      <c r="J19" s="6">
        <v>22434653</v>
      </c>
      <c r="K19" s="6" t="s">
        <v>1275</v>
      </c>
      <c r="L19" s="13" t="s">
        <v>1277</v>
      </c>
      <c r="M19" s="19">
        <v>89900</v>
      </c>
      <c r="N19" s="62">
        <v>0.75</v>
      </c>
      <c r="O19" s="12">
        <f t="shared" si="1"/>
        <v>22475</v>
      </c>
      <c r="P19" s="6" t="s">
        <v>3499</v>
      </c>
    </row>
    <row r="20" spans="1:16" x14ac:dyDescent="0.25">
      <c r="A20" s="6" t="s">
        <v>3502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6">
        <v>7</v>
      </c>
      <c r="H20" s="6">
        <v>4953</v>
      </c>
      <c r="I20" s="6" t="s">
        <v>16</v>
      </c>
      <c r="J20" s="6">
        <v>22434662</v>
      </c>
      <c r="K20" s="6" t="s">
        <v>1275</v>
      </c>
      <c r="L20" s="13" t="s">
        <v>1278</v>
      </c>
      <c r="M20" s="19">
        <v>89900</v>
      </c>
      <c r="N20" s="62">
        <v>0.75</v>
      </c>
      <c r="O20" s="12">
        <f t="shared" si="1"/>
        <v>22475</v>
      </c>
      <c r="P20" s="6" t="s">
        <v>3499</v>
      </c>
    </row>
    <row r="21" spans="1:16" x14ac:dyDescent="0.25">
      <c r="A21" s="6" t="s">
        <v>3502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6">
        <v>7</v>
      </c>
      <c r="H21" s="6">
        <v>4953</v>
      </c>
      <c r="I21" s="6" t="s">
        <v>16</v>
      </c>
      <c r="J21" s="6">
        <v>22434671</v>
      </c>
      <c r="K21" s="6" t="s">
        <v>1275</v>
      </c>
      <c r="L21" s="13" t="s">
        <v>1279</v>
      </c>
      <c r="M21" s="19">
        <v>89900</v>
      </c>
      <c r="N21" s="62">
        <v>0.75</v>
      </c>
      <c r="O21" s="12">
        <f t="shared" si="1"/>
        <v>22475</v>
      </c>
      <c r="P21" s="6" t="s">
        <v>3499</v>
      </c>
    </row>
    <row r="22" spans="1:16" x14ac:dyDescent="0.25">
      <c r="A22" s="6" t="s">
        <v>3502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6">
        <v>7</v>
      </c>
      <c r="H22" s="6">
        <v>4953</v>
      </c>
      <c r="I22" s="6" t="s">
        <v>16</v>
      </c>
      <c r="J22" s="6">
        <v>22434733</v>
      </c>
      <c r="K22" s="6" t="s">
        <v>1280</v>
      </c>
      <c r="L22" s="13" t="s">
        <v>1281</v>
      </c>
      <c r="M22" s="19">
        <v>89900</v>
      </c>
      <c r="N22" s="62">
        <v>0.75</v>
      </c>
      <c r="O22" s="12">
        <f t="shared" si="1"/>
        <v>22475</v>
      </c>
      <c r="P22" s="6" t="s">
        <v>3499</v>
      </c>
    </row>
    <row r="23" spans="1:16" x14ac:dyDescent="0.25">
      <c r="A23" s="6" t="s">
        <v>3502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6">
        <v>7</v>
      </c>
      <c r="H23" s="6">
        <v>4953</v>
      </c>
      <c r="I23" s="6" t="s">
        <v>16</v>
      </c>
      <c r="J23" s="6">
        <v>22434742</v>
      </c>
      <c r="K23" s="6" t="s">
        <v>1280</v>
      </c>
      <c r="L23" s="13" t="s">
        <v>1282</v>
      </c>
      <c r="M23" s="19">
        <v>89900</v>
      </c>
      <c r="N23" s="62">
        <v>0.75</v>
      </c>
      <c r="O23" s="12">
        <f t="shared" si="1"/>
        <v>22475</v>
      </c>
      <c r="P23" s="6" t="s">
        <v>3499</v>
      </c>
    </row>
    <row r="24" spans="1:16" x14ac:dyDescent="0.25">
      <c r="A24" s="6" t="s">
        <v>3502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6">
        <v>7</v>
      </c>
      <c r="H24" s="6">
        <v>4953</v>
      </c>
      <c r="I24" s="6" t="s">
        <v>16</v>
      </c>
      <c r="J24" s="6">
        <v>22434751</v>
      </c>
      <c r="K24" s="6" t="s">
        <v>1280</v>
      </c>
      <c r="L24" s="13" t="s">
        <v>1283</v>
      </c>
      <c r="M24" s="19">
        <v>89900</v>
      </c>
      <c r="N24" s="62">
        <v>0.75</v>
      </c>
      <c r="O24" s="12">
        <f t="shared" si="1"/>
        <v>22475</v>
      </c>
      <c r="P24" s="6" t="s">
        <v>3499</v>
      </c>
    </row>
    <row r="25" spans="1:16" x14ac:dyDescent="0.25">
      <c r="A25" s="6" t="s">
        <v>3502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6">
        <v>7</v>
      </c>
      <c r="H25" s="6">
        <v>4953</v>
      </c>
      <c r="I25" s="6" t="s">
        <v>16</v>
      </c>
      <c r="J25" s="6">
        <v>22434760</v>
      </c>
      <c r="K25" s="6" t="s">
        <v>1280</v>
      </c>
      <c r="L25" s="13" t="s">
        <v>1284</v>
      </c>
      <c r="M25" s="19">
        <v>89900</v>
      </c>
      <c r="N25" s="62">
        <v>0.75</v>
      </c>
      <c r="O25" s="12">
        <f t="shared" si="1"/>
        <v>22475</v>
      </c>
      <c r="P25" s="6" t="s">
        <v>3499</v>
      </c>
    </row>
    <row r="26" spans="1:16" x14ac:dyDescent="0.25">
      <c r="A26" s="6" t="s">
        <v>3502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6">
        <v>7</v>
      </c>
      <c r="H26" s="6">
        <v>81305</v>
      </c>
      <c r="I26" s="6" t="s">
        <v>16</v>
      </c>
      <c r="J26" s="6">
        <v>50190015</v>
      </c>
      <c r="K26" s="6" t="s">
        <v>1285</v>
      </c>
      <c r="L26" s="13" t="s">
        <v>1286</v>
      </c>
      <c r="M26" s="19">
        <v>89900</v>
      </c>
      <c r="N26" s="62">
        <v>0.75</v>
      </c>
      <c r="O26" s="12">
        <f t="shared" si="1"/>
        <v>22475</v>
      </c>
      <c r="P26" s="6" t="s">
        <v>3499</v>
      </c>
    </row>
    <row r="27" spans="1:16" x14ac:dyDescent="0.25">
      <c r="A27" s="6" t="s">
        <v>3502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6">
        <v>7</v>
      </c>
      <c r="H27" s="6">
        <v>81305</v>
      </c>
      <c r="I27" s="6" t="s">
        <v>16</v>
      </c>
      <c r="J27" s="6">
        <v>50190024</v>
      </c>
      <c r="K27" s="6" t="s">
        <v>1285</v>
      </c>
      <c r="L27" s="13" t="s">
        <v>1287</v>
      </c>
      <c r="M27" s="19">
        <v>89900</v>
      </c>
      <c r="N27" s="62">
        <v>0.75</v>
      </c>
      <c r="O27" s="12">
        <f t="shared" si="1"/>
        <v>22475</v>
      </c>
      <c r="P27" s="6" t="s">
        <v>3499</v>
      </c>
    </row>
    <row r="28" spans="1:16" x14ac:dyDescent="0.25">
      <c r="A28" s="6" t="s">
        <v>3502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6">
        <v>7</v>
      </c>
      <c r="H28" s="6">
        <v>81305</v>
      </c>
      <c r="I28" s="6" t="s">
        <v>16</v>
      </c>
      <c r="J28" s="6">
        <v>50190033</v>
      </c>
      <c r="K28" s="6" t="s">
        <v>1285</v>
      </c>
      <c r="L28" s="13" t="s">
        <v>1288</v>
      </c>
      <c r="M28" s="19">
        <v>89900</v>
      </c>
      <c r="N28" s="62">
        <v>0.75</v>
      </c>
      <c r="O28" s="12">
        <f t="shared" si="1"/>
        <v>22475</v>
      </c>
      <c r="P28" s="6" t="s">
        <v>3499</v>
      </c>
    </row>
    <row r="29" spans="1:16" x14ac:dyDescent="0.25">
      <c r="A29" s="6" t="s">
        <v>3502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6">
        <v>7</v>
      </c>
      <c r="H29" s="6">
        <v>81305</v>
      </c>
      <c r="I29" s="6" t="s">
        <v>16</v>
      </c>
      <c r="J29" s="6">
        <v>50190042</v>
      </c>
      <c r="K29" s="6" t="s">
        <v>1285</v>
      </c>
      <c r="L29" s="13" t="s">
        <v>1289</v>
      </c>
      <c r="M29" s="19">
        <v>89900</v>
      </c>
      <c r="N29" s="62">
        <v>0.75</v>
      </c>
      <c r="O29" s="12">
        <f t="shared" si="1"/>
        <v>22475</v>
      </c>
      <c r="P29" s="6" t="s">
        <v>3499</v>
      </c>
    </row>
    <row r="30" spans="1:16" x14ac:dyDescent="0.25">
      <c r="A30" s="6" t="s">
        <v>3502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6">
        <v>7</v>
      </c>
      <c r="H30" s="6">
        <v>81305</v>
      </c>
      <c r="I30" s="6" t="s">
        <v>16</v>
      </c>
      <c r="J30" s="6">
        <v>50190051</v>
      </c>
      <c r="K30" s="6" t="s">
        <v>1290</v>
      </c>
      <c r="L30" s="13" t="s">
        <v>1291</v>
      </c>
      <c r="M30" s="19">
        <v>89900</v>
      </c>
      <c r="N30" s="62">
        <v>0.75</v>
      </c>
      <c r="O30" s="12">
        <f t="shared" si="1"/>
        <v>22475</v>
      </c>
      <c r="P30" s="6" t="s">
        <v>3499</v>
      </c>
    </row>
    <row r="31" spans="1:16" x14ac:dyDescent="0.25">
      <c r="A31" s="6" t="s">
        <v>3502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6">
        <v>7</v>
      </c>
      <c r="H31" s="6">
        <v>81305</v>
      </c>
      <c r="I31" s="6" t="s">
        <v>16</v>
      </c>
      <c r="J31" s="6">
        <v>50190060</v>
      </c>
      <c r="K31" s="6" t="s">
        <v>1290</v>
      </c>
      <c r="L31" s="13" t="s">
        <v>1292</v>
      </c>
      <c r="M31" s="19">
        <v>89900</v>
      </c>
      <c r="N31" s="62">
        <v>0.75</v>
      </c>
      <c r="O31" s="12">
        <f t="shared" si="1"/>
        <v>22475</v>
      </c>
      <c r="P31" s="6" t="s">
        <v>3499</v>
      </c>
    </row>
    <row r="32" spans="1:16" x14ac:dyDescent="0.25">
      <c r="A32" s="6" t="s">
        <v>3502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6">
        <v>7</v>
      </c>
      <c r="H32" s="6">
        <v>81305</v>
      </c>
      <c r="I32" s="6" t="s">
        <v>16</v>
      </c>
      <c r="J32" s="6">
        <v>50190079</v>
      </c>
      <c r="K32" s="6" t="s">
        <v>1290</v>
      </c>
      <c r="L32" s="13" t="s">
        <v>1293</v>
      </c>
      <c r="M32" s="19">
        <v>89900</v>
      </c>
      <c r="N32" s="62">
        <v>0.75</v>
      </c>
      <c r="O32" s="12">
        <f t="shared" si="1"/>
        <v>22475</v>
      </c>
      <c r="P32" s="6" t="s">
        <v>3499</v>
      </c>
    </row>
    <row r="33" spans="1:16" x14ac:dyDescent="0.25">
      <c r="A33" s="6" t="s">
        <v>3502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6">
        <v>7</v>
      </c>
      <c r="H33" s="6">
        <v>81305</v>
      </c>
      <c r="I33" s="6" t="s">
        <v>16</v>
      </c>
      <c r="J33" s="6">
        <v>50190088</v>
      </c>
      <c r="K33" s="6" t="s">
        <v>1290</v>
      </c>
      <c r="L33" s="13" t="s">
        <v>1294</v>
      </c>
      <c r="M33" s="19">
        <v>89900</v>
      </c>
      <c r="N33" s="62">
        <v>0.75</v>
      </c>
      <c r="O33" s="12">
        <f t="shared" si="1"/>
        <v>22475</v>
      </c>
      <c r="P33" s="6" t="s">
        <v>3499</v>
      </c>
    </row>
    <row r="34" spans="1:16" x14ac:dyDescent="0.25">
      <c r="A34" s="6" t="s">
        <v>3502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6">
        <v>7</v>
      </c>
      <c r="H34" s="6">
        <v>81305</v>
      </c>
      <c r="I34" s="6" t="s">
        <v>16</v>
      </c>
      <c r="J34" s="6">
        <v>50190097</v>
      </c>
      <c r="K34" s="6" t="s">
        <v>1295</v>
      </c>
      <c r="L34" s="13" t="s">
        <v>1296</v>
      </c>
      <c r="M34" s="19">
        <v>89900</v>
      </c>
      <c r="N34" s="62">
        <v>0.75</v>
      </c>
      <c r="O34" s="12">
        <f t="shared" si="1"/>
        <v>22475</v>
      </c>
      <c r="P34" s="6" t="s">
        <v>3499</v>
      </c>
    </row>
    <row r="35" spans="1:16" x14ac:dyDescent="0.25">
      <c r="A35" s="6" t="s">
        <v>3502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6">
        <v>7</v>
      </c>
      <c r="H35" s="6">
        <v>81305</v>
      </c>
      <c r="I35" s="6" t="s">
        <v>16</v>
      </c>
      <c r="J35" s="6">
        <v>50190104</v>
      </c>
      <c r="K35" s="6" t="s">
        <v>1295</v>
      </c>
      <c r="L35" s="13" t="s">
        <v>1297</v>
      </c>
      <c r="M35" s="19">
        <v>89900</v>
      </c>
      <c r="N35" s="62">
        <v>0.75</v>
      </c>
      <c r="O35" s="12">
        <f t="shared" si="1"/>
        <v>22475</v>
      </c>
      <c r="P35" s="6" t="s">
        <v>3499</v>
      </c>
    </row>
    <row r="36" spans="1:16" x14ac:dyDescent="0.25">
      <c r="A36" s="6" t="s">
        <v>3502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6">
        <v>7</v>
      </c>
      <c r="H36" s="6">
        <v>81305</v>
      </c>
      <c r="I36" s="6" t="s">
        <v>16</v>
      </c>
      <c r="J36" s="6">
        <v>50190113</v>
      </c>
      <c r="K36" s="6" t="s">
        <v>1295</v>
      </c>
      <c r="L36" s="13" t="s">
        <v>1298</v>
      </c>
      <c r="M36" s="19">
        <v>89900</v>
      </c>
      <c r="N36" s="62">
        <v>0.75</v>
      </c>
      <c r="O36" s="12">
        <f t="shared" si="1"/>
        <v>22475</v>
      </c>
      <c r="P36" s="6" t="s">
        <v>3499</v>
      </c>
    </row>
    <row r="37" spans="1:16" x14ac:dyDescent="0.25">
      <c r="A37" s="6" t="s">
        <v>3502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6">
        <v>7</v>
      </c>
      <c r="H37" s="6">
        <v>81305</v>
      </c>
      <c r="I37" s="6" t="s">
        <v>16</v>
      </c>
      <c r="J37" s="6">
        <v>50190122</v>
      </c>
      <c r="K37" s="6" t="s">
        <v>1295</v>
      </c>
      <c r="L37" s="13" t="s">
        <v>1299</v>
      </c>
      <c r="M37" s="19">
        <v>89900</v>
      </c>
      <c r="N37" s="62">
        <v>0.75</v>
      </c>
      <c r="O37" s="12">
        <f t="shared" si="1"/>
        <v>22475</v>
      </c>
      <c r="P37" s="6" t="s">
        <v>3499</v>
      </c>
    </row>
    <row r="38" spans="1:16" x14ac:dyDescent="0.25">
      <c r="A38" s="6" t="s">
        <v>3502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8">
        <v>7</v>
      </c>
      <c r="H38" s="8">
        <v>81305</v>
      </c>
      <c r="I38" s="8" t="s">
        <v>16</v>
      </c>
      <c r="J38" s="8">
        <v>50095726</v>
      </c>
      <c r="K38" s="8" t="s">
        <v>1300</v>
      </c>
      <c r="L38" s="9" t="s">
        <v>1301</v>
      </c>
      <c r="M38" s="10">
        <v>89900</v>
      </c>
      <c r="N38" s="62">
        <v>0.75</v>
      </c>
      <c r="O38" s="12">
        <f t="shared" si="1"/>
        <v>22475</v>
      </c>
      <c r="P38" s="6" t="s">
        <v>3499</v>
      </c>
    </row>
    <row r="39" spans="1:16" x14ac:dyDescent="0.25">
      <c r="A39" s="6" t="s">
        <v>3502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8">
        <v>7</v>
      </c>
      <c r="H39" s="8">
        <v>81305</v>
      </c>
      <c r="I39" s="8" t="s">
        <v>16</v>
      </c>
      <c r="J39" s="8">
        <v>50095735</v>
      </c>
      <c r="K39" s="8" t="s">
        <v>1300</v>
      </c>
      <c r="L39" s="9" t="s">
        <v>1302</v>
      </c>
      <c r="M39" s="10">
        <v>89900</v>
      </c>
      <c r="N39" s="62">
        <v>0.75</v>
      </c>
      <c r="O39" s="12">
        <f t="shared" si="1"/>
        <v>22475</v>
      </c>
      <c r="P39" s="6" t="s">
        <v>3499</v>
      </c>
    </row>
    <row r="40" spans="1:16" x14ac:dyDescent="0.25">
      <c r="A40" s="6" t="s">
        <v>3502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8">
        <v>7</v>
      </c>
      <c r="H40" s="8">
        <v>81305</v>
      </c>
      <c r="I40" s="8" t="s">
        <v>16</v>
      </c>
      <c r="J40" s="8">
        <v>50095744</v>
      </c>
      <c r="K40" s="8" t="s">
        <v>1300</v>
      </c>
      <c r="L40" s="9" t="s">
        <v>1303</v>
      </c>
      <c r="M40" s="10">
        <v>89900</v>
      </c>
      <c r="N40" s="62">
        <v>0.75</v>
      </c>
      <c r="O40" s="12">
        <f t="shared" si="1"/>
        <v>22475</v>
      </c>
      <c r="P40" s="6" t="s">
        <v>3499</v>
      </c>
    </row>
    <row r="41" spans="1:16" x14ac:dyDescent="0.25">
      <c r="A41" s="6" t="s">
        <v>3502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8">
        <v>7</v>
      </c>
      <c r="H41" s="8">
        <v>81305</v>
      </c>
      <c r="I41" s="8" t="s">
        <v>16</v>
      </c>
      <c r="J41" s="8">
        <v>50095753</v>
      </c>
      <c r="K41" s="8" t="s">
        <v>1300</v>
      </c>
      <c r="L41" s="9" t="s">
        <v>1304</v>
      </c>
      <c r="M41" s="10">
        <v>89900</v>
      </c>
      <c r="N41" s="62">
        <v>0.75</v>
      </c>
      <c r="O41" s="12">
        <f t="shared" si="1"/>
        <v>22475</v>
      </c>
      <c r="P41" s="6" t="s">
        <v>3499</v>
      </c>
    </row>
    <row r="42" spans="1:16" x14ac:dyDescent="0.25">
      <c r="A42" s="6" t="s">
        <v>3502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8">
        <v>7</v>
      </c>
      <c r="H42" s="8">
        <v>81305</v>
      </c>
      <c r="I42" s="8" t="s">
        <v>16</v>
      </c>
      <c r="J42" s="8">
        <v>50095762</v>
      </c>
      <c r="K42" s="8" t="s">
        <v>1305</v>
      </c>
      <c r="L42" s="9" t="s">
        <v>1306</v>
      </c>
      <c r="M42" s="10">
        <v>89900</v>
      </c>
      <c r="N42" s="62">
        <v>0.75</v>
      </c>
      <c r="O42" s="12">
        <f t="shared" si="1"/>
        <v>22475</v>
      </c>
      <c r="P42" s="6" t="s">
        <v>3499</v>
      </c>
    </row>
    <row r="43" spans="1:16" x14ac:dyDescent="0.25">
      <c r="A43" s="6" t="s">
        <v>3502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8">
        <v>7</v>
      </c>
      <c r="H43" s="8">
        <v>81305</v>
      </c>
      <c r="I43" s="8" t="s">
        <v>16</v>
      </c>
      <c r="J43" s="8">
        <v>50095771</v>
      </c>
      <c r="K43" s="8" t="s">
        <v>1305</v>
      </c>
      <c r="L43" s="9" t="s">
        <v>1307</v>
      </c>
      <c r="M43" s="10">
        <v>89900</v>
      </c>
      <c r="N43" s="62">
        <v>0.75</v>
      </c>
      <c r="O43" s="12">
        <f t="shared" si="1"/>
        <v>22475</v>
      </c>
      <c r="P43" s="6" t="s">
        <v>3499</v>
      </c>
    </row>
    <row r="44" spans="1:16" x14ac:dyDescent="0.25">
      <c r="A44" s="6" t="s">
        <v>3502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8">
        <v>7</v>
      </c>
      <c r="H44" s="8">
        <v>81305</v>
      </c>
      <c r="I44" s="8" t="s">
        <v>16</v>
      </c>
      <c r="J44" s="8">
        <v>50095780</v>
      </c>
      <c r="K44" s="8" t="s">
        <v>1305</v>
      </c>
      <c r="L44" s="9" t="s">
        <v>1308</v>
      </c>
      <c r="M44" s="10">
        <v>89900</v>
      </c>
      <c r="N44" s="62">
        <v>0.75</v>
      </c>
      <c r="O44" s="12">
        <f t="shared" si="1"/>
        <v>22475</v>
      </c>
      <c r="P44" s="6" t="s">
        <v>3499</v>
      </c>
    </row>
    <row r="45" spans="1:16" x14ac:dyDescent="0.25">
      <c r="A45" s="6" t="s">
        <v>3502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8">
        <v>7</v>
      </c>
      <c r="H45" s="8">
        <v>81305</v>
      </c>
      <c r="I45" s="8" t="s">
        <v>16</v>
      </c>
      <c r="J45" s="8">
        <v>50095799</v>
      </c>
      <c r="K45" s="8" t="s">
        <v>1305</v>
      </c>
      <c r="L45" s="9" t="s">
        <v>1309</v>
      </c>
      <c r="M45" s="10">
        <v>89900</v>
      </c>
      <c r="N45" s="62">
        <v>0.75</v>
      </c>
      <c r="O45" s="12">
        <f t="shared" si="1"/>
        <v>22475</v>
      </c>
      <c r="P45" s="6" t="s">
        <v>3499</v>
      </c>
    </row>
    <row r="46" spans="1:16" x14ac:dyDescent="0.25">
      <c r="A46" s="6" t="s">
        <v>3502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8">
        <v>7</v>
      </c>
      <c r="H46" s="8">
        <v>81305</v>
      </c>
      <c r="I46" s="8" t="s">
        <v>16</v>
      </c>
      <c r="J46" s="8">
        <v>50095806</v>
      </c>
      <c r="K46" s="8" t="s">
        <v>1310</v>
      </c>
      <c r="L46" s="9" t="s">
        <v>1311</v>
      </c>
      <c r="M46" s="10">
        <v>89900</v>
      </c>
      <c r="N46" s="62">
        <v>0.75</v>
      </c>
      <c r="O46" s="12">
        <f t="shared" si="1"/>
        <v>22475</v>
      </c>
      <c r="P46" s="6" t="s">
        <v>3499</v>
      </c>
    </row>
    <row r="47" spans="1:16" x14ac:dyDescent="0.25">
      <c r="A47" s="6" t="s">
        <v>3502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8">
        <v>7</v>
      </c>
      <c r="H47" s="8">
        <v>81305</v>
      </c>
      <c r="I47" s="8" t="s">
        <v>16</v>
      </c>
      <c r="J47" s="8">
        <v>50095815</v>
      </c>
      <c r="K47" s="8" t="s">
        <v>1310</v>
      </c>
      <c r="L47" s="9" t="s">
        <v>1312</v>
      </c>
      <c r="M47" s="10">
        <v>89900</v>
      </c>
      <c r="N47" s="62">
        <v>0.75</v>
      </c>
      <c r="O47" s="12">
        <f t="shared" si="1"/>
        <v>22475</v>
      </c>
      <c r="P47" s="6" t="s">
        <v>3499</v>
      </c>
    </row>
    <row r="48" spans="1:16" x14ac:dyDescent="0.25">
      <c r="A48" s="6" t="s">
        <v>3502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8">
        <v>7</v>
      </c>
      <c r="H48" s="8">
        <v>81305</v>
      </c>
      <c r="I48" s="8" t="s">
        <v>16</v>
      </c>
      <c r="J48" s="8">
        <v>50095824</v>
      </c>
      <c r="K48" s="8" t="s">
        <v>1310</v>
      </c>
      <c r="L48" s="9" t="s">
        <v>1313</v>
      </c>
      <c r="M48" s="10">
        <v>89900</v>
      </c>
      <c r="N48" s="62">
        <v>0.75</v>
      </c>
      <c r="O48" s="12">
        <f t="shared" si="1"/>
        <v>22475</v>
      </c>
      <c r="P48" s="6" t="s">
        <v>3499</v>
      </c>
    </row>
    <row r="49" spans="1:16" x14ac:dyDescent="0.25">
      <c r="A49" s="6" t="s">
        <v>3502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8">
        <v>7</v>
      </c>
      <c r="H49" s="8">
        <v>81305</v>
      </c>
      <c r="I49" s="8" t="s">
        <v>16</v>
      </c>
      <c r="J49" s="8">
        <v>50095833</v>
      </c>
      <c r="K49" s="8" t="s">
        <v>1310</v>
      </c>
      <c r="L49" s="9" t="s">
        <v>1314</v>
      </c>
      <c r="M49" s="10">
        <v>89900</v>
      </c>
      <c r="N49" s="62">
        <v>0.75</v>
      </c>
      <c r="O49" s="12">
        <f t="shared" si="1"/>
        <v>22475</v>
      </c>
      <c r="P49" s="6" t="s">
        <v>3499</v>
      </c>
    </row>
    <row r="50" spans="1:16" x14ac:dyDescent="0.25">
      <c r="A50" s="6" t="s">
        <v>3502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8">
        <v>7</v>
      </c>
      <c r="H50" s="8">
        <v>81305</v>
      </c>
      <c r="I50" s="8" t="s">
        <v>16</v>
      </c>
      <c r="J50" s="8">
        <v>50095842</v>
      </c>
      <c r="K50" s="8" t="s">
        <v>1315</v>
      </c>
      <c r="L50" s="9" t="s">
        <v>1316</v>
      </c>
      <c r="M50" s="10">
        <v>89900</v>
      </c>
      <c r="N50" s="62">
        <v>0.75</v>
      </c>
      <c r="O50" s="12">
        <f t="shared" si="1"/>
        <v>22475</v>
      </c>
      <c r="P50" s="6" t="s">
        <v>3499</v>
      </c>
    </row>
    <row r="51" spans="1:16" x14ac:dyDescent="0.25">
      <c r="A51" s="6" t="s">
        <v>3502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8">
        <v>7</v>
      </c>
      <c r="H51" s="8">
        <v>81305</v>
      </c>
      <c r="I51" s="8" t="s">
        <v>16</v>
      </c>
      <c r="J51" s="8">
        <v>50095851</v>
      </c>
      <c r="K51" s="8" t="s">
        <v>1315</v>
      </c>
      <c r="L51" s="9" t="s">
        <v>1317</v>
      </c>
      <c r="M51" s="10">
        <v>89900</v>
      </c>
      <c r="N51" s="62">
        <v>0.75</v>
      </c>
      <c r="O51" s="12">
        <f t="shared" si="1"/>
        <v>22475</v>
      </c>
      <c r="P51" s="6" t="s">
        <v>3499</v>
      </c>
    </row>
    <row r="52" spans="1:16" x14ac:dyDescent="0.25">
      <c r="A52" s="6" t="s">
        <v>3502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8">
        <v>7</v>
      </c>
      <c r="H52" s="8">
        <v>81305</v>
      </c>
      <c r="I52" s="8" t="s">
        <v>16</v>
      </c>
      <c r="J52" s="8">
        <v>50095860</v>
      </c>
      <c r="K52" s="8" t="s">
        <v>1315</v>
      </c>
      <c r="L52" s="9" t="s">
        <v>1318</v>
      </c>
      <c r="M52" s="10">
        <v>89900</v>
      </c>
      <c r="N52" s="62">
        <v>0.75</v>
      </c>
      <c r="O52" s="12">
        <f t="shared" si="1"/>
        <v>22475</v>
      </c>
      <c r="P52" s="6" t="s">
        <v>3499</v>
      </c>
    </row>
    <row r="53" spans="1:16" x14ac:dyDescent="0.25">
      <c r="A53" s="6" t="s">
        <v>3502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8">
        <v>7</v>
      </c>
      <c r="H53" s="8">
        <v>81305</v>
      </c>
      <c r="I53" s="8" t="s">
        <v>16</v>
      </c>
      <c r="J53" s="8">
        <v>50095879</v>
      </c>
      <c r="K53" s="8" t="s">
        <v>1315</v>
      </c>
      <c r="L53" s="9" t="s">
        <v>1319</v>
      </c>
      <c r="M53" s="10">
        <v>89900</v>
      </c>
      <c r="N53" s="62">
        <v>0.75</v>
      </c>
      <c r="O53" s="12">
        <f t="shared" si="1"/>
        <v>22475</v>
      </c>
      <c r="P53" s="6" t="s">
        <v>3499</v>
      </c>
    </row>
    <row r="54" spans="1:16" x14ac:dyDescent="0.25">
      <c r="A54" s="6" t="s">
        <v>3502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8">
        <v>7</v>
      </c>
      <c r="H54" s="8">
        <v>81305</v>
      </c>
      <c r="I54" s="8" t="s">
        <v>16</v>
      </c>
      <c r="J54" s="8">
        <v>50095888</v>
      </c>
      <c r="K54" s="8" t="s">
        <v>1320</v>
      </c>
      <c r="L54" s="9" t="s">
        <v>1321</v>
      </c>
      <c r="M54" s="10">
        <v>89900</v>
      </c>
      <c r="N54" s="62">
        <v>0.75</v>
      </c>
      <c r="O54" s="12">
        <f t="shared" si="1"/>
        <v>22475</v>
      </c>
      <c r="P54" s="6" t="s">
        <v>3499</v>
      </c>
    </row>
    <row r="55" spans="1:16" x14ac:dyDescent="0.25">
      <c r="A55" s="6" t="s">
        <v>3502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8">
        <v>7</v>
      </c>
      <c r="H55" s="8">
        <v>81305</v>
      </c>
      <c r="I55" s="8" t="s">
        <v>16</v>
      </c>
      <c r="J55" s="8">
        <v>50095897</v>
      </c>
      <c r="K55" s="8" t="s">
        <v>1320</v>
      </c>
      <c r="L55" s="9" t="s">
        <v>1322</v>
      </c>
      <c r="M55" s="10">
        <v>89900</v>
      </c>
      <c r="N55" s="62">
        <v>0.75</v>
      </c>
      <c r="O55" s="12">
        <f t="shared" si="1"/>
        <v>22475</v>
      </c>
      <c r="P55" s="6" t="s">
        <v>3499</v>
      </c>
    </row>
    <row r="56" spans="1:16" x14ac:dyDescent="0.25">
      <c r="A56" s="6" t="s">
        <v>3502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8">
        <v>7</v>
      </c>
      <c r="H56" s="8">
        <v>81305</v>
      </c>
      <c r="I56" s="8" t="s">
        <v>16</v>
      </c>
      <c r="J56" s="8">
        <v>50095904</v>
      </c>
      <c r="K56" s="8" t="s">
        <v>1320</v>
      </c>
      <c r="L56" s="9" t="s">
        <v>1323</v>
      </c>
      <c r="M56" s="10">
        <v>89900</v>
      </c>
      <c r="N56" s="62">
        <v>0.75</v>
      </c>
      <c r="O56" s="12">
        <f t="shared" si="1"/>
        <v>22475</v>
      </c>
      <c r="P56" s="6" t="s">
        <v>3499</v>
      </c>
    </row>
    <row r="57" spans="1:16" x14ac:dyDescent="0.25">
      <c r="A57" s="6" t="s">
        <v>3502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8">
        <v>7</v>
      </c>
      <c r="H57" s="8">
        <v>81305</v>
      </c>
      <c r="I57" s="8" t="s">
        <v>16</v>
      </c>
      <c r="J57" s="8">
        <v>50095913</v>
      </c>
      <c r="K57" s="8" t="s">
        <v>1320</v>
      </c>
      <c r="L57" s="9" t="s">
        <v>1324</v>
      </c>
      <c r="M57" s="10">
        <v>89900</v>
      </c>
      <c r="N57" s="62">
        <v>0.75</v>
      </c>
      <c r="O57" s="12">
        <f t="shared" si="1"/>
        <v>22475</v>
      </c>
      <c r="P57" s="6" t="s">
        <v>3499</v>
      </c>
    </row>
    <row r="58" spans="1:16" x14ac:dyDescent="0.25">
      <c r="A58" s="6" t="s">
        <v>3502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8">
        <v>7</v>
      </c>
      <c r="H58" s="8">
        <v>4953</v>
      </c>
      <c r="I58" s="8" t="s">
        <v>16</v>
      </c>
      <c r="J58" s="8">
        <v>50095922</v>
      </c>
      <c r="K58" s="8" t="s">
        <v>1325</v>
      </c>
      <c r="L58" s="9" t="s">
        <v>1326</v>
      </c>
      <c r="M58" s="10">
        <v>89900</v>
      </c>
      <c r="N58" s="62">
        <v>0.75</v>
      </c>
      <c r="O58" s="12">
        <f t="shared" si="1"/>
        <v>22475</v>
      </c>
      <c r="P58" s="6" t="s">
        <v>3499</v>
      </c>
    </row>
    <row r="59" spans="1:16" x14ac:dyDescent="0.25">
      <c r="A59" s="6" t="s">
        <v>3502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8">
        <v>7</v>
      </c>
      <c r="H59" s="8">
        <v>4953</v>
      </c>
      <c r="I59" s="8" t="s">
        <v>16</v>
      </c>
      <c r="J59" s="8">
        <v>50095931</v>
      </c>
      <c r="K59" s="8" t="s">
        <v>1325</v>
      </c>
      <c r="L59" s="9" t="s">
        <v>1327</v>
      </c>
      <c r="M59" s="10">
        <v>89900</v>
      </c>
      <c r="N59" s="62">
        <v>0.75</v>
      </c>
      <c r="O59" s="12">
        <f t="shared" si="1"/>
        <v>22475</v>
      </c>
      <c r="P59" s="6" t="s">
        <v>3499</v>
      </c>
    </row>
    <row r="60" spans="1:16" x14ac:dyDescent="0.25">
      <c r="A60" s="6" t="s">
        <v>3502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8">
        <v>7</v>
      </c>
      <c r="H60" s="8">
        <v>4953</v>
      </c>
      <c r="I60" s="8" t="s">
        <v>16</v>
      </c>
      <c r="J60" s="8">
        <v>50095940</v>
      </c>
      <c r="K60" s="8" t="s">
        <v>1325</v>
      </c>
      <c r="L60" s="9" t="s">
        <v>1328</v>
      </c>
      <c r="M60" s="10">
        <v>89900</v>
      </c>
      <c r="N60" s="62">
        <v>0.75</v>
      </c>
      <c r="O60" s="12">
        <f t="shared" si="1"/>
        <v>22475</v>
      </c>
      <c r="P60" s="6" t="s">
        <v>3499</v>
      </c>
    </row>
    <row r="61" spans="1:16" x14ac:dyDescent="0.25">
      <c r="A61" s="6" t="s">
        <v>3502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8">
        <v>7</v>
      </c>
      <c r="H61" s="8">
        <v>4953</v>
      </c>
      <c r="I61" s="8" t="s">
        <v>16</v>
      </c>
      <c r="J61" s="8">
        <v>50095959</v>
      </c>
      <c r="K61" s="8" t="s">
        <v>1325</v>
      </c>
      <c r="L61" s="9" t="s">
        <v>1329</v>
      </c>
      <c r="M61" s="10">
        <v>89900</v>
      </c>
      <c r="N61" s="62">
        <v>0.75</v>
      </c>
      <c r="O61" s="12">
        <f t="shared" si="1"/>
        <v>22475</v>
      </c>
      <c r="P61" s="6" t="s">
        <v>3499</v>
      </c>
    </row>
    <row r="62" spans="1:16" x14ac:dyDescent="0.25">
      <c r="A62" s="6" t="s">
        <v>3502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8">
        <v>7</v>
      </c>
      <c r="H62" s="8">
        <v>4953</v>
      </c>
      <c r="I62" s="8" t="s">
        <v>16</v>
      </c>
      <c r="J62" s="8">
        <v>50095968</v>
      </c>
      <c r="K62" s="8" t="s">
        <v>1330</v>
      </c>
      <c r="L62" s="9" t="s">
        <v>1331</v>
      </c>
      <c r="M62" s="10">
        <v>89900</v>
      </c>
      <c r="N62" s="62">
        <v>0.75</v>
      </c>
      <c r="O62" s="12">
        <f t="shared" si="1"/>
        <v>22475</v>
      </c>
      <c r="P62" s="6" t="s">
        <v>3499</v>
      </c>
    </row>
    <row r="63" spans="1:16" x14ac:dyDescent="0.25">
      <c r="A63" s="6" t="s">
        <v>3502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8">
        <v>7</v>
      </c>
      <c r="H63" s="8">
        <v>4953</v>
      </c>
      <c r="I63" s="8" t="s">
        <v>16</v>
      </c>
      <c r="J63" s="8">
        <v>50095977</v>
      </c>
      <c r="K63" s="8" t="s">
        <v>1330</v>
      </c>
      <c r="L63" s="9" t="s">
        <v>1332</v>
      </c>
      <c r="M63" s="10">
        <v>89900</v>
      </c>
      <c r="N63" s="62">
        <v>0.75</v>
      </c>
      <c r="O63" s="12">
        <f t="shared" si="1"/>
        <v>22475</v>
      </c>
      <c r="P63" s="6" t="s">
        <v>3499</v>
      </c>
    </row>
    <row r="64" spans="1:16" x14ac:dyDescent="0.25">
      <c r="A64" s="6" t="s">
        <v>3502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8">
        <v>7</v>
      </c>
      <c r="H64" s="8">
        <v>4953</v>
      </c>
      <c r="I64" s="8" t="s">
        <v>16</v>
      </c>
      <c r="J64" s="8">
        <v>50095986</v>
      </c>
      <c r="K64" s="8" t="s">
        <v>1330</v>
      </c>
      <c r="L64" s="9" t="s">
        <v>1333</v>
      </c>
      <c r="M64" s="10">
        <v>89900</v>
      </c>
      <c r="N64" s="62">
        <v>0.75</v>
      </c>
      <c r="O64" s="12">
        <f t="shared" si="1"/>
        <v>22475</v>
      </c>
      <c r="P64" s="6" t="s">
        <v>3499</v>
      </c>
    </row>
    <row r="65" spans="1:16" x14ac:dyDescent="0.25">
      <c r="A65" s="6" t="s">
        <v>3502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8">
        <v>7</v>
      </c>
      <c r="H65" s="8">
        <v>4953</v>
      </c>
      <c r="I65" s="8" t="s">
        <v>16</v>
      </c>
      <c r="J65" s="8">
        <v>50095995</v>
      </c>
      <c r="K65" s="8" t="s">
        <v>1330</v>
      </c>
      <c r="L65" s="9" t="s">
        <v>1334</v>
      </c>
      <c r="M65" s="10">
        <v>89900</v>
      </c>
      <c r="N65" s="62">
        <v>0.75</v>
      </c>
      <c r="O65" s="12">
        <f t="shared" si="1"/>
        <v>22475</v>
      </c>
      <c r="P65" s="6" t="s">
        <v>3499</v>
      </c>
    </row>
    <row r="66" spans="1:16" x14ac:dyDescent="0.25">
      <c r="A66" s="6" t="s">
        <v>3502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8">
        <v>7</v>
      </c>
      <c r="H66" s="8">
        <v>4953</v>
      </c>
      <c r="I66" s="8" t="s">
        <v>16</v>
      </c>
      <c r="J66" s="8">
        <v>50096001</v>
      </c>
      <c r="K66" s="8" t="s">
        <v>1335</v>
      </c>
      <c r="L66" s="9" t="s">
        <v>1336</v>
      </c>
      <c r="M66" s="10">
        <v>89900</v>
      </c>
      <c r="N66" s="62">
        <v>0.75</v>
      </c>
      <c r="O66" s="12">
        <f t="shared" si="1"/>
        <v>22475</v>
      </c>
      <c r="P66" s="6" t="s">
        <v>3499</v>
      </c>
    </row>
    <row r="67" spans="1:16" x14ac:dyDescent="0.25">
      <c r="A67" s="6" t="s">
        <v>3502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8">
        <v>7</v>
      </c>
      <c r="H67" s="8">
        <v>4953</v>
      </c>
      <c r="I67" s="8" t="s">
        <v>16</v>
      </c>
      <c r="J67" s="8">
        <v>50096010</v>
      </c>
      <c r="K67" s="8" t="s">
        <v>1335</v>
      </c>
      <c r="L67" s="9" t="s">
        <v>1337</v>
      </c>
      <c r="M67" s="10">
        <v>89900</v>
      </c>
      <c r="N67" s="62">
        <v>0.75</v>
      </c>
      <c r="O67" s="12">
        <f t="shared" ref="O67:O73" si="2">M67-((75*M67)/100)</f>
        <v>22475</v>
      </c>
      <c r="P67" s="6" t="s">
        <v>3499</v>
      </c>
    </row>
    <row r="68" spans="1:16" x14ac:dyDescent="0.25">
      <c r="A68" s="6" t="s">
        <v>3502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8">
        <v>7</v>
      </c>
      <c r="H68" s="8">
        <v>4953</v>
      </c>
      <c r="I68" s="8" t="s">
        <v>16</v>
      </c>
      <c r="J68" s="8">
        <v>50096029</v>
      </c>
      <c r="K68" s="8" t="s">
        <v>1335</v>
      </c>
      <c r="L68" s="9" t="s">
        <v>1338</v>
      </c>
      <c r="M68" s="10">
        <v>89900</v>
      </c>
      <c r="N68" s="62">
        <v>0.75</v>
      </c>
      <c r="O68" s="12">
        <f t="shared" si="2"/>
        <v>22475</v>
      </c>
      <c r="P68" s="6" t="s">
        <v>3499</v>
      </c>
    </row>
    <row r="69" spans="1:16" x14ac:dyDescent="0.25">
      <c r="A69" s="6" t="s">
        <v>3502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8">
        <v>7</v>
      </c>
      <c r="H69" s="8">
        <v>4953</v>
      </c>
      <c r="I69" s="8" t="s">
        <v>16</v>
      </c>
      <c r="J69" s="8">
        <v>50096038</v>
      </c>
      <c r="K69" s="8" t="s">
        <v>1335</v>
      </c>
      <c r="L69" s="9" t="s">
        <v>1339</v>
      </c>
      <c r="M69" s="10">
        <v>89900</v>
      </c>
      <c r="N69" s="62">
        <v>0.75</v>
      </c>
      <c r="O69" s="12">
        <f t="shared" si="2"/>
        <v>22475</v>
      </c>
      <c r="P69" s="6" t="s">
        <v>3499</v>
      </c>
    </row>
    <row r="70" spans="1:16" x14ac:dyDescent="0.25">
      <c r="A70" s="6" t="s">
        <v>3502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8">
        <v>7</v>
      </c>
      <c r="H70" s="8">
        <v>4953</v>
      </c>
      <c r="I70" s="8" t="s">
        <v>16</v>
      </c>
      <c r="J70" s="8">
        <v>50096047</v>
      </c>
      <c r="K70" s="8" t="s">
        <v>1340</v>
      </c>
      <c r="L70" s="9" t="s">
        <v>1341</v>
      </c>
      <c r="M70" s="10">
        <v>89900</v>
      </c>
      <c r="N70" s="62">
        <v>0.75</v>
      </c>
      <c r="O70" s="12">
        <f t="shared" si="2"/>
        <v>22475</v>
      </c>
      <c r="P70" s="6" t="s">
        <v>3499</v>
      </c>
    </row>
    <row r="71" spans="1:16" x14ac:dyDescent="0.25">
      <c r="A71" s="6" t="s">
        <v>3502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8">
        <v>7</v>
      </c>
      <c r="H71" s="8">
        <v>4953</v>
      </c>
      <c r="I71" s="8" t="s">
        <v>16</v>
      </c>
      <c r="J71" s="8">
        <v>50096056</v>
      </c>
      <c r="K71" s="8" t="s">
        <v>1340</v>
      </c>
      <c r="L71" s="9" t="s">
        <v>1342</v>
      </c>
      <c r="M71" s="10">
        <v>89900</v>
      </c>
      <c r="N71" s="62">
        <v>0.75</v>
      </c>
      <c r="O71" s="12">
        <f t="shared" si="2"/>
        <v>22475</v>
      </c>
      <c r="P71" s="6" t="s">
        <v>3499</v>
      </c>
    </row>
    <row r="72" spans="1:16" x14ac:dyDescent="0.25">
      <c r="A72" s="6" t="s">
        <v>3502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8">
        <v>7</v>
      </c>
      <c r="H72" s="8">
        <v>4953</v>
      </c>
      <c r="I72" s="8" t="s">
        <v>16</v>
      </c>
      <c r="J72" s="8">
        <v>50096065</v>
      </c>
      <c r="K72" s="8" t="s">
        <v>1340</v>
      </c>
      <c r="L72" s="9" t="s">
        <v>1343</v>
      </c>
      <c r="M72" s="10">
        <v>89900</v>
      </c>
      <c r="N72" s="62">
        <v>0.75</v>
      </c>
      <c r="O72" s="12">
        <f t="shared" si="2"/>
        <v>22475</v>
      </c>
      <c r="P72" s="6" t="s">
        <v>3499</v>
      </c>
    </row>
    <row r="73" spans="1:16" x14ac:dyDescent="0.25">
      <c r="A73" s="6" t="s">
        <v>3502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8">
        <v>7</v>
      </c>
      <c r="H73" s="8">
        <v>4953</v>
      </c>
      <c r="I73" s="8" t="s">
        <v>16</v>
      </c>
      <c r="J73" s="8">
        <v>50096074</v>
      </c>
      <c r="K73" s="8" t="s">
        <v>1340</v>
      </c>
      <c r="L73" s="9" t="s">
        <v>1344</v>
      </c>
      <c r="M73" s="10">
        <v>89900</v>
      </c>
      <c r="N73" s="62">
        <v>0.75</v>
      </c>
      <c r="O73" s="12">
        <f t="shared" si="2"/>
        <v>22475</v>
      </c>
      <c r="P73" s="6" t="s">
        <v>3499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7202-476C-49E5-B375-205253FEEC36}">
  <sheetPr>
    <tabColor rgb="FF00B050"/>
  </sheetPr>
  <dimension ref="A1:P193"/>
  <sheetViews>
    <sheetView topLeftCell="A181" workbookViewId="0">
      <selection activeCell="C193" sqref="C193"/>
    </sheetView>
  </sheetViews>
  <sheetFormatPr defaultRowHeight="15" x14ac:dyDescent="0.25"/>
  <cols>
    <col min="1" max="1" width="29.710937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.140625" bestFit="1" customWidth="1"/>
    <col min="12" max="12" width="95.5703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s="61" customFormat="1" x14ac:dyDescent="0.25">
      <c r="A2" s="55" t="s">
        <v>3501</v>
      </c>
      <c r="B2" s="56">
        <v>46121</v>
      </c>
      <c r="C2" s="56">
        <v>46127</v>
      </c>
      <c r="D2" s="55">
        <v>3271</v>
      </c>
      <c r="E2" s="55">
        <v>336</v>
      </c>
      <c r="F2" s="55">
        <v>4</v>
      </c>
      <c r="G2" s="55">
        <v>6</v>
      </c>
      <c r="H2" s="55">
        <v>81328</v>
      </c>
      <c r="I2" s="55" t="s">
        <v>543</v>
      </c>
      <c r="J2" s="55">
        <v>45182365</v>
      </c>
      <c r="K2" s="55" t="s">
        <v>1345</v>
      </c>
      <c r="L2" s="55" t="s">
        <v>1346</v>
      </c>
      <c r="M2" s="60">
        <v>79900</v>
      </c>
      <c r="N2" s="62">
        <v>0.75</v>
      </c>
      <c r="O2" s="60">
        <f t="shared" ref="O2" si="0">M2-((75*M2)/100)</f>
        <v>19975</v>
      </c>
      <c r="P2" s="55" t="s">
        <v>3499</v>
      </c>
    </row>
    <row r="3" spans="1:16" s="61" customFormat="1" x14ac:dyDescent="0.25">
      <c r="A3" s="55" t="s">
        <v>3501</v>
      </c>
      <c r="B3" s="56">
        <v>46121</v>
      </c>
      <c r="C3" s="56">
        <v>46127</v>
      </c>
      <c r="D3" s="55">
        <v>3271</v>
      </c>
      <c r="E3" s="55">
        <v>336</v>
      </c>
      <c r="F3" s="55">
        <v>4</v>
      </c>
      <c r="G3" s="55">
        <v>6</v>
      </c>
      <c r="H3" s="55">
        <v>81328</v>
      </c>
      <c r="I3" s="55" t="s">
        <v>543</v>
      </c>
      <c r="J3" s="55">
        <v>45182374</v>
      </c>
      <c r="K3" s="55" t="s">
        <v>1345</v>
      </c>
      <c r="L3" s="55" t="s">
        <v>1347</v>
      </c>
      <c r="M3" s="60">
        <v>79900</v>
      </c>
      <c r="N3" s="62">
        <v>0.75</v>
      </c>
      <c r="O3" s="60">
        <f t="shared" ref="O3:O66" si="1">M3-((75*M3)/100)</f>
        <v>19975</v>
      </c>
      <c r="P3" s="55" t="s">
        <v>3499</v>
      </c>
    </row>
    <row r="4" spans="1:16" s="61" customFormat="1" x14ac:dyDescent="0.25">
      <c r="A4" s="55" t="s">
        <v>3501</v>
      </c>
      <c r="B4" s="56">
        <v>46121</v>
      </c>
      <c r="C4" s="56">
        <v>46127</v>
      </c>
      <c r="D4" s="55">
        <v>3271</v>
      </c>
      <c r="E4" s="55">
        <v>336</v>
      </c>
      <c r="F4" s="55">
        <v>4</v>
      </c>
      <c r="G4" s="55">
        <v>6</v>
      </c>
      <c r="H4" s="55">
        <v>81328</v>
      </c>
      <c r="I4" s="55" t="s">
        <v>543</v>
      </c>
      <c r="J4" s="55">
        <v>45182383</v>
      </c>
      <c r="K4" s="55" t="s">
        <v>1345</v>
      </c>
      <c r="L4" s="55" t="s">
        <v>1348</v>
      </c>
      <c r="M4" s="60">
        <v>79900</v>
      </c>
      <c r="N4" s="62">
        <v>0.75</v>
      </c>
      <c r="O4" s="60">
        <f t="shared" si="1"/>
        <v>19975</v>
      </c>
      <c r="P4" s="55" t="s">
        <v>3499</v>
      </c>
    </row>
    <row r="5" spans="1:16" s="61" customFormat="1" x14ac:dyDescent="0.25">
      <c r="A5" s="55" t="s">
        <v>3501</v>
      </c>
      <c r="B5" s="56">
        <v>46121</v>
      </c>
      <c r="C5" s="56">
        <v>46127</v>
      </c>
      <c r="D5" s="55">
        <v>3271</v>
      </c>
      <c r="E5" s="55">
        <v>336</v>
      </c>
      <c r="F5" s="55">
        <v>4</v>
      </c>
      <c r="G5" s="55">
        <v>6</v>
      </c>
      <c r="H5" s="55">
        <v>81328</v>
      </c>
      <c r="I5" s="55" t="s">
        <v>543</v>
      </c>
      <c r="J5" s="55">
        <v>45182392</v>
      </c>
      <c r="K5" s="55" t="s">
        <v>1345</v>
      </c>
      <c r="L5" s="55" t="s">
        <v>1349</v>
      </c>
      <c r="M5" s="60">
        <v>79900</v>
      </c>
      <c r="N5" s="62">
        <v>0.75</v>
      </c>
      <c r="O5" s="60">
        <f t="shared" si="1"/>
        <v>19975</v>
      </c>
      <c r="P5" s="55" t="s">
        <v>3499</v>
      </c>
    </row>
    <row r="6" spans="1:16" s="61" customFormat="1" x14ac:dyDescent="0.25">
      <c r="A6" s="55" t="s">
        <v>3501</v>
      </c>
      <c r="B6" s="56">
        <v>46121</v>
      </c>
      <c r="C6" s="56">
        <v>46127</v>
      </c>
      <c r="D6" s="55">
        <v>3271</v>
      </c>
      <c r="E6" s="55">
        <v>336</v>
      </c>
      <c r="F6" s="55">
        <v>4</v>
      </c>
      <c r="G6" s="55">
        <v>6</v>
      </c>
      <c r="H6" s="55">
        <v>81328</v>
      </c>
      <c r="I6" s="55" t="s">
        <v>543</v>
      </c>
      <c r="J6" s="55">
        <v>45182409</v>
      </c>
      <c r="K6" s="55" t="s">
        <v>1345</v>
      </c>
      <c r="L6" s="55" t="s">
        <v>1350</v>
      </c>
      <c r="M6" s="60">
        <v>79900</v>
      </c>
      <c r="N6" s="62">
        <v>0.75</v>
      </c>
      <c r="O6" s="60">
        <f t="shared" si="1"/>
        <v>19975</v>
      </c>
      <c r="P6" s="55" t="s">
        <v>3499</v>
      </c>
    </row>
    <row r="7" spans="1:16" s="61" customFormat="1" x14ac:dyDescent="0.25">
      <c r="A7" s="55" t="s">
        <v>3501</v>
      </c>
      <c r="B7" s="56">
        <v>46121</v>
      </c>
      <c r="C7" s="56">
        <v>46127</v>
      </c>
      <c r="D7" s="55">
        <v>3271</v>
      </c>
      <c r="E7" s="55">
        <v>336</v>
      </c>
      <c r="F7" s="55">
        <v>4</v>
      </c>
      <c r="G7" s="55">
        <v>6</v>
      </c>
      <c r="H7" s="55">
        <v>81328</v>
      </c>
      <c r="I7" s="55" t="s">
        <v>543</v>
      </c>
      <c r="J7" s="55">
        <v>45182418</v>
      </c>
      <c r="K7" s="55" t="s">
        <v>1345</v>
      </c>
      <c r="L7" s="55" t="s">
        <v>1351</v>
      </c>
      <c r="M7" s="60">
        <v>79900</v>
      </c>
      <c r="N7" s="62">
        <v>0.75</v>
      </c>
      <c r="O7" s="60">
        <f t="shared" si="1"/>
        <v>19975</v>
      </c>
      <c r="P7" s="55" t="s">
        <v>3499</v>
      </c>
    </row>
    <row r="8" spans="1:16" s="61" customFormat="1" x14ac:dyDescent="0.25">
      <c r="A8" s="55" t="s">
        <v>3501</v>
      </c>
      <c r="B8" s="56">
        <v>46121</v>
      </c>
      <c r="C8" s="56">
        <v>46127</v>
      </c>
      <c r="D8" s="55">
        <v>3271</v>
      </c>
      <c r="E8" s="55">
        <v>336</v>
      </c>
      <c r="F8" s="55">
        <v>4</v>
      </c>
      <c r="G8" s="55">
        <v>6</v>
      </c>
      <c r="H8" s="55">
        <v>81328</v>
      </c>
      <c r="I8" s="55" t="s">
        <v>543</v>
      </c>
      <c r="J8" s="55">
        <v>45182427</v>
      </c>
      <c r="K8" s="55" t="s">
        <v>1345</v>
      </c>
      <c r="L8" s="55" t="s">
        <v>1352</v>
      </c>
      <c r="M8" s="60">
        <v>79900</v>
      </c>
      <c r="N8" s="62">
        <v>0.75</v>
      </c>
      <c r="O8" s="60">
        <f t="shared" si="1"/>
        <v>19975</v>
      </c>
      <c r="P8" s="55" t="s">
        <v>3499</v>
      </c>
    </row>
    <row r="9" spans="1:16" s="61" customFormat="1" x14ac:dyDescent="0.25">
      <c r="A9" s="55" t="s">
        <v>3501</v>
      </c>
      <c r="B9" s="56">
        <v>46121</v>
      </c>
      <c r="C9" s="56">
        <v>46127</v>
      </c>
      <c r="D9" s="55">
        <v>3271</v>
      </c>
      <c r="E9" s="55">
        <v>336</v>
      </c>
      <c r="F9" s="55">
        <v>4</v>
      </c>
      <c r="G9" s="55">
        <v>6</v>
      </c>
      <c r="H9" s="55">
        <v>81328</v>
      </c>
      <c r="I9" s="55" t="s">
        <v>543</v>
      </c>
      <c r="J9" s="55">
        <v>45182436</v>
      </c>
      <c r="K9" s="55" t="s">
        <v>1345</v>
      </c>
      <c r="L9" s="55" t="s">
        <v>1353</v>
      </c>
      <c r="M9" s="60">
        <v>79900</v>
      </c>
      <c r="N9" s="62">
        <v>0.75</v>
      </c>
      <c r="O9" s="60">
        <f t="shared" si="1"/>
        <v>19975</v>
      </c>
      <c r="P9" s="55" t="s">
        <v>3499</v>
      </c>
    </row>
    <row r="10" spans="1:16" s="61" customFormat="1" x14ac:dyDescent="0.25">
      <c r="A10" s="55" t="s">
        <v>3501</v>
      </c>
      <c r="B10" s="56">
        <v>46121</v>
      </c>
      <c r="C10" s="56">
        <v>46127</v>
      </c>
      <c r="D10" s="55">
        <v>3271</v>
      </c>
      <c r="E10" s="55">
        <v>336</v>
      </c>
      <c r="F10" s="55">
        <v>4</v>
      </c>
      <c r="G10" s="55">
        <v>6</v>
      </c>
      <c r="H10" s="55">
        <v>81328</v>
      </c>
      <c r="I10" s="55" t="s">
        <v>543</v>
      </c>
      <c r="J10" s="55">
        <v>45182445</v>
      </c>
      <c r="K10" s="55" t="s">
        <v>1345</v>
      </c>
      <c r="L10" s="55" t="s">
        <v>1354</v>
      </c>
      <c r="M10" s="60">
        <v>79900</v>
      </c>
      <c r="N10" s="62">
        <v>0.75</v>
      </c>
      <c r="O10" s="60">
        <f t="shared" si="1"/>
        <v>19975</v>
      </c>
      <c r="P10" s="55" t="s">
        <v>3499</v>
      </c>
    </row>
    <row r="11" spans="1:16" s="61" customFormat="1" x14ac:dyDescent="0.25">
      <c r="A11" s="55" t="s">
        <v>3501</v>
      </c>
      <c r="B11" s="56">
        <v>46121</v>
      </c>
      <c r="C11" s="56">
        <v>46127</v>
      </c>
      <c r="D11" s="55">
        <v>3271</v>
      </c>
      <c r="E11" s="55">
        <v>336</v>
      </c>
      <c r="F11" s="55">
        <v>4</v>
      </c>
      <c r="G11" s="55">
        <v>6</v>
      </c>
      <c r="H11" s="55">
        <v>81328</v>
      </c>
      <c r="I11" s="55" t="s">
        <v>543</v>
      </c>
      <c r="J11" s="55">
        <v>45182454</v>
      </c>
      <c r="K11" s="55" t="s">
        <v>1345</v>
      </c>
      <c r="L11" s="55" t="s">
        <v>1355</v>
      </c>
      <c r="M11" s="60">
        <v>79900</v>
      </c>
      <c r="N11" s="62">
        <v>0.75</v>
      </c>
      <c r="O11" s="60">
        <f t="shared" si="1"/>
        <v>19975</v>
      </c>
      <c r="P11" s="55" t="s">
        <v>3499</v>
      </c>
    </row>
    <row r="12" spans="1:16" s="61" customFormat="1" x14ac:dyDescent="0.25">
      <c r="A12" s="55" t="s">
        <v>3501</v>
      </c>
      <c r="B12" s="56">
        <v>46121</v>
      </c>
      <c r="C12" s="56">
        <v>46127</v>
      </c>
      <c r="D12" s="55">
        <v>3271</v>
      </c>
      <c r="E12" s="55">
        <v>336</v>
      </c>
      <c r="F12" s="55">
        <v>4</v>
      </c>
      <c r="G12" s="55">
        <v>6</v>
      </c>
      <c r="H12" s="55">
        <v>81328</v>
      </c>
      <c r="I12" s="55" t="s">
        <v>543</v>
      </c>
      <c r="J12" s="55">
        <v>45182463</v>
      </c>
      <c r="K12" s="55" t="s">
        <v>1345</v>
      </c>
      <c r="L12" s="55" t="s">
        <v>1356</v>
      </c>
      <c r="M12" s="60">
        <v>79900</v>
      </c>
      <c r="N12" s="62">
        <v>0.75</v>
      </c>
      <c r="O12" s="60">
        <f t="shared" si="1"/>
        <v>19975</v>
      </c>
      <c r="P12" s="55" t="s">
        <v>3499</v>
      </c>
    </row>
    <row r="13" spans="1:16" s="61" customFormat="1" x14ac:dyDescent="0.25">
      <c r="A13" s="55" t="s">
        <v>3501</v>
      </c>
      <c r="B13" s="56">
        <v>46121</v>
      </c>
      <c r="C13" s="56">
        <v>46127</v>
      </c>
      <c r="D13" s="55">
        <v>3271</v>
      </c>
      <c r="E13" s="55">
        <v>336</v>
      </c>
      <c r="F13" s="55">
        <v>4</v>
      </c>
      <c r="G13" s="55">
        <v>6</v>
      </c>
      <c r="H13" s="55">
        <v>81328</v>
      </c>
      <c r="I13" s="55" t="s">
        <v>543</v>
      </c>
      <c r="J13" s="55">
        <v>45182472</v>
      </c>
      <c r="K13" s="55" t="s">
        <v>1345</v>
      </c>
      <c r="L13" s="55" t="s">
        <v>1357</v>
      </c>
      <c r="M13" s="60">
        <v>79900</v>
      </c>
      <c r="N13" s="62">
        <v>0.75</v>
      </c>
      <c r="O13" s="60">
        <f t="shared" si="1"/>
        <v>19975</v>
      </c>
      <c r="P13" s="55" t="s">
        <v>3499</v>
      </c>
    </row>
    <row r="14" spans="1:16" s="61" customFormat="1" x14ac:dyDescent="0.25">
      <c r="A14" s="55" t="s">
        <v>3501</v>
      </c>
      <c r="B14" s="56">
        <v>46121</v>
      </c>
      <c r="C14" s="56">
        <v>46127</v>
      </c>
      <c r="D14" s="55">
        <v>3271</v>
      </c>
      <c r="E14" s="55">
        <v>336</v>
      </c>
      <c r="F14" s="55">
        <v>4</v>
      </c>
      <c r="G14" s="55">
        <v>6</v>
      </c>
      <c r="H14" s="55">
        <v>81328</v>
      </c>
      <c r="I14" s="55" t="s">
        <v>543</v>
      </c>
      <c r="J14" s="55">
        <v>45182481</v>
      </c>
      <c r="K14" s="55" t="s">
        <v>1345</v>
      </c>
      <c r="L14" s="55" t="s">
        <v>1358</v>
      </c>
      <c r="M14" s="60">
        <v>79900</v>
      </c>
      <c r="N14" s="62">
        <v>0.75</v>
      </c>
      <c r="O14" s="60">
        <f t="shared" si="1"/>
        <v>19975</v>
      </c>
      <c r="P14" s="55" t="s">
        <v>3499</v>
      </c>
    </row>
    <row r="15" spans="1:16" s="61" customFormat="1" x14ac:dyDescent="0.25">
      <c r="A15" s="55" t="s">
        <v>3501</v>
      </c>
      <c r="B15" s="56">
        <v>46121</v>
      </c>
      <c r="C15" s="56">
        <v>46127</v>
      </c>
      <c r="D15" s="55">
        <v>3271</v>
      </c>
      <c r="E15" s="55">
        <v>336</v>
      </c>
      <c r="F15" s="55">
        <v>4</v>
      </c>
      <c r="G15" s="55">
        <v>6</v>
      </c>
      <c r="H15" s="55">
        <v>81328</v>
      </c>
      <c r="I15" s="55" t="s">
        <v>543</v>
      </c>
      <c r="J15" s="55">
        <v>45182490</v>
      </c>
      <c r="K15" s="55" t="s">
        <v>1345</v>
      </c>
      <c r="L15" s="55" t="s">
        <v>1359</v>
      </c>
      <c r="M15" s="60">
        <v>79900</v>
      </c>
      <c r="N15" s="62">
        <v>0.75</v>
      </c>
      <c r="O15" s="60">
        <f t="shared" si="1"/>
        <v>19975</v>
      </c>
      <c r="P15" s="55" t="s">
        <v>3499</v>
      </c>
    </row>
    <row r="16" spans="1:16" s="61" customFormat="1" x14ac:dyDescent="0.25">
      <c r="A16" s="55" t="s">
        <v>3501</v>
      </c>
      <c r="B16" s="56">
        <v>46121</v>
      </c>
      <c r="C16" s="56">
        <v>46127</v>
      </c>
      <c r="D16" s="55">
        <v>3271</v>
      </c>
      <c r="E16" s="55">
        <v>336</v>
      </c>
      <c r="F16" s="55">
        <v>4</v>
      </c>
      <c r="G16" s="55">
        <v>6</v>
      </c>
      <c r="H16" s="55">
        <v>81328</v>
      </c>
      <c r="I16" s="55" t="s">
        <v>543</v>
      </c>
      <c r="J16" s="55">
        <v>45182507</v>
      </c>
      <c r="K16" s="55" t="s">
        <v>1345</v>
      </c>
      <c r="L16" s="55" t="s">
        <v>1360</v>
      </c>
      <c r="M16" s="60">
        <v>79900</v>
      </c>
      <c r="N16" s="62">
        <v>0.75</v>
      </c>
      <c r="O16" s="60">
        <f t="shared" si="1"/>
        <v>19975</v>
      </c>
      <c r="P16" s="55" t="s">
        <v>3499</v>
      </c>
    </row>
    <row r="17" spans="1:16" s="61" customFormat="1" x14ac:dyDescent="0.25">
      <c r="A17" s="55" t="s">
        <v>3501</v>
      </c>
      <c r="B17" s="56">
        <v>46121</v>
      </c>
      <c r="C17" s="56">
        <v>46127</v>
      </c>
      <c r="D17" s="55">
        <v>3271</v>
      </c>
      <c r="E17" s="55">
        <v>336</v>
      </c>
      <c r="F17" s="55">
        <v>4</v>
      </c>
      <c r="G17" s="55">
        <v>6</v>
      </c>
      <c r="H17" s="55">
        <v>81328</v>
      </c>
      <c r="I17" s="55" t="s">
        <v>543</v>
      </c>
      <c r="J17" s="55">
        <v>45182516</v>
      </c>
      <c r="K17" s="55" t="s">
        <v>1345</v>
      </c>
      <c r="L17" s="55" t="s">
        <v>1361</v>
      </c>
      <c r="M17" s="60">
        <v>79900</v>
      </c>
      <c r="N17" s="62">
        <v>0.75</v>
      </c>
      <c r="O17" s="60">
        <f t="shared" si="1"/>
        <v>19975</v>
      </c>
      <c r="P17" s="55" t="s">
        <v>3499</v>
      </c>
    </row>
    <row r="18" spans="1:16" s="61" customFormat="1" x14ac:dyDescent="0.25">
      <c r="A18" s="55" t="s">
        <v>3501</v>
      </c>
      <c r="B18" s="56">
        <v>46121</v>
      </c>
      <c r="C18" s="56">
        <v>46127</v>
      </c>
      <c r="D18" s="55">
        <v>3271</v>
      </c>
      <c r="E18" s="55">
        <v>336</v>
      </c>
      <c r="F18" s="55">
        <v>4</v>
      </c>
      <c r="G18" s="55">
        <v>6</v>
      </c>
      <c r="H18" s="55">
        <v>81328</v>
      </c>
      <c r="I18" s="55" t="s">
        <v>543</v>
      </c>
      <c r="J18" s="55">
        <v>45182525</v>
      </c>
      <c r="K18" s="55" t="s">
        <v>1345</v>
      </c>
      <c r="L18" s="55" t="s">
        <v>1362</v>
      </c>
      <c r="M18" s="60">
        <v>79900</v>
      </c>
      <c r="N18" s="62">
        <v>0.75</v>
      </c>
      <c r="O18" s="60">
        <f t="shared" si="1"/>
        <v>19975</v>
      </c>
      <c r="P18" s="55" t="s">
        <v>3499</v>
      </c>
    </row>
    <row r="19" spans="1:16" s="61" customFormat="1" x14ac:dyDescent="0.25">
      <c r="A19" s="55" t="s">
        <v>3501</v>
      </c>
      <c r="B19" s="56">
        <v>46121</v>
      </c>
      <c r="C19" s="56">
        <v>46127</v>
      </c>
      <c r="D19" s="55">
        <v>3271</v>
      </c>
      <c r="E19" s="55">
        <v>336</v>
      </c>
      <c r="F19" s="55">
        <v>4</v>
      </c>
      <c r="G19" s="55">
        <v>6</v>
      </c>
      <c r="H19" s="55">
        <v>81328</v>
      </c>
      <c r="I19" s="55" t="s">
        <v>543</v>
      </c>
      <c r="J19" s="55">
        <v>45182534</v>
      </c>
      <c r="K19" s="55" t="s">
        <v>1345</v>
      </c>
      <c r="L19" s="55" t="s">
        <v>1363</v>
      </c>
      <c r="M19" s="60">
        <v>79900</v>
      </c>
      <c r="N19" s="62">
        <v>0.75</v>
      </c>
      <c r="O19" s="60">
        <f t="shared" si="1"/>
        <v>19975</v>
      </c>
      <c r="P19" s="55" t="s">
        <v>3499</v>
      </c>
    </row>
    <row r="20" spans="1:16" s="61" customFormat="1" x14ac:dyDescent="0.25">
      <c r="A20" s="55" t="s">
        <v>3501</v>
      </c>
      <c r="B20" s="56">
        <v>46121</v>
      </c>
      <c r="C20" s="56">
        <v>46127</v>
      </c>
      <c r="D20" s="55">
        <v>3271</v>
      </c>
      <c r="E20" s="55">
        <v>336</v>
      </c>
      <c r="F20" s="55">
        <v>4</v>
      </c>
      <c r="G20" s="55">
        <v>6</v>
      </c>
      <c r="H20" s="55">
        <v>81328</v>
      </c>
      <c r="I20" s="55" t="s">
        <v>543</v>
      </c>
      <c r="J20" s="55">
        <v>45182543</v>
      </c>
      <c r="K20" s="55" t="s">
        <v>1345</v>
      </c>
      <c r="L20" s="55" t="s">
        <v>1364</v>
      </c>
      <c r="M20" s="60">
        <v>79900</v>
      </c>
      <c r="N20" s="62">
        <v>0.75</v>
      </c>
      <c r="O20" s="60">
        <f t="shared" si="1"/>
        <v>19975</v>
      </c>
      <c r="P20" s="55" t="s">
        <v>3499</v>
      </c>
    </row>
    <row r="21" spans="1:16" s="61" customFormat="1" x14ac:dyDescent="0.25">
      <c r="A21" s="55" t="s">
        <v>3501</v>
      </c>
      <c r="B21" s="56">
        <v>46121</v>
      </c>
      <c r="C21" s="56">
        <v>46127</v>
      </c>
      <c r="D21" s="55">
        <v>3271</v>
      </c>
      <c r="E21" s="55">
        <v>336</v>
      </c>
      <c r="F21" s="55">
        <v>4</v>
      </c>
      <c r="G21" s="55">
        <v>6</v>
      </c>
      <c r="H21" s="55">
        <v>81328</v>
      </c>
      <c r="I21" s="55" t="s">
        <v>543</v>
      </c>
      <c r="J21" s="55">
        <v>45182552</v>
      </c>
      <c r="K21" s="55" t="s">
        <v>1345</v>
      </c>
      <c r="L21" s="55" t="s">
        <v>1365</v>
      </c>
      <c r="M21" s="60">
        <v>79900</v>
      </c>
      <c r="N21" s="62">
        <v>0.75</v>
      </c>
      <c r="O21" s="60">
        <f t="shared" si="1"/>
        <v>19975</v>
      </c>
      <c r="P21" s="55" t="s">
        <v>3499</v>
      </c>
    </row>
    <row r="22" spans="1:16" s="61" customFormat="1" x14ac:dyDescent="0.25">
      <c r="A22" s="55" t="s">
        <v>3501</v>
      </c>
      <c r="B22" s="56">
        <v>46121</v>
      </c>
      <c r="C22" s="56">
        <v>46127</v>
      </c>
      <c r="D22" s="55">
        <v>3271</v>
      </c>
      <c r="E22" s="55">
        <v>336</v>
      </c>
      <c r="F22" s="55">
        <v>4</v>
      </c>
      <c r="G22" s="55">
        <v>6</v>
      </c>
      <c r="H22" s="55">
        <v>81328</v>
      </c>
      <c r="I22" s="55" t="s">
        <v>543</v>
      </c>
      <c r="J22" s="55">
        <v>45182561</v>
      </c>
      <c r="K22" s="55" t="s">
        <v>1366</v>
      </c>
      <c r="L22" s="55" t="s">
        <v>1367</v>
      </c>
      <c r="M22" s="60">
        <v>79900</v>
      </c>
      <c r="N22" s="62">
        <v>0.75</v>
      </c>
      <c r="O22" s="60">
        <f t="shared" si="1"/>
        <v>19975</v>
      </c>
      <c r="P22" s="55" t="s">
        <v>3499</v>
      </c>
    </row>
    <row r="23" spans="1:16" s="61" customFormat="1" x14ac:dyDescent="0.25">
      <c r="A23" s="55" t="s">
        <v>3501</v>
      </c>
      <c r="B23" s="56">
        <v>46121</v>
      </c>
      <c r="C23" s="56">
        <v>46127</v>
      </c>
      <c r="D23" s="55">
        <v>3271</v>
      </c>
      <c r="E23" s="55">
        <v>336</v>
      </c>
      <c r="F23" s="55">
        <v>4</v>
      </c>
      <c r="G23" s="55">
        <v>6</v>
      </c>
      <c r="H23" s="55">
        <v>81328</v>
      </c>
      <c r="I23" s="55" t="s">
        <v>543</v>
      </c>
      <c r="J23" s="55">
        <v>45182570</v>
      </c>
      <c r="K23" s="55" t="s">
        <v>1366</v>
      </c>
      <c r="L23" s="55" t="s">
        <v>1368</v>
      </c>
      <c r="M23" s="60">
        <v>79900</v>
      </c>
      <c r="N23" s="62">
        <v>0.75</v>
      </c>
      <c r="O23" s="60">
        <f t="shared" si="1"/>
        <v>19975</v>
      </c>
      <c r="P23" s="55" t="s">
        <v>3499</v>
      </c>
    </row>
    <row r="24" spans="1:16" s="61" customFormat="1" x14ac:dyDescent="0.25">
      <c r="A24" s="55" t="s">
        <v>3501</v>
      </c>
      <c r="B24" s="56">
        <v>46121</v>
      </c>
      <c r="C24" s="56">
        <v>46127</v>
      </c>
      <c r="D24" s="55">
        <v>3271</v>
      </c>
      <c r="E24" s="55">
        <v>336</v>
      </c>
      <c r="F24" s="55">
        <v>4</v>
      </c>
      <c r="G24" s="55">
        <v>6</v>
      </c>
      <c r="H24" s="55">
        <v>81328</v>
      </c>
      <c r="I24" s="55" t="s">
        <v>543</v>
      </c>
      <c r="J24" s="55">
        <v>45182589</v>
      </c>
      <c r="K24" s="55" t="s">
        <v>1366</v>
      </c>
      <c r="L24" s="55" t="s">
        <v>1369</v>
      </c>
      <c r="M24" s="60">
        <v>79900</v>
      </c>
      <c r="N24" s="62">
        <v>0.75</v>
      </c>
      <c r="O24" s="60">
        <f t="shared" si="1"/>
        <v>19975</v>
      </c>
      <c r="P24" s="55" t="s">
        <v>3499</v>
      </c>
    </row>
    <row r="25" spans="1:16" s="61" customFormat="1" x14ac:dyDescent="0.25">
      <c r="A25" s="55" t="s">
        <v>3501</v>
      </c>
      <c r="B25" s="56">
        <v>46121</v>
      </c>
      <c r="C25" s="56">
        <v>46127</v>
      </c>
      <c r="D25" s="55">
        <v>3271</v>
      </c>
      <c r="E25" s="55">
        <v>336</v>
      </c>
      <c r="F25" s="55">
        <v>4</v>
      </c>
      <c r="G25" s="55">
        <v>6</v>
      </c>
      <c r="H25" s="55">
        <v>81328</v>
      </c>
      <c r="I25" s="55" t="s">
        <v>543</v>
      </c>
      <c r="J25" s="55">
        <v>45182598</v>
      </c>
      <c r="K25" s="55" t="s">
        <v>1366</v>
      </c>
      <c r="L25" s="55" t="s">
        <v>1370</v>
      </c>
      <c r="M25" s="60">
        <v>79900</v>
      </c>
      <c r="N25" s="62">
        <v>0.75</v>
      </c>
      <c r="O25" s="60">
        <f t="shared" si="1"/>
        <v>19975</v>
      </c>
      <c r="P25" s="55" t="s">
        <v>3499</v>
      </c>
    </row>
    <row r="26" spans="1:16" s="61" customFormat="1" x14ac:dyDescent="0.25">
      <c r="A26" s="55" t="s">
        <v>3501</v>
      </c>
      <c r="B26" s="56">
        <v>46121</v>
      </c>
      <c r="C26" s="56">
        <v>46127</v>
      </c>
      <c r="D26" s="55">
        <v>3271</v>
      </c>
      <c r="E26" s="55">
        <v>336</v>
      </c>
      <c r="F26" s="55">
        <v>4</v>
      </c>
      <c r="G26" s="55">
        <v>6</v>
      </c>
      <c r="H26" s="55">
        <v>81328</v>
      </c>
      <c r="I26" s="55" t="s">
        <v>543</v>
      </c>
      <c r="J26" s="55">
        <v>45182605</v>
      </c>
      <c r="K26" s="55" t="s">
        <v>1366</v>
      </c>
      <c r="L26" s="55" t="s">
        <v>1371</v>
      </c>
      <c r="M26" s="60">
        <v>79900</v>
      </c>
      <c r="N26" s="62">
        <v>0.75</v>
      </c>
      <c r="O26" s="60">
        <f t="shared" si="1"/>
        <v>19975</v>
      </c>
      <c r="P26" s="55" t="s">
        <v>3499</v>
      </c>
    </row>
    <row r="27" spans="1:16" s="61" customFormat="1" x14ac:dyDescent="0.25">
      <c r="A27" s="55" t="s">
        <v>3501</v>
      </c>
      <c r="B27" s="56">
        <v>46121</v>
      </c>
      <c r="C27" s="56">
        <v>46127</v>
      </c>
      <c r="D27" s="55">
        <v>3271</v>
      </c>
      <c r="E27" s="55">
        <v>336</v>
      </c>
      <c r="F27" s="55">
        <v>4</v>
      </c>
      <c r="G27" s="55">
        <v>6</v>
      </c>
      <c r="H27" s="55">
        <v>81328</v>
      </c>
      <c r="I27" s="55" t="s">
        <v>543</v>
      </c>
      <c r="J27" s="55">
        <v>45182614</v>
      </c>
      <c r="K27" s="55" t="s">
        <v>1366</v>
      </c>
      <c r="L27" s="55" t="s">
        <v>1372</v>
      </c>
      <c r="M27" s="60">
        <v>79900</v>
      </c>
      <c r="N27" s="62">
        <v>0.75</v>
      </c>
      <c r="O27" s="60">
        <f t="shared" si="1"/>
        <v>19975</v>
      </c>
      <c r="P27" s="55" t="s">
        <v>3499</v>
      </c>
    </row>
    <row r="28" spans="1:16" s="61" customFormat="1" x14ac:dyDescent="0.25">
      <c r="A28" s="55" t="s">
        <v>3501</v>
      </c>
      <c r="B28" s="56">
        <v>46121</v>
      </c>
      <c r="C28" s="56">
        <v>46127</v>
      </c>
      <c r="D28" s="55">
        <v>3271</v>
      </c>
      <c r="E28" s="55">
        <v>336</v>
      </c>
      <c r="F28" s="55">
        <v>4</v>
      </c>
      <c r="G28" s="55">
        <v>6</v>
      </c>
      <c r="H28" s="55">
        <v>81328</v>
      </c>
      <c r="I28" s="55" t="s">
        <v>543</v>
      </c>
      <c r="J28" s="55">
        <v>45182623</v>
      </c>
      <c r="K28" s="55" t="s">
        <v>1366</v>
      </c>
      <c r="L28" s="55" t="s">
        <v>1373</v>
      </c>
      <c r="M28" s="60">
        <v>79900</v>
      </c>
      <c r="N28" s="62">
        <v>0.75</v>
      </c>
      <c r="O28" s="60">
        <f t="shared" si="1"/>
        <v>19975</v>
      </c>
      <c r="P28" s="55" t="s">
        <v>3499</v>
      </c>
    </row>
    <row r="29" spans="1:16" s="61" customFormat="1" x14ac:dyDescent="0.25">
      <c r="A29" s="55" t="s">
        <v>3501</v>
      </c>
      <c r="B29" s="56">
        <v>46121</v>
      </c>
      <c r="C29" s="56">
        <v>46127</v>
      </c>
      <c r="D29" s="55">
        <v>3271</v>
      </c>
      <c r="E29" s="55">
        <v>336</v>
      </c>
      <c r="F29" s="55">
        <v>4</v>
      </c>
      <c r="G29" s="55">
        <v>6</v>
      </c>
      <c r="H29" s="55">
        <v>81328</v>
      </c>
      <c r="I29" s="55" t="s">
        <v>543</v>
      </c>
      <c r="J29" s="55">
        <v>45182632</v>
      </c>
      <c r="K29" s="55" t="s">
        <v>1366</v>
      </c>
      <c r="L29" s="55" t="s">
        <v>1374</v>
      </c>
      <c r="M29" s="60">
        <v>79900</v>
      </c>
      <c r="N29" s="62">
        <v>0.75</v>
      </c>
      <c r="O29" s="60">
        <f t="shared" si="1"/>
        <v>19975</v>
      </c>
      <c r="P29" s="55" t="s">
        <v>3499</v>
      </c>
    </row>
    <row r="30" spans="1:16" s="61" customFormat="1" x14ac:dyDescent="0.25">
      <c r="A30" s="55" t="s">
        <v>3501</v>
      </c>
      <c r="B30" s="56">
        <v>46121</v>
      </c>
      <c r="C30" s="56">
        <v>46127</v>
      </c>
      <c r="D30" s="55">
        <v>3271</v>
      </c>
      <c r="E30" s="55">
        <v>336</v>
      </c>
      <c r="F30" s="55">
        <v>4</v>
      </c>
      <c r="G30" s="55">
        <v>6</v>
      </c>
      <c r="H30" s="55">
        <v>81328</v>
      </c>
      <c r="I30" s="55" t="s">
        <v>543</v>
      </c>
      <c r="J30" s="55">
        <v>45182641</v>
      </c>
      <c r="K30" s="55" t="s">
        <v>1366</v>
      </c>
      <c r="L30" s="55" t="s">
        <v>1375</v>
      </c>
      <c r="M30" s="60">
        <v>79900</v>
      </c>
      <c r="N30" s="62">
        <v>0.75</v>
      </c>
      <c r="O30" s="60">
        <f t="shared" si="1"/>
        <v>19975</v>
      </c>
      <c r="P30" s="55" t="s">
        <v>3499</v>
      </c>
    </row>
    <row r="31" spans="1:16" s="61" customFormat="1" x14ac:dyDescent="0.25">
      <c r="A31" s="55" t="s">
        <v>3501</v>
      </c>
      <c r="B31" s="56">
        <v>46121</v>
      </c>
      <c r="C31" s="56">
        <v>46127</v>
      </c>
      <c r="D31" s="55">
        <v>3271</v>
      </c>
      <c r="E31" s="55">
        <v>336</v>
      </c>
      <c r="F31" s="55">
        <v>4</v>
      </c>
      <c r="G31" s="55">
        <v>6</v>
      </c>
      <c r="H31" s="55">
        <v>81328</v>
      </c>
      <c r="I31" s="55" t="s">
        <v>543</v>
      </c>
      <c r="J31" s="55">
        <v>45182650</v>
      </c>
      <c r="K31" s="55" t="s">
        <v>1366</v>
      </c>
      <c r="L31" s="55" t="s">
        <v>1376</v>
      </c>
      <c r="M31" s="60">
        <v>79900</v>
      </c>
      <c r="N31" s="62">
        <v>0.75</v>
      </c>
      <c r="O31" s="60">
        <f t="shared" si="1"/>
        <v>19975</v>
      </c>
      <c r="P31" s="55" t="s">
        <v>3499</v>
      </c>
    </row>
    <row r="32" spans="1:16" s="61" customFormat="1" x14ac:dyDescent="0.25">
      <c r="A32" s="55" t="s">
        <v>3501</v>
      </c>
      <c r="B32" s="56">
        <v>46121</v>
      </c>
      <c r="C32" s="56">
        <v>46127</v>
      </c>
      <c r="D32" s="55">
        <v>3271</v>
      </c>
      <c r="E32" s="55">
        <v>336</v>
      </c>
      <c r="F32" s="55">
        <v>4</v>
      </c>
      <c r="G32" s="55">
        <v>6</v>
      </c>
      <c r="H32" s="55">
        <v>81328</v>
      </c>
      <c r="I32" s="55" t="s">
        <v>543</v>
      </c>
      <c r="J32" s="55">
        <v>45182669</v>
      </c>
      <c r="K32" s="55" t="s">
        <v>1366</v>
      </c>
      <c r="L32" s="55" t="s">
        <v>1377</v>
      </c>
      <c r="M32" s="60">
        <v>79900</v>
      </c>
      <c r="N32" s="62">
        <v>0.75</v>
      </c>
      <c r="O32" s="60">
        <f t="shared" si="1"/>
        <v>19975</v>
      </c>
      <c r="P32" s="55" t="s">
        <v>3499</v>
      </c>
    </row>
    <row r="33" spans="1:16" s="61" customFormat="1" x14ac:dyDescent="0.25">
      <c r="A33" s="55" t="s">
        <v>3501</v>
      </c>
      <c r="B33" s="56">
        <v>46121</v>
      </c>
      <c r="C33" s="56">
        <v>46127</v>
      </c>
      <c r="D33" s="55">
        <v>3271</v>
      </c>
      <c r="E33" s="55">
        <v>336</v>
      </c>
      <c r="F33" s="55">
        <v>4</v>
      </c>
      <c r="G33" s="55">
        <v>6</v>
      </c>
      <c r="H33" s="55">
        <v>81328</v>
      </c>
      <c r="I33" s="55" t="s">
        <v>543</v>
      </c>
      <c r="J33" s="55">
        <v>45182678</v>
      </c>
      <c r="K33" s="55" t="s">
        <v>1366</v>
      </c>
      <c r="L33" s="55" t="s">
        <v>1378</v>
      </c>
      <c r="M33" s="60">
        <v>79900</v>
      </c>
      <c r="N33" s="62">
        <v>0.75</v>
      </c>
      <c r="O33" s="60">
        <f t="shared" si="1"/>
        <v>19975</v>
      </c>
      <c r="P33" s="55" t="s">
        <v>3499</v>
      </c>
    </row>
    <row r="34" spans="1:16" s="61" customFormat="1" x14ac:dyDescent="0.25">
      <c r="A34" s="55" t="s">
        <v>3501</v>
      </c>
      <c r="B34" s="56">
        <v>46121</v>
      </c>
      <c r="C34" s="56">
        <v>46127</v>
      </c>
      <c r="D34" s="55">
        <v>3271</v>
      </c>
      <c r="E34" s="55">
        <v>336</v>
      </c>
      <c r="F34" s="55">
        <v>4</v>
      </c>
      <c r="G34" s="55">
        <v>6</v>
      </c>
      <c r="H34" s="55">
        <v>81328</v>
      </c>
      <c r="I34" s="55" t="s">
        <v>543</v>
      </c>
      <c r="J34" s="55">
        <v>45182687</v>
      </c>
      <c r="K34" s="55" t="s">
        <v>1366</v>
      </c>
      <c r="L34" s="55" t="s">
        <v>1379</v>
      </c>
      <c r="M34" s="60">
        <v>79900</v>
      </c>
      <c r="N34" s="62">
        <v>0.75</v>
      </c>
      <c r="O34" s="60">
        <f t="shared" si="1"/>
        <v>19975</v>
      </c>
      <c r="P34" s="55" t="s">
        <v>3499</v>
      </c>
    </row>
    <row r="35" spans="1:16" s="61" customFormat="1" x14ac:dyDescent="0.25">
      <c r="A35" s="55" t="s">
        <v>3501</v>
      </c>
      <c r="B35" s="56">
        <v>46121</v>
      </c>
      <c r="C35" s="56">
        <v>46127</v>
      </c>
      <c r="D35" s="55">
        <v>3271</v>
      </c>
      <c r="E35" s="55">
        <v>336</v>
      </c>
      <c r="F35" s="55">
        <v>4</v>
      </c>
      <c r="G35" s="55">
        <v>6</v>
      </c>
      <c r="H35" s="55">
        <v>81328</v>
      </c>
      <c r="I35" s="55" t="s">
        <v>543</v>
      </c>
      <c r="J35" s="55">
        <v>45182696</v>
      </c>
      <c r="K35" s="55" t="s">
        <v>1366</v>
      </c>
      <c r="L35" s="55" t="s">
        <v>1380</v>
      </c>
      <c r="M35" s="60">
        <v>79900</v>
      </c>
      <c r="N35" s="62">
        <v>0.75</v>
      </c>
      <c r="O35" s="60">
        <f t="shared" si="1"/>
        <v>19975</v>
      </c>
      <c r="P35" s="55" t="s">
        <v>3499</v>
      </c>
    </row>
    <row r="36" spans="1:16" s="61" customFormat="1" x14ac:dyDescent="0.25">
      <c r="A36" s="55" t="s">
        <v>3501</v>
      </c>
      <c r="B36" s="56">
        <v>46121</v>
      </c>
      <c r="C36" s="56">
        <v>46127</v>
      </c>
      <c r="D36" s="55">
        <v>3271</v>
      </c>
      <c r="E36" s="55">
        <v>336</v>
      </c>
      <c r="F36" s="55">
        <v>4</v>
      </c>
      <c r="G36" s="55">
        <v>6</v>
      </c>
      <c r="H36" s="55">
        <v>81328</v>
      </c>
      <c r="I36" s="55" t="s">
        <v>543</v>
      </c>
      <c r="J36" s="55">
        <v>45182703</v>
      </c>
      <c r="K36" s="55" t="s">
        <v>1366</v>
      </c>
      <c r="L36" s="55" t="s">
        <v>1381</v>
      </c>
      <c r="M36" s="60">
        <v>79900</v>
      </c>
      <c r="N36" s="62">
        <v>0.75</v>
      </c>
      <c r="O36" s="60">
        <f t="shared" si="1"/>
        <v>19975</v>
      </c>
      <c r="P36" s="55" t="s">
        <v>3499</v>
      </c>
    </row>
    <row r="37" spans="1:16" s="61" customFormat="1" x14ac:dyDescent="0.25">
      <c r="A37" s="55" t="s">
        <v>3501</v>
      </c>
      <c r="B37" s="56">
        <v>46121</v>
      </c>
      <c r="C37" s="56">
        <v>46127</v>
      </c>
      <c r="D37" s="55">
        <v>3271</v>
      </c>
      <c r="E37" s="55">
        <v>336</v>
      </c>
      <c r="F37" s="55">
        <v>4</v>
      </c>
      <c r="G37" s="55">
        <v>6</v>
      </c>
      <c r="H37" s="55">
        <v>81328</v>
      </c>
      <c r="I37" s="55" t="s">
        <v>543</v>
      </c>
      <c r="J37" s="55">
        <v>45182712</v>
      </c>
      <c r="K37" s="55" t="s">
        <v>1366</v>
      </c>
      <c r="L37" s="55" t="s">
        <v>1382</v>
      </c>
      <c r="M37" s="60">
        <v>79900</v>
      </c>
      <c r="N37" s="62">
        <v>0.75</v>
      </c>
      <c r="O37" s="60">
        <f t="shared" si="1"/>
        <v>19975</v>
      </c>
      <c r="P37" s="55" t="s">
        <v>3499</v>
      </c>
    </row>
    <row r="38" spans="1:16" s="61" customFormat="1" x14ac:dyDescent="0.25">
      <c r="A38" s="55" t="s">
        <v>3501</v>
      </c>
      <c r="B38" s="56">
        <v>46121</v>
      </c>
      <c r="C38" s="56">
        <v>46127</v>
      </c>
      <c r="D38" s="55">
        <v>3271</v>
      </c>
      <c r="E38" s="55">
        <v>336</v>
      </c>
      <c r="F38" s="55">
        <v>4</v>
      </c>
      <c r="G38" s="55">
        <v>6</v>
      </c>
      <c r="H38" s="55">
        <v>81328</v>
      </c>
      <c r="I38" s="55" t="s">
        <v>543</v>
      </c>
      <c r="J38" s="55">
        <v>45182721</v>
      </c>
      <c r="K38" s="55" t="s">
        <v>1366</v>
      </c>
      <c r="L38" s="55" t="s">
        <v>1383</v>
      </c>
      <c r="M38" s="60">
        <v>79900</v>
      </c>
      <c r="N38" s="62">
        <v>0.75</v>
      </c>
      <c r="O38" s="60">
        <f t="shared" si="1"/>
        <v>19975</v>
      </c>
      <c r="P38" s="55" t="s">
        <v>3499</v>
      </c>
    </row>
    <row r="39" spans="1:16" s="61" customFormat="1" x14ac:dyDescent="0.25">
      <c r="A39" s="55" t="s">
        <v>3501</v>
      </c>
      <c r="B39" s="56">
        <v>46121</v>
      </c>
      <c r="C39" s="56">
        <v>46127</v>
      </c>
      <c r="D39" s="55">
        <v>3271</v>
      </c>
      <c r="E39" s="55">
        <v>336</v>
      </c>
      <c r="F39" s="55">
        <v>4</v>
      </c>
      <c r="G39" s="55">
        <v>6</v>
      </c>
      <c r="H39" s="55">
        <v>81328</v>
      </c>
      <c r="I39" s="55" t="s">
        <v>543</v>
      </c>
      <c r="J39" s="55">
        <v>45182730</v>
      </c>
      <c r="K39" s="55" t="s">
        <v>1366</v>
      </c>
      <c r="L39" s="55" t="s">
        <v>1384</v>
      </c>
      <c r="M39" s="60">
        <v>79900</v>
      </c>
      <c r="N39" s="62">
        <v>0.75</v>
      </c>
      <c r="O39" s="60">
        <f t="shared" si="1"/>
        <v>19975</v>
      </c>
      <c r="P39" s="55" t="s">
        <v>3499</v>
      </c>
    </row>
    <row r="40" spans="1:16" s="61" customFormat="1" x14ac:dyDescent="0.25">
      <c r="A40" s="55" t="s">
        <v>3501</v>
      </c>
      <c r="B40" s="56">
        <v>46121</v>
      </c>
      <c r="C40" s="56">
        <v>46127</v>
      </c>
      <c r="D40" s="55">
        <v>3271</v>
      </c>
      <c r="E40" s="55">
        <v>336</v>
      </c>
      <c r="F40" s="55">
        <v>4</v>
      </c>
      <c r="G40" s="55">
        <v>6</v>
      </c>
      <c r="H40" s="55">
        <v>81328</v>
      </c>
      <c r="I40" s="55" t="s">
        <v>543</v>
      </c>
      <c r="J40" s="55">
        <v>45182749</v>
      </c>
      <c r="K40" s="55" t="s">
        <v>1366</v>
      </c>
      <c r="L40" s="55" t="s">
        <v>1385</v>
      </c>
      <c r="M40" s="60">
        <v>79900</v>
      </c>
      <c r="N40" s="62">
        <v>0.75</v>
      </c>
      <c r="O40" s="60">
        <f t="shared" si="1"/>
        <v>19975</v>
      </c>
      <c r="P40" s="55" t="s">
        <v>3499</v>
      </c>
    </row>
    <row r="41" spans="1:16" s="61" customFormat="1" x14ac:dyDescent="0.25">
      <c r="A41" s="55" t="s">
        <v>3501</v>
      </c>
      <c r="B41" s="56">
        <v>46121</v>
      </c>
      <c r="C41" s="56">
        <v>46127</v>
      </c>
      <c r="D41" s="55">
        <v>3271</v>
      </c>
      <c r="E41" s="55">
        <v>336</v>
      </c>
      <c r="F41" s="55">
        <v>4</v>
      </c>
      <c r="G41" s="55">
        <v>6</v>
      </c>
      <c r="H41" s="55">
        <v>81328</v>
      </c>
      <c r="I41" s="55" t="s">
        <v>543</v>
      </c>
      <c r="J41" s="55">
        <v>45182758</v>
      </c>
      <c r="K41" s="55" t="s">
        <v>1366</v>
      </c>
      <c r="L41" s="55" t="s">
        <v>1386</v>
      </c>
      <c r="M41" s="60">
        <v>79900</v>
      </c>
      <c r="N41" s="62">
        <v>0.75</v>
      </c>
      <c r="O41" s="60">
        <f t="shared" si="1"/>
        <v>19975</v>
      </c>
      <c r="P41" s="55" t="s">
        <v>3499</v>
      </c>
    </row>
    <row r="42" spans="1:16" s="61" customFormat="1" x14ac:dyDescent="0.25">
      <c r="A42" s="55" t="s">
        <v>3501</v>
      </c>
      <c r="B42" s="56">
        <v>46121</v>
      </c>
      <c r="C42" s="56">
        <v>46127</v>
      </c>
      <c r="D42" s="55">
        <v>3271</v>
      </c>
      <c r="E42" s="55">
        <v>336</v>
      </c>
      <c r="F42" s="57">
        <v>4</v>
      </c>
      <c r="G42" s="55">
        <v>6</v>
      </c>
      <c r="H42" s="55">
        <v>4953</v>
      </c>
      <c r="I42" s="55" t="s">
        <v>543</v>
      </c>
      <c r="J42" s="55">
        <v>50243600</v>
      </c>
      <c r="K42" s="55" t="s">
        <v>1387</v>
      </c>
      <c r="L42" s="55" t="s">
        <v>1388</v>
      </c>
      <c r="M42" s="60">
        <v>79900</v>
      </c>
      <c r="N42" s="62">
        <v>0.75</v>
      </c>
      <c r="O42" s="60">
        <f t="shared" si="1"/>
        <v>19975</v>
      </c>
      <c r="P42" s="55" t="s">
        <v>3499</v>
      </c>
    </row>
    <row r="43" spans="1:16" s="61" customFormat="1" x14ac:dyDescent="0.25">
      <c r="A43" s="55" t="s">
        <v>3501</v>
      </c>
      <c r="B43" s="56">
        <v>46121</v>
      </c>
      <c r="C43" s="56">
        <v>46127</v>
      </c>
      <c r="D43" s="55">
        <v>3271</v>
      </c>
      <c r="E43" s="55">
        <v>336</v>
      </c>
      <c r="F43" s="57">
        <v>4</v>
      </c>
      <c r="G43" s="55">
        <v>6</v>
      </c>
      <c r="H43" s="55">
        <v>4953</v>
      </c>
      <c r="I43" s="55" t="s">
        <v>543</v>
      </c>
      <c r="J43" s="55">
        <v>50243619</v>
      </c>
      <c r="K43" s="55" t="s">
        <v>1387</v>
      </c>
      <c r="L43" s="55" t="s">
        <v>1389</v>
      </c>
      <c r="M43" s="60">
        <v>79900</v>
      </c>
      <c r="N43" s="62">
        <v>0.75</v>
      </c>
      <c r="O43" s="60">
        <f t="shared" si="1"/>
        <v>19975</v>
      </c>
      <c r="P43" s="55" t="s">
        <v>3499</v>
      </c>
    </row>
    <row r="44" spans="1:16" s="61" customFormat="1" x14ac:dyDescent="0.25">
      <c r="A44" s="55" t="s">
        <v>3501</v>
      </c>
      <c r="B44" s="56">
        <v>46121</v>
      </c>
      <c r="C44" s="56">
        <v>46127</v>
      </c>
      <c r="D44" s="55">
        <v>3271</v>
      </c>
      <c r="E44" s="55">
        <v>336</v>
      </c>
      <c r="F44" s="57">
        <v>4</v>
      </c>
      <c r="G44" s="55">
        <v>6</v>
      </c>
      <c r="H44" s="55">
        <v>4953</v>
      </c>
      <c r="I44" s="55" t="s">
        <v>543</v>
      </c>
      <c r="J44" s="55">
        <v>50243628</v>
      </c>
      <c r="K44" s="55" t="s">
        <v>1387</v>
      </c>
      <c r="L44" s="55" t="s">
        <v>1390</v>
      </c>
      <c r="M44" s="60">
        <v>79900</v>
      </c>
      <c r="N44" s="62">
        <v>0.75</v>
      </c>
      <c r="O44" s="60">
        <f t="shared" si="1"/>
        <v>19975</v>
      </c>
      <c r="P44" s="55" t="s">
        <v>3499</v>
      </c>
    </row>
    <row r="45" spans="1:16" s="61" customFormat="1" x14ac:dyDescent="0.25">
      <c r="A45" s="55" t="s">
        <v>3501</v>
      </c>
      <c r="B45" s="56">
        <v>46121</v>
      </c>
      <c r="C45" s="56">
        <v>46127</v>
      </c>
      <c r="D45" s="55">
        <v>3271</v>
      </c>
      <c r="E45" s="55">
        <v>336</v>
      </c>
      <c r="F45" s="57">
        <v>4</v>
      </c>
      <c r="G45" s="55">
        <v>6</v>
      </c>
      <c r="H45" s="55">
        <v>4953</v>
      </c>
      <c r="I45" s="55" t="s">
        <v>543</v>
      </c>
      <c r="J45" s="55">
        <v>50243637</v>
      </c>
      <c r="K45" s="55" t="s">
        <v>1387</v>
      </c>
      <c r="L45" s="55" t="s">
        <v>1391</v>
      </c>
      <c r="M45" s="60">
        <v>79900</v>
      </c>
      <c r="N45" s="62">
        <v>0.75</v>
      </c>
      <c r="O45" s="60">
        <f t="shared" si="1"/>
        <v>19975</v>
      </c>
      <c r="P45" s="55" t="s">
        <v>3499</v>
      </c>
    </row>
    <row r="46" spans="1:16" s="61" customFormat="1" x14ac:dyDescent="0.25">
      <c r="A46" s="55" t="s">
        <v>3501</v>
      </c>
      <c r="B46" s="56">
        <v>46121</v>
      </c>
      <c r="C46" s="56">
        <v>46127</v>
      </c>
      <c r="D46" s="55">
        <v>3271</v>
      </c>
      <c r="E46" s="55">
        <v>336</v>
      </c>
      <c r="F46" s="57">
        <v>4</v>
      </c>
      <c r="G46" s="55">
        <v>6</v>
      </c>
      <c r="H46" s="55">
        <v>4953</v>
      </c>
      <c r="I46" s="55" t="s">
        <v>543</v>
      </c>
      <c r="J46" s="55">
        <v>50243646</v>
      </c>
      <c r="K46" s="55" t="s">
        <v>1392</v>
      </c>
      <c r="L46" s="55" t="s">
        <v>1393</v>
      </c>
      <c r="M46" s="60">
        <v>79900</v>
      </c>
      <c r="N46" s="62">
        <v>0.75</v>
      </c>
      <c r="O46" s="60">
        <f t="shared" si="1"/>
        <v>19975</v>
      </c>
      <c r="P46" s="55" t="s">
        <v>3499</v>
      </c>
    </row>
    <row r="47" spans="1:16" s="61" customFormat="1" x14ac:dyDescent="0.25">
      <c r="A47" s="55" t="s">
        <v>3501</v>
      </c>
      <c r="B47" s="56">
        <v>46121</v>
      </c>
      <c r="C47" s="56">
        <v>46127</v>
      </c>
      <c r="D47" s="55">
        <v>3271</v>
      </c>
      <c r="E47" s="55">
        <v>336</v>
      </c>
      <c r="F47" s="57">
        <v>4</v>
      </c>
      <c r="G47" s="55">
        <v>6</v>
      </c>
      <c r="H47" s="55">
        <v>4953</v>
      </c>
      <c r="I47" s="55" t="s">
        <v>543</v>
      </c>
      <c r="J47" s="55">
        <v>50243655</v>
      </c>
      <c r="K47" s="55" t="s">
        <v>1392</v>
      </c>
      <c r="L47" s="55" t="s">
        <v>1394</v>
      </c>
      <c r="M47" s="60">
        <v>79900</v>
      </c>
      <c r="N47" s="62">
        <v>0.75</v>
      </c>
      <c r="O47" s="60">
        <f t="shared" si="1"/>
        <v>19975</v>
      </c>
      <c r="P47" s="55" t="s">
        <v>3499</v>
      </c>
    </row>
    <row r="48" spans="1:16" s="61" customFormat="1" x14ac:dyDescent="0.25">
      <c r="A48" s="55" t="s">
        <v>3501</v>
      </c>
      <c r="B48" s="56">
        <v>46121</v>
      </c>
      <c r="C48" s="56">
        <v>46127</v>
      </c>
      <c r="D48" s="55">
        <v>3271</v>
      </c>
      <c r="E48" s="55">
        <v>336</v>
      </c>
      <c r="F48" s="57">
        <v>4</v>
      </c>
      <c r="G48" s="55">
        <v>6</v>
      </c>
      <c r="H48" s="55">
        <v>4953</v>
      </c>
      <c r="I48" s="55" t="s">
        <v>543</v>
      </c>
      <c r="J48" s="55">
        <v>50243664</v>
      </c>
      <c r="K48" s="55" t="s">
        <v>1392</v>
      </c>
      <c r="L48" s="55" t="s">
        <v>1395</v>
      </c>
      <c r="M48" s="60">
        <v>79900</v>
      </c>
      <c r="N48" s="62">
        <v>0.75</v>
      </c>
      <c r="O48" s="60">
        <f t="shared" si="1"/>
        <v>19975</v>
      </c>
      <c r="P48" s="55" t="s">
        <v>3499</v>
      </c>
    </row>
    <row r="49" spans="1:16" s="61" customFormat="1" x14ac:dyDescent="0.25">
      <c r="A49" s="55" t="s">
        <v>3501</v>
      </c>
      <c r="B49" s="56">
        <v>46121</v>
      </c>
      <c r="C49" s="56">
        <v>46127</v>
      </c>
      <c r="D49" s="55">
        <v>3271</v>
      </c>
      <c r="E49" s="55">
        <v>336</v>
      </c>
      <c r="F49" s="57">
        <v>4</v>
      </c>
      <c r="G49" s="55">
        <v>6</v>
      </c>
      <c r="H49" s="55">
        <v>4953</v>
      </c>
      <c r="I49" s="55" t="s">
        <v>543</v>
      </c>
      <c r="J49" s="55">
        <v>50243673</v>
      </c>
      <c r="K49" s="55" t="s">
        <v>1392</v>
      </c>
      <c r="L49" s="55" t="s">
        <v>1396</v>
      </c>
      <c r="M49" s="60">
        <v>79900</v>
      </c>
      <c r="N49" s="62">
        <v>0.75</v>
      </c>
      <c r="O49" s="60">
        <f t="shared" si="1"/>
        <v>19975</v>
      </c>
      <c r="P49" s="55" t="s">
        <v>3499</v>
      </c>
    </row>
    <row r="50" spans="1:16" s="61" customFormat="1" x14ac:dyDescent="0.25">
      <c r="A50" s="55" t="s">
        <v>3501</v>
      </c>
      <c r="B50" s="56">
        <v>46121</v>
      </c>
      <c r="C50" s="56">
        <v>46127</v>
      </c>
      <c r="D50" s="55">
        <v>3271</v>
      </c>
      <c r="E50" s="55">
        <v>336</v>
      </c>
      <c r="F50" s="57">
        <v>4</v>
      </c>
      <c r="G50" s="55">
        <v>6</v>
      </c>
      <c r="H50" s="55">
        <v>4953</v>
      </c>
      <c r="I50" s="55" t="s">
        <v>543</v>
      </c>
      <c r="J50" s="55">
        <v>50243682</v>
      </c>
      <c r="K50" s="55" t="s">
        <v>1397</v>
      </c>
      <c r="L50" s="55" t="s">
        <v>1398</v>
      </c>
      <c r="M50" s="60">
        <v>79900</v>
      </c>
      <c r="N50" s="62">
        <v>0.75</v>
      </c>
      <c r="O50" s="60">
        <f t="shared" si="1"/>
        <v>19975</v>
      </c>
      <c r="P50" s="55" t="s">
        <v>3499</v>
      </c>
    </row>
    <row r="51" spans="1:16" s="61" customFormat="1" x14ac:dyDescent="0.25">
      <c r="A51" s="55" t="s">
        <v>3501</v>
      </c>
      <c r="B51" s="56">
        <v>46121</v>
      </c>
      <c r="C51" s="56">
        <v>46127</v>
      </c>
      <c r="D51" s="55">
        <v>3271</v>
      </c>
      <c r="E51" s="55">
        <v>336</v>
      </c>
      <c r="F51" s="57">
        <v>4</v>
      </c>
      <c r="G51" s="55">
        <v>6</v>
      </c>
      <c r="H51" s="55">
        <v>4953</v>
      </c>
      <c r="I51" s="55" t="s">
        <v>543</v>
      </c>
      <c r="J51" s="55">
        <v>50243691</v>
      </c>
      <c r="K51" s="55" t="s">
        <v>1397</v>
      </c>
      <c r="L51" s="55" t="s">
        <v>1399</v>
      </c>
      <c r="M51" s="60">
        <v>79900</v>
      </c>
      <c r="N51" s="62">
        <v>0.75</v>
      </c>
      <c r="O51" s="60">
        <f t="shared" si="1"/>
        <v>19975</v>
      </c>
      <c r="P51" s="55" t="s">
        <v>3499</v>
      </c>
    </row>
    <row r="52" spans="1:16" s="61" customFormat="1" x14ac:dyDescent="0.25">
      <c r="A52" s="55" t="s">
        <v>3501</v>
      </c>
      <c r="B52" s="56">
        <v>46121</v>
      </c>
      <c r="C52" s="56">
        <v>46127</v>
      </c>
      <c r="D52" s="55">
        <v>3271</v>
      </c>
      <c r="E52" s="55">
        <v>336</v>
      </c>
      <c r="F52" s="57">
        <v>4</v>
      </c>
      <c r="G52" s="55">
        <v>6</v>
      </c>
      <c r="H52" s="55">
        <v>4953</v>
      </c>
      <c r="I52" s="55" t="s">
        <v>543</v>
      </c>
      <c r="J52" s="55">
        <v>50243708</v>
      </c>
      <c r="K52" s="55" t="s">
        <v>1397</v>
      </c>
      <c r="L52" s="55" t="s">
        <v>1400</v>
      </c>
      <c r="M52" s="60">
        <v>79900</v>
      </c>
      <c r="N52" s="62">
        <v>0.75</v>
      </c>
      <c r="O52" s="60">
        <f t="shared" si="1"/>
        <v>19975</v>
      </c>
      <c r="P52" s="55" t="s">
        <v>3499</v>
      </c>
    </row>
    <row r="53" spans="1:16" s="61" customFormat="1" x14ac:dyDescent="0.25">
      <c r="A53" s="55" t="s">
        <v>3501</v>
      </c>
      <c r="B53" s="56">
        <v>46121</v>
      </c>
      <c r="C53" s="56">
        <v>46127</v>
      </c>
      <c r="D53" s="55">
        <v>3271</v>
      </c>
      <c r="E53" s="55">
        <v>336</v>
      </c>
      <c r="F53" s="57">
        <v>4</v>
      </c>
      <c r="G53" s="55">
        <v>6</v>
      </c>
      <c r="H53" s="55">
        <v>4953</v>
      </c>
      <c r="I53" s="55" t="s">
        <v>543</v>
      </c>
      <c r="J53" s="55">
        <v>50243717</v>
      </c>
      <c r="K53" s="55" t="s">
        <v>1397</v>
      </c>
      <c r="L53" s="55" t="s">
        <v>1401</v>
      </c>
      <c r="M53" s="60">
        <v>79900</v>
      </c>
      <c r="N53" s="62">
        <v>0.75</v>
      </c>
      <c r="O53" s="60">
        <f t="shared" si="1"/>
        <v>19975</v>
      </c>
      <c r="P53" s="55" t="s">
        <v>3499</v>
      </c>
    </row>
    <row r="54" spans="1:16" s="61" customFormat="1" x14ac:dyDescent="0.25">
      <c r="A54" s="55" t="s">
        <v>3501</v>
      </c>
      <c r="B54" s="56">
        <v>46121</v>
      </c>
      <c r="C54" s="56">
        <v>46127</v>
      </c>
      <c r="D54" s="55">
        <v>3271</v>
      </c>
      <c r="E54" s="55">
        <v>336</v>
      </c>
      <c r="F54" s="57">
        <v>4</v>
      </c>
      <c r="G54" s="55">
        <v>6</v>
      </c>
      <c r="H54" s="55">
        <v>4953</v>
      </c>
      <c r="I54" s="55" t="s">
        <v>543</v>
      </c>
      <c r="J54" s="55">
        <v>50243726</v>
      </c>
      <c r="K54" s="55" t="s">
        <v>1402</v>
      </c>
      <c r="L54" s="55" t="s">
        <v>1403</v>
      </c>
      <c r="M54" s="60">
        <v>79900</v>
      </c>
      <c r="N54" s="62">
        <v>0.75</v>
      </c>
      <c r="O54" s="60">
        <f t="shared" si="1"/>
        <v>19975</v>
      </c>
      <c r="P54" s="55" t="s">
        <v>3499</v>
      </c>
    </row>
    <row r="55" spans="1:16" s="61" customFormat="1" x14ac:dyDescent="0.25">
      <c r="A55" s="55" t="s">
        <v>3501</v>
      </c>
      <c r="B55" s="56">
        <v>46121</v>
      </c>
      <c r="C55" s="56">
        <v>46127</v>
      </c>
      <c r="D55" s="55">
        <v>3271</v>
      </c>
      <c r="E55" s="55">
        <v>336</v>
      </c>
      <c r="F55" s="57">
        <v>4</v>
      </c>
      <c r="G55" s="55">
        <v>6</v>
      </c>
      <c r="H55" s="55">
        <v>4953</v>
      </c>
      <c r="I55" s="55" t="s">
        <v>543</v>
      </c>
      <c r="J55" s="55">
        <v>50243735</v>
      </c>
      <c r="K55" s="55" t="s">
        <v>1402</v>
      </c>
      <c r="L55" s="55" t="s">
        <v>1404</v>
      </c>
      <c r="M55" s="60">
        <v>79900</v>
      </c>
      <c r="N55" s="62">
        <v>0.75</v>
      </c>
      <c r="O55" s="60">
        <f t="shared" si="1"/>
        <v>19975</v>
      </c>
      <c r="P55" s="55" t="s">
        <v>3499</v>
      </c>
    </row>
    <row r="56" spans="1:16" s="61" customFormat="1" x14ac:dyDescent="0.25">
      <c r="A56" s="55" t="s">
        <v>3501</v>
      </c>
      <c r="B56" s="56">
        <v>46121</v>
      </c>
      <c r="C56" s="56">
        <v>46127</v>
      </c>
      <c r="D56" s="55">
        <v>3271</v>
      </c>
      <c r="E56" s="55">
        <v>336</v>
      </c>
      <c r="F56" s="57">
        <v>4</v>
      </c>
      <c r="G56" s="55">
        <v>6</v>
      </c>
      <c r="H56" s="55">
        <v>4953</v>
      </c>
      <c r="I56" s="55" t="s">
        <v>543</v>
      </c>
      <c r="J56" s="55">
        <v>50243744</v>
      </c>
      <c r="K56" s="55" t="s">
        <v>1402</v>
      </c>
      <c r="L56" s="55" t="s">
        <v>1405</v>
      </c>
      <c r="M56" s="60">
        <v>79900</v>
      </c>
      <c r="N56" s="62">
        <v>0.75</v>
      </c>
      <c r="O56" s="60">
        <f t="shared" si="1"/>
        <v>19975</v>
      </c>
      <c r="P56" s="55" t="s">
        <v>3499</v>
      </c>
    </row>
    <row r="57" spans="1:16" s="61" customFormat="1" x14ac:dyDescent="0.25">
      <c r="A57" s="55" t="s">
        <v>3501</v>
      </c>
      <c r="B57" s="56">
        <v>46121</v>
      </c>
      <c r="C57" s="56">
        <v>46127</v>
      </c>
      <c r="D57" s="55">
        <v>3271</v>
      </c>
      <c r="E57" s="55">
        <v>336</v>
      </c>
      <c r="F57" s="57">
        <v>4</v>
      </c>
      <c r="G57" s="55">
        <v>6</v>
      </c>
      <c r="H57" s="55">
        <v>4953</v>
      </c>
      <c r="I57" s="55" t="s">
        <v>543</v>
      </c>
      <c r="J57" s="55">
        <v>50243753</v>
      </c>
      <c r="K57" s="55" t="s">
        <v>1402</v>
      </c>
      <c r="L57" s="55" t="s">
        <v>1406</v>
      </c>
      <c r="M57" s="60">
        <v>79900</v>
      </c>
      <c r="N57" s="62">
        <v>0.75</v>
      </c>
      <c r="O57" s="60">
        <f t="shared" si="1"/>
        <v>19975</v>
      </c>
      <c r="P57" s="55" t="s">
        <v>3499</v>
      </c>
    </row>
    <row r="58" spans="1:16" s="61" customFormat="1" x14ac:dyDescent="0.25">
      <c r="A58" s="55" t="s">
        <v>3501</v>
      </c>
      <c r="B58" s="56">
        <v>46121</v>
      </c>
      <c r="C58" s="56">
        <v>46127</v>
      </c>
      <c r="D58" s="55">
        <v>3271</v>
      </c>
      <c r="E58" s="55">
        <v>336</v>
      </c>
      <c r="F58" s="57">
        <v>4</v>
      </c>
      <c r="G58" s="55">
        <v>6</v>
      </c>
      <c r="H58" s="55">
        <v>4953</v>
      </c>
      <c r="I58" s="55" t="s">
        <v>543</v>
      </c>
      <c r="J58" s="55">
        <v>50243762</v>
      </c>
      <c r="K58" s="55" t="s">
        <v>1407</v>
      </c>
      <c r="L58" s="55" t="s">
        <v>1408</v>
      </c>
      <c r="M58" s="60">
        <v>79900</v>
      </c>
      <c r="N58" s="62">
        <v>0.75</v>
      </c>
      <c r="O58" s="60">
        <f t="shared" si="1"/>
        <v>19975</v>
      </c>
      <c r="P58" s="55" t="s">
        <v>3499</v>
      </c>
    </row>
    <row r="59" spans="1:16" s="61" customFormat="1" x14ac:dyDescent="0.25">
      <c r="A59" s="55" t="s">
        <v>3501</v>
      </c>
      <c r="B59" s="56">
        <v>46121</v>
      </c>
      <c r="C59" s="56">
        <v>46127</v>
      </c>
      <c r="D59" s="55">
        <v>3271</v>
      </c>
      <c r="E59" s="55">
        <v>336</v>
      </c>
      <c r="F59" s="57">
        <v>4</v>
      </c>
      <c r="G59" s="55">
        <v>6</v>
      </c>
      <c r="H59" s="55">
        <v>4953</v>
      </c>
      <c r="I59" s="55" t="s">
        <v>543</v>
      </c>
      <c r="J59" s="55">
        <v>50243771</v>
      </c>
      <c r="K59" s="55" t="s">
        <v>1407</v>
      </c>
      <c r="L59" s="55" t="s">
        <v>1409</v>
      </c>
      <c r="M59" s="60">
        <v>79900</v>
      </c>
      <c r="N59" s="62">
        <v>0.75</v>
      </c>
      <c r="O59" s="60">
        <f t="shared" si="1"/>
        <v>19975</v>
      </c>
      <c r="P59" s="55" t="s">
        <v>3499</v>
      </c>
    </row>
    <row r="60" spans="1:16" s="61" customFormat="1" x14ac:dyDescent="0.25">
      <c r="A60" s="55" t="s">
        <v>3501</v>
      </c>
      <c r="B60" s="56">
        <v>46121</v>
      </c>
      <c r="C60" s="56">
        <v>46127</v>
      </c>
      <c r="D60" s="55">
        <v>3271</v>
      </c>
      <c r="E60" s="55">
        <v>336</v>
      </c>
      <c r="F60" s="57">
        <v>4</v>
      </c>
      <c r="G60" s="55">
        <v>6</v>
      </c>
      <c r="H60" s="55">
        <v>4953</v>
      </c>
      <c r="I60" s="55" t="s">
        <v>543</v>
      </c>
      <c r="J60" s="55">
        <v>50243780</v>
      </c>
      <c r="K60" s="55" t="s">
        <v>1407</v>
      </c>
      <c r="L60" s="55" t="s">
        <v>1410</v>
      </c>
      <c r="M60" s="60">
        <v>79900</v>
      </c>
      <c r="N60" s="62">
        <v>0.75</v>
      </c>
      <c r="O60" s="60">
        <f t="shared" si="1"/>
        <v>19975</v>
      </c>
      <c r="P60" s="55" t="s">
        <v>3499</v>
      </c>
    </row>
    <row r="61" spans="1:16" s="61" customFormat="1" x14ac:dyDescent="0.25">
      <c r="A61" s="55" t="s">
        <v>3501</v>
      </c>
      <c r="B61" s="56">
        <v>46121</v>
      </c>
      <c r="C61" s="56">
        <v>46127</v>
      </c>
      <c r="D61" s="55">
        <v>3271</v>
      </c>
      <c r="E61" s="55">
        <v>336</v>
      </c>
      <c r="F61" s="57">
        <v>4</v>
      </c>
      <c r="G61" s="55">
        <v>6</v>
      </c>
      <c r="H61" s="55">
        <v>4953</v>
      </c>
      <c r="I61" s="55" t="s">
        <v>543</v>
      </c>
      <c r="J61" s="55">
        <v>50243799</v>
      </c>
      <c r="K61" s="55" t="s">
        <v>1407</v>
      </c>
      <c r="L61" s="55" t="s">
        <v>1411</v>
      </c>
      <c r="M61" s="60">
        <v>79900</v>
      </c>
      <c r="N61" s="62">
        <v>0.75</v>
      </c>
      <c r="O61" s="60">
        <f t="shared" si="1"/>
        <v>19975</v>
      </c>
      <c r="P61" s="55" t="s">
        <v>3499</v>
      </c>
    </row>
    <row r="62" spans="1:16" s="61" customFormat="1" x14ac:dyDescent="0.25">
      <c r="A62" s="55" t="s">
        <v>3501</v>
      </c>
      <c r="B62" s="56">
        <v>46121</v>
      </c>
      <c r="C62" s="56">
        <v>46127</v>
      </c>
      <c r="D62" s="55">
        <v>3271</v>
      </c>
      <c r="E62" s="55">
        <v>336</v>
      </c>
      <c r="F62" s="57">
        <v>4</v>
      </c>
      <c r="G62" s="55">
        <v>6</v>
      </c>
      <c r="H62" s="55">
        <v>81328</v>
      </c>
      <c r="I62" s="55" t="s">
        <v>543</v>
      </c>
      <c r="J62" s="55">
        <v>51196875</v>
      </c>
      <c r="K62" s="55" t="s">
        <v>1412</v>
      </c>
      <c r="L62" s="55" t="s">
        <v>1413</v>
      </c>
      <c r="M62" s="60">
        <v>79900</v>
      </c>
      <c r="N62" s="62">
        <v>0.75</v>
      </c>
      <c r="O62" s="60">
        <f t="shared" si="1"/>
        <v>19975</v>
      </c>
      <c r="P62" s="55" t="s">
        <v>3499</v>
      </c>
    </row>
    <row r="63" spans="1:16" s="61" customFormat="1" x14ac:dyDescent="0.25">
      <c r="A63" s="55" t="s">
        <v>3501</v>
      </c>
      <c r="B63" s="56">
        <v>46121</v>
      </c>
      <c r="C63" s="56">
        <v>46127</v>
      </c>
      <c r="D63" s="55">
        <v>3271</v>
      </c>
      <c r="E63" s="55">
        <v>336</v>
      </c>
      <c r="F63" s="57">
        <v>4</v>
      </c>
      <c r="G63" s="55">
        <v>6</v>
      </c>
      <c r="H63" s="55">
        <v>81328</v>
      </c>
      <c r="I63" s="55" t="s">
        <v>543</v>
      </c>
      <c r="J63" s="55">
        <v>51196884</v>
      </c>
      <c r="K63" s="55" t="s">
        <v>1412</v>
      </c>
      <c r="L63" s="55" t="s">
        <v>1414</v>
      </c>
      <c r="M63" s="60">
        <v>79900</v>
      </c>
      <c r="N63" s="62">
        <v>0.75</v>
      </c>
      <c r="O63" s="60">
        <f t="shared" si="1"/>
        <v>19975</v>
      </c>
      <c r="P63" s="55" t="s">
        <v>3499</v>
      </c>
    </row>
    <row r="64" spans="1:16" s="61" customFormat="1" x14ac:dyDescent="0.25">
      <c r="A64" s="55" t="s">
        <v>3501</v>
      </c>
      <c r="B64" s="56">
        <v>46121</v>
      </c>
      <c r="C64" s="56">
        <v>46127</v>
      </c>
      <c r="D64" s="55">
        <v>3271</v>
      </c>
      <c r="E64" s="55">
        <v>336</v>
      </c>
      <c r="F64" s="57">
        <v>4</v>
      </c>
      <c r="G64" s="55">
        <v>6</v>
      </c>
      <c r="H64" s="55">
        <v>81328</v>
      </c>
      <c r="I64" s="55" t="s">
        <v>543</v>
      </c>
      <c r="J64" s="55">
        <v>51196893</v>
      </c>
      <c r="K64" s="55" t="s">
        <v>1412</v>
      </c>
      <c r="L64" s="55" t="s">
        <v>1415</v>
      </c>
      <c r="M64" s="60">
        <v>79900</v>
      </c>
      <c r="N64" s="62">
        <v>0.75</v>
      </c>
      <c r="O64" s="60">
        <f t="shared" si="1"/>
        <v>19975</v>
      </c>
      <c r="P64" s="55" t="s">
        <v>3499</v>
      </c>
    </row>
    <row r="65" spans="1:16" s="61" customFormat="1" x14ac:dyDescent="0.25">
      <c r="A65" s="55" t="s">
        <v>3501</v>
      </c>
      <c r="B65" s="56">
        <v>46121</v>
      </c>
      <c r="C65" s="56">
        <v>46127</v>
      </c>
      <c r="D65" s="55">
        <v>3271</v>
      </c>
      <c r="E65" s="55">
        <v>336</v>
      </c>
      <c r="F65" s="57">
        <v>4</v>
      </c>
      <c r="G65" s="55">
        <v>6</v>
      </c>
      <c r="H65" s="55">
        <v>81328</v>
      </c>
      <c r="I65" s="55" t="s">
        <v>543</v>
      </c>
      <c r="J65" s="55">
        <v>51196900</v>
      </c>
      <c r="K65" s="55" t="s">
        <v>1412</v>
      </c>
      <c r="L65" s="55" t="s">
        <v>1416</v>
      </c>
      <c r="M65" s="60">
        <v>79900</v>
      </c>
      <c r="N65" s="62">
        <v>0.75</v>
      </c>
      <c r="O65" s="60">
        <f t="shared" si="1"/>
        <v>19975</v>
      </c>
      <c r="P65" s="55" t="s">
        <v>3499</v>
      </c>
    </row>
    <row r="66" spans="1:16" s="61" customFormat="1" x14ac:dyDescent="0.25">
      <c r="A66" s="55" t="s">
        <v>3501</v>
      </c>
      <c r="B66" s="56">
        <v>46121</v>
      </c>
      <c r="C66" s="56">
        <v>46127</v>
      </c>
      <c r="D66" s="55">
        <v>3271</v>
      </c>
      <c r="E66" s="55">
        <v>336</v>
      </c>
      <c r="F66" s="57">
        <v>4</v>
      </c>
      <c r="G66" s="55">
        <v>6</v>
      </c>
      <c r="H66" s="55">
        <v>81328</v>
      </c>
      <c r="I66" s="55" t="s">
        <v>543</v>
      </c>
      <c r="J66" s="55">
        <v>51196919</v>
      </c>
      <c r="K66" s="55" t="s">
        <v>1417</v>
      </c>
      <c r="L66" s="55" t="s">
        <v>1418</v>
      </c>
      <c r="M66" s="60">
        <v>79900</v>
      </c>
      <c r="N66" s="62">
        <v>0.75</v>
      </c>
      <c r="O66" s="60">
        <f t="shared" si="1"/>
        <v>19975</v>
      </c>
      <c r="P66" s="55" t="s">
        <v>3499</v>
      </c>
    </row>
    <row r="67" spans="1:16" s="61" customFormat="1" x14ac:dyDescent="0.25">
      <c r="A67" s="55" t="s">
        <v>3501</v>
      </c>
      <c r="B67" s="56">
        <v>46121</v>
      </c>
      <c r="C67" s="56">
        <v>46127</v>
      </c>
      <c r="D67" s="55">
        <v>3271</v>
      </c>
      <c r="E67" s="55">
        <v>336</v>
      </c>
      <c r="F67" s="57">
        <v>4</v>
      </c>
      <c r="G67" s="55">
        <v>6</v>
      </c>
      <c r="H67" s="55">
        <v>81328</v>
      </c>
      <c r="I67" s="55" t="s">
        <v>543</v>
      </c>
      <c r="J67" s="55">
        <v>51196928</v>
      </c>
      <c r="K67" s="55" t="s">
        <v>1417</v>
      </c>
      <c r="L67" s="55" t="s">
        <v>1419</v>
      </c>
      <c r="M67" s="60">
        <v>79900</v>
      </c>
      <c r="N67" s="62">
        <v>0.75</v>
      </c>
      <c r="O67" s="60">
        <f t="shared" ref="O67:O130" si="2">M67-((75*M67)/100)</f>
        <v>19975</v>
      </c>
      <c r="P67" s="55" t="s">
        <v>3499</v>
      </c>
    </row>
    <row r="68" spans="1:16" s="61" customFormat="1" x14ac:dyDescent="0.25">
      <c r="A68" s="55" t="s">
        <v>3501</v>
      </c>
      <c r="B68" s="56">
        <v>46121</v>
      </c>
      <c r="C68" s="56">
        <v>46127</v>
      </c>
      <c r="D68" s="55">
        <v>3271</v>
      </c>
      <c r="E68" s="55">
        <v>336</v>
      </c>
      <c r="F68" s="57">
        <v>4</v>
      </c>
      <c r="G68" s="55">
        <v>6</v>
      </c>
      <c r="H68" s="55">
        <v>81328</v>
      </c>
      <c r="I68" s="55" t="s">
        <v>543</v>
      </c>
      <c r="J68" s="55">
        <v>51196937</v>
      </c>
      <c r="K68" s="55" t="s">
        <v>1417</v>
      </c>
      <c r="L68" s="55" t="s">
        <v>1420</v>
      </c>
      <c r="M68" s="60">
        <v>79900</v>
      </c>
      <c r="N68" s="62">
        <v>0.75</v>
      </c>
      <c r="O68" s="60">
        <f t="shared" si="2"/>
        <v>19975</v>
      </c>
      <c r="P68" s="55" t="s">
        <v>3499</v>
      </c>
    </row>
    <row r="69" spans="1:16" s="61" customFormat="1" x14ac:dyDescent="0.25">
      <c r="A69" s="55" t="s">
        <v>3501</v>
      </c>
      <c r="B69" s="56">
        <v>46121</v>
      </c>
      <c r="C69" s="56">
        <v>46127</v>
      </c>
      <c r="D69" s="55">
        <v>3271</v>
      </c>
      <c r="E69" s="55">
        <v>336</v>
      </c>
      <c r="F69" s="57">
        <v>4</v>
      </c>
      <c r="G69" s="55">
        <v>6</v>
      </c>
      <c r="H69" s="55">
        <v>81328</v>
      </c>
      <c r="I69" s="55" t="s">
        <v>543</v>
      </c>
      <c r="J69" s="55">
        <v>51196946</v>
      </c>
      <c r="K69" s="55" t="s">
        <v>1417</v>
      </c>
      <c r="L69" s="55" t="s">
        <v>1421</v>
      </c>
      <c r="M69" s="60">
        <v>79900</v>
      </c>
      <c r="N69" s="62">
        <v>0.75</v>
      </c>
      <c r="O69" s="60">
        <f t="shared" si="2"/>
        <v>19975</v>
      </c>
      <c r="P69" s="55" t="s">
        <v>3499</v>
      </c>
    </row>
    <row r="70" spans="1:16" s="61" customFormat="1" x14ac:dyDescent="0.25">
      <c r="A70" s="55" t="s">
        <v>3501</v>
      </c>
      <c r="B70" s="56">
        <v>46121</v>
      </c>
      <c r="C70" s="56">
        <v>46127</v>
      </c>
      <c r="D70" s="55">
        <v>3271</v>
      </c>
      <c r="E70" s="55">
        <v>336</v>
      </c>
      <c r="F70" s="57">
        <v>4</v>
      </c>
      <c r="G70" s="55">
        <v>6</v>
      </c>
      <c r="H70" s="55">
        <v>81328</v>
      </c>
      <c r="I70" s="55" t="s">
        <v>543</v>
      </c>
      <c r="J70" s="55">
        <v>51412630</v>
      </c>
      <c r="K70" s="55" t="s">
        <v>1422</v>
      </c>
      <c r="L70" s="55" t="s">
        <v>1423</v>
      </c>
      <c r="M70" s="60">
        <v>79900</v>
      </c>
      <c r="N70" s="62">
        <v>0.75</v>
      </c>
      <c r="O70" s="60">
        <f t="shared" si="2"/>
        <v>19975</v>
      </c>
      <c r="P70" s="55" t="s">
        <v>3499</v>
      </c>
    </row>
    <row r="71" spans="1:16" s="61" customFormat="1" x14ac:dyDescent="0.25">
      <c r="A71" s="55" t="s">
        <v>3501</v>
      </c>
      <c r="B71" s="56">
        <v>46121</v>
      </c>
      <c r="C71" s="56">
        <v>46127</v>
      </c>
      <c r="D71" s="55">
        <v>3271</v>
      </c>
      <c r="E71" s="55">
        <v>336</v>
      </c>
      <c r="F71" s="57">
        <v>4</v>
      </c>
      <c r="G71" s="55">
        <v>6</v>
      </c>
      <c r="H71" s="55">
        <v>81328</v>
      </c>
      <c r="I71" s="55" t="s">
        <v>543</v>
      </c>
      <c r="J71" s="55">
        <v>51412649</v>
      </c>
      <c r="K71" s="55" t="s">
        <v>1422</v>
      </c>
      <c r="L71" s="55" t="s">
        <v>1424</v>
      </c>
      <c r="M71" s="60">
        <v>79900</v>
      </c>
      <c r="N71" s="62">
        <v>0.75</v>
      </c>
      <c r="O71" s="60">
        <f t="shared" si="2"/>
        <v>19975</v>
      </c>
      <c r="P71" s="55" t="s">
        <v>3499</v>
      </c>
    </row>
    <row r="72" spans="1:16" s="61" customFormat="1" x14ac:dyDescent="0.25">
      <c r="A72" s="55" t="s">
        <v>3501</v>
      </c>
      <c r="B72" s="56">
        <v>46121</v>
      </c>
      <c r="C72" s="56">
        <v>46127</v>
      </c>
      <c r="D72" s="55">
        <v>3271</v>
      </c>
      <c r="E72" s="55">
        <v>336</v>
      </c>
      <c r="F72" s="57">
        <v>4</v>
      </c>
      <c r="G72" s="55">
        <v>6</v>
      </c>
      <c r="H72" s="55">
        <v>81328</v>
      </c>
      <c r="I72" s="55" t="s">
        <v>543</v>
      </c>
      <c r="J72" s="55">
        <v>51412658</v>
      </c>
      <c r="K72" s="55" t="s">
        <v>1422</v>
      </c>
      <c r="L72" s="55" t="s">
        <v>1425</v>
      </c>
      <c r="M72" s="60">
        <v>79900</v>
      </c>
      <c r="N72" s="62">
        <v>0.75</v>
      </c>
      <c r="O72" s="60">
        <f t="shared" si="2"/>
        <v>19975</v>
      </c>
      <c r="P72" s="55" t="s">
        <v>3499</v>
      </c>
    </row>
    <row r="73" spans="1:16" s="61" customFormat="1" x14ac:dyDescent="0.25">
      <c r="A73" s="55" t="s">
        <v>3501</v>
      </c>
      <c r="B73" s="56">
        <v>46121</v>
      </c>
      <c r="C73" s="56">
        <v>46127</v>
      </c>
      <c r="D73" s="55">
        <v>3271</v>
      </c>
      <c r="E73" s="55">
        <v>336</v>
      </c>
      <c r="F73" s="57">
        <v>4</v>
      </c>
      <c r="G73" s="55">
        <v>6</v>
      </c>
      <c r="H73" s="55">
        <v>81328</v>
      </c>
      <c r="I73" s="55" t="s">
        <v>543</v>
      </c>
      <c r="J73" s="55">
        <v>51412667</v>
      </c>
      <c r="K73" s="55" t="s">
        <v>1422</v>
      </c>
      <c r="L73" s="55" t="s">
        <v>1426</v>
      </c>
      <c r="M73" s="60">
        <v>79900</v>
      </c>
      <c r="N73" s="62">
        <v>0.75</v>
      </c>
      <c r="O73" s="60">
        <f t="shared" si="2"/>
        <v>19975</v>
      </c>
      <c r="P73" s="55" t="s">
        <v>3499</v>
      </c>
    </row>
    <row r="74" spans="1:16" s="61" customFormat="1" x14ac:dyDescent="0.25">
      <c r="A74" s="55" t="s">
        <v>3501</v>
      </c>
      <c r="B74" s="56">
        <v>46121</v>
      </c>
      <c r="C74" s="56">
        <v>46127</v>
      </c>
      <c r="D74" s="55">
        <v>3271</v>
      </c>
      <c r="E74" s="55">
        <v>336</v>
      </c>
      <c r="F74" s="57">
        <v>4</v>
      </c>
      <c r="G74" s="55">
        <v>6</v>
      </c>
      <c r="H74" s="55">
        <v>81328</v>
      </c>
      <c r="I74" s="55" t="s">
        <v>543</v>
      </c>
      <c r="J74" s="55">
        <v>51412676</v>
      </c>
      <c r="K74" s="55" t="s">
        <v>1427</v>
      </c>
      <c r="L74" s="55" t="s">
        <v>1428</v>
      </c>
      <c r="M74" s="60">
        <v>79900</v>
      </c>
      <c r="N74" s="62">
        <v>0.75</v>
      </c>
      <c r="O74" s="60">
        <f t="shared" si="2"/>
        <v>19975</v>
      </c>
      <c r="P74" s="55" t="s">
        <v>3499</v>
      </c>
    </row>
    <row r="75" spans="1:16" s="61" customFormat="1" x14ac:dyDescent="0.25">
      <c r="A75" s="55" t="s">
        <v>3501</v>
      </c>
      <c r="B75" s="56">
        <v>46121</v>
      </c>
      <c r="C75" s="56">
        <v>46127</v>
      </c>
      <c r="D75" s="55">
        <v>3271</v>
      </c>
      <c r="E75" s="55">
        <v>336</v>
      </c>
      <c r="F75" s="57">
        <v>4</v>
      </c>
      <c r="G75" s="55">
        <v>6</v>
      </c>
      <c r="H75" s="55">
        <v>81328</v>
      </c>
      <c r="I75" s="55" t="s">
        <v>543</v>
      </c>
      <c r="J75" s="55">
        <v>51412685</v>
      </c>
      <c r="K75" s="55" t="s">
        <v>1427</v>
      </c>
      <c r="L75" s="55" t="s">
        <v>1429</v>
      </c>
      <c r="M75" s="60">
        <v>79900</v>
      </c>
      <c r="N75" s="62">
        <v>0.75</v>
      </c>
      <c r="O75" s="60">
        <f t="shared" si="2"/>
        <v>19975</v>
      </c>
      <c r="P75" s="55" t="s">
        <v>3499</v>
      </c>
    </row>
    <row r="76" spans="1:16" s="61" customFormat="1" x14ac:dyDescent="0.25">
      <c r="A76" s="55" t="s">
        <v>3501</v>
      </c>
      <c r="B76" s="56">
        <v>46121</v>
      </c>
      <c r="C76" s="56">
        <v>46127</v>
      </c>
      <c r="D76" s="55">
        <v>3271</v>
      </c>
      <c r="E76" s="55">
        <v>336</v>
      </c>
      <c r="F76" s="57">
        <v>4</v>
      </c>
      <c r="G76" s="55">
        <v>6</v>
      </c>
      <c r="H76" s="55">
        <v>81328</v>
      </c>
      <c r="I76" s="55" t="s">
        <v>543</v>
      </c>
      <c r="J76" s="55">
        <v>51412694</v>
      </c>
      <c r="K76" s="55" t="s">
        <v>1427</v>
      </c>
      <c r="L76" s="55" t="s">
        <v>1430</v>
      </c>
      <c r="M76" s="60">
        <v>79900</v>
      </c>
      <c r="N76" s="62">
        <v>0.75</v>
      </c>
      <c r="O76" s="60">
        <f t="shared" si="2"/>
        <v>19975</v>
      </c>
      <c r="P76" s="55" t="s">
        <v>3499</v>
      </c>
    </row>
    <row r="77" spans="1:16" s="61" customFormat="1" x14ac:dyDescent="0.25">
      <c r="A77" s="55" t="s">
        <v>3501</v>
      </c>
      <c r="B77" s="56">
        <v>46121</v>
      </c>
      <c r="C77" s="56">
        <v>46127</v>
      </c>
      <c r="D77" s="55">
        <v>3271</v>
      </c>
      <c r="E77" s="55">
        <v>336</v>
      </c>
      <c r="F77" s="57">
        <v>4</v>
      </c>
      <c r="G77" s="55">
        <v>6</v>
      </c>
      <c r="H77" s="55">
        <v>81328</v>
      </c>
      <c r="I77" s="55" t="s">
        <v>543</v>
      </c>
      <c r="J77" s="55">
        <v>51412701</v>
      </c>
      <c r="K77" s="55" t="s">
        <v>1427</v>
      </c>
      <c r="L77" s="55" t="s">
        <v>1431</v>
      </c>
      <c r="M77" s="60">
        <v>79900</v>
      </c>
      <c r="N77" s="62">
        <v>0.75</v>
      </c>
      <c r="O77" s="60">
        <f t="shared" si="2"/>
        <v>19975</v>
      </c>
      <c r="P77" s="55" t="s">
        <v>3499</v>
      </c>
    </row>
    <row r="78" spans="1:16" s="61" customFormat="1" x14ac:dyDescent="0.25">
      <c r="A78" s="55" t="s">
        <v>3501</v>
      </c>
      <c r="B78" s="56">
        <v>46121</v>
      </c>
      <c r="C78" s="56">
        <v>46127</v>
      </c>
      <c r="D78" s="55">
        <v>3271</v>
      </c>
      <c r="E78" s="55">
        <v>336</v>
      </c>
      <c r="F78" s="57">
        <v>4</v>
      </c>
      <c r="G78" s="55">
        <v>6</v>
      </c>
      <c r="H78" s="55">
        <v>81328</v>
      </c>
      <c r="I78" s="55" t="s">
        <v>543</v>
      </c>
      <c r="J78" s="55">
        <v>51412710</v>
      </c>
      <c r="K78" s="55" t="s">
        <v>1432</v>
      </c>
      <c r="L78" s="55" t="s">
        <v>1433</v>
      </c>
      <c r="M78" s="60">
        <v>79900</v>
      </c>
      <c r="N78" s="62">
        <v>0.75</v>
      </c>
      <c r="O78" s="60">
        <f t="shared" si="2"/>
        <v>19975</v>
      </c>
      <c r="P78" s="55" t="s">
        <v>3499</v>
      </c>
    </row>
    <row r="79" spans="1:16" s="61" customFormat="1" x14ac:dyDescent="0.25">
      <c r="A79" s="55" t="s">
        <v>3501</v>
      </c>
      <c r="B79" s="56">
        <v>46121</v>
      </c>
      <c r="C79" s="56">
        <v>46127</v>
      </c>
      <c r="D79" s="55">
        <v>3271</v>
      </c>
      <c r="E79" s="55">
        <v>336</v>
      </c>
      <c r="F79" s="57">
        <v>4</v>
      </c>
      <c r="G79" s="55">
        <v>6</v>
      </c>
      <c r="H79" s="55">
        <v>81328</v>
      </c>
      <c r="I79" s="55" t="s">
        <v>543</v>
      </c>
      <c r="J79" s="55">
        <v>51412729</v>
      </c>
      <c r="K79" s="55" t="s">
        <v>1432</v>
      </c>
      <c r="L79" s="55" t="s">
        <v>1434</v>
      </c>
      <c r="M79" s="60">
        <v>79900</v>
      </c>
      <c r="N79" s="62">
        <v>0.75</v>
      </c>
      <c r="O79" s="60">
        <f t="shared" si="2"/>
        <v>19975</v>
      </c>
      <c r="P79" s="55" t="s">
        <v>3499</v>
      </c>
    </row>
    <row r="80" spans="1:16" s="61" customFormat="1" x14ac:dyDescent="0.25">
      <c r="A80" s="55" t="s">
        <v>3501</v>
      </c>
      <c r="B80" s="56">
        <v>46121</v>
      </c>
      <c r="C80" s="56">
        <v>46127</v>
      </c>
      <c r="D80" s="55">
        <v>3271</v>
      </c>
      <c r="E80" s="55">
        <v>336</v>
      </c>
      <c r="F80" s="57">
        <v>4</v>
      </c>
      <c r="G80" s="55">
        <v>6</v>
      </c>
      <c r="H80" s="55">
        <v>81328</v>
      </c>
      <c r="I80" s="55" t="s">
        <v>543</v>
      </c>
      <c r="J80" s="55">
        <v>51412738</v>
      </c>
      <c r="K80" s="55" t="s">
        <v>1432</v>
      </c>
      <c r="L80" s="55" t="s">
        <v>1435</v>
      </c>
      <c r="M80" s="60">
        <v>79900</v>
      </c>
      <c r="N80" s="62">
        <v>0.75</v>
      </c>
      <c r="O80" s="60">
        <f t="shared" si="2"/>
        <v>19975</v>
      </c>
      <c r="P80" s="55" t="s">
        <v>3499</v>
      </c>
    </row>
    <row r="81" spans="1:16" s="61" customFormat="1" x14ac:dyDescent="0.25">
      <c r="A81" s="55" t="s">
        <v>3501</v>
      </c>
      <c r="B81" s="56">
        <v>46121</v>
      </c>
      <c r="C81" s="56">
        <v>46127</v>
      </c>
      <c r="D81" s="55">
        <v>3271</v>
      </c>
      <c r="E81" s="55">
        <v>336</v>
      </c>
      <c r="F81" s="57">
        <v>4</v>
      </c>
      <c r="G81" s="55">
        <v>6</v>
      </c>
      <c r="H81" s="55">
        <v>81328</v>
      </c>
      <c r="I81" s="55" t="s">
        <v>543</v>
      </c>
      <c r="J81" s="55">
        <v>51412747</v>
      </c>
      <c r="K81" s="55" t="s">
        <v>1432</v>
      </c>
      <c r="L81" s="55" t="s">
        <v>1436</v>
      </c>
      <c r="M81" s="60">
        <v>79900</v>
      </c>
      <c r="N81" s="62">
        <v>0.75</v>
      </c>
      <c r="O81" s="60">
        <f t="shared" si="2"/>
        <v>19975</v>
      </c>
      <c r="P81" s="55" t="s">
        <v>3499</v>
      </c>
    </row>
    <row r="82" spans="1:16" s="61" customFormat="1" x14ac:dyDescent="0.25">
      <c r="A82" s="55" t="s">
        <v>3501</v>
      </c>
      <c r="B82" s="56">
        <v>46121</v>
      </c>
      <c r="C82" s="56">
        <v>46127</v>
      </c>
      <c r="D82" s="55">
        <v>3271</v>
      </c>
      <c r="E82" s="55">
        <v>336</v>
      </c>
      <c r="F82" s="57">
        <v>4</v>
      </c>
      <c r="G82" s="55">
        <v>6</v>
      </c>
      <c r="H82" s="55">
        <v>81328</v>
      </c>
      <c r="I82" s="55" t="s">
        <v>543</v>
      </c>
      <c r="J82" s="55">
        <v>51412756</v>
      </c>
      <c r="K82" s="55" t="s">
        <v>1437</v>
      </c>
      <c r="L82" s="55" t="s">
        <v>1438</v>
      </c>
      <c r="M82" s="60">
        <v>79900</v>
      </c>
      <c r="N82" s="62">
        <v>0.75</v>
      </c>
      <c r="O82" s="60">
        <f t="shared" si="2"/>
        <v>19975</v>
      </c>
      <c r="P82" s="55" t="s">
        <v>3499</v>
      </c>
    </row>
    <row r="83" spans="1:16" s="61" customFormat="1" x14ac:dyDescent="0.25">
      <c r="A83" s="55" t="s">
        <v>3501</v>
      </c>
      <c r="B83" s="56">
        <v>46121</v>
      </c>
      <c r="C83" s="56">
        <v>46127</v>
      </c>
      <c r="D83" s="55">
        <v>3271</v>
      </c>
      <c r="E83" s="55">
        <v>336</v>
      </c>
      <c r="F83" s="57">
        <v>4</v>
      </c>
      <c r="G83" s="55">
        <v>6</v>
      </c>
      <c r="H83" s="55">
        <v>81328</v>
      </c>
      <c r="I83" s="55" t="s">
        <v>543</v>
      </c>
      <c r="J83" s="55">
        <v>51412765</v>
      </c>
      <c r="K83" s="55" t="s">
        <v>1437</v>
      </c>
      <c r="L83" s="55" t="s">
        <v>1439</v>
      </c>
      <c r="M83" s="60">
        <v>79900</v>
      </c>
      <c r="N83" s="62">
        <v>0.75</v>
      </c>
      <c r="O83" s="60">
        <f t="shared" si="2"/>
        <v>19975</v>
      </c>
      <c r="P83" s="55" t="s">
        <v>3499</v>
      </c>
    </row>
    <row r="84" spans="1:16" s="61" customFormat="1" x14ac:dyDescent="0.25">
      <c r="A84" s="55" t="s">
        <v>3501</v>
      </c>
      <c r="B84" s="56">
        <v>46121</v>
      </c>
      <c r="C84" s="56">
        <v>46127</v>
      </c>
      <c r="D84" s="55">
        <v>3271</v>
      </c>
      <c r="E84" s="55">
        <v>336</v>
      </c>
      <c r="F84" s="57">
        <v>4</v>
      </c>
      <c r="G84" s="55">
        <v>6</v>
      </c>
      <c r="H84" s="55">
        <v>81328</v>
      </c>
      <c r="I84" s="55" t="s">
        <v>543</v>
      </c>
      <c r="J84" s="55">
        <v>51412774</v>
      </c>
      <c r="K84" s="55" t="s">
        <v>1437</v>
      </c>
      <c r="L84" s="55" t="s">
        <v>1440</v>
      </c>
      <c r="M84" s="60">
        <v>79900</v>
      </c>
      <c r="N84" s="62">
        <v>0.75</v>
      </c>
      <c r="O84" s="60">
        <f t="shared" si="2"/>
        <v>19975</v>
      </c>
      <c r="P84" s="55" t="s">
        <v>3499</v>
      </c>
    </row>
    <row r="85" spans="1:16" s="61" customFormat="1" x14ac:dyDescent="0.25">
      <c r="A85" s="55" t="s">
        <v>3501</v>
      </c>
      <c r="B85" s="56">
        <v>46121</v>
      </c>
      <c r="C85" s="56">
        <v>46127</v>
      </c>
      <c r="D85" s="55">
        <v>3271</v>
      </c>
      <c r="E85" s="55">
        <v>336</v>
      </c>
      <c r="F85" s="57">
        <v>4</v>
      </c>
      <c r="G85" s="55">
        <v>6</v>
      </c>
      <c r="H85" s="55">
        <v>81328</v>
      </c>
      <c r="I85" s="55" t="s">
        <v>543</v>
      </c>
      <c r="J85" s="55">
        <v>51412783</v>
      </c>
      <c r="K85" s="55" t="s">
        <v>1437</v>
      </c>
      <c r="L85" s="55" t="s">
        <v>1441</v>
      </c>
      <c r="M85" s="60">
        <v>79900</v>
      </c>
      <c r="N85" s="62">
        <v>0.75</v>
      </c>
      <c r="O85" s="60">
        <f t="shared" si="2"/>
        <v>19975</v>
      </c>
      <c r="P85" s="55" t="s">
        <v>3499</v>
      </c>
    </row>
    <row r="86" spans="1:16" s="61" customFormat="1" x14ac:dyDescent="0.25">
      <c r="A86" s="55" t="s">
        <v>3501</v>
      </c>
      <c r="B86" s="56">
        <v>46121</v>
      </c>
      <c r="C86" s="56">
        <v>46127</v>
      </c>
      <c r="D86" s="55">
        <v>3271</v>
      </c>
      <c r="E86" s="55">
        <v>336</v>
      </c>
      <c r="F86" s="57">
        <v>4</v>
      </c>
      <c r="G86" s="55">
        <v>6</v>
      </c>
      <c r="H86" s="55">
        <v>81328</v>
      </c>
      <c r="I86" s="55" t="s">
        <v>543</v>
      </c>
      <c r="J86" s="55">
        <v>51412792</v>
      </c>
      <c r="K86" s="55" t="s">
        <v>1442</v>
      </c>
      <c r="L86" s="55" t="s">
        <v>1443</v>
      </c>
      <c r="M86" s="60">
        <v>79900</v>
      </c>
      <c r="N86" s="62">
        <v>0.75</v>
      </c>
      <c r="O86" s="60">
        <f t="shared" si="2"/>
        <v>19975</v>
      </c>
      <c r="P86" s="55" t="s">
        <v>3499</v>
      </c>
    </row>
    <row r="87" spans="1:16" s="61" customFormat="1" x14ac:dyDescent="0.25">
      <c r="A87" s="55" t="s">
        <v>3501</v>
      </c>
      <c r="B87" s="56">
        <v>46121</v>
      </c>
      <c r="C87" s="56">
        <v>46127</v>
      </c>
      <c r="D87" s="55">
        <v>3271</v>
      </c>
      <c r="E87" s="55">
        <v>336</v>
      </c>
      <c r="F87" s="57">
        <v>4</v>
      </c>
      <c r="G87" s="55">
        <v>6</v>
      </c>
      <c r="H87" s="55">
        <v>81328</v>
      </c>
      <c r="I87" s="55" t="s">
        <v>543</v>
      </c>
      <c r="J87" s="55">
        <v>51412809</v>
      </c>
      <c r="K87" s="55" t="s">
        <v>1442</v>
      </c>
      <c r="L87" s="55" t="s">
        <v>1444</v>
      </c>
      <c r="M87" s="60">
        <v>79900</v>
      </c>
      <c r="N87" s="62">
        <v>0.75</v>
      </c>
      <c r="O87" s="60">
        <f t="shared" si="2"/>
        <v>19975</v>
      </c>
      <c r="P87" s="55" t="s">
        <v>3499</v>
      </c>
    </row>
    <row r="88" spans="1:16" s="61" customFormat="1" x14ac:dyDescent="0.25">
      <c r="A88" s="55" t="s">
        <v>3501</v>
      </c>
      <c r="B88" s="56">
        <v>46121</v>
      </c>
      <c r="C88" s="56">
        <v>46127</v>
      </c>
      <c r="D88" s="55">
        <v>3271</v>
      </c>
      <c r="E88" s="55">
        <v>336</v>
      </c>
      <c r="F88" s="57">
        <v>4</v>
      </c>
      <c r="G88" s="55">
        <v>6</v>
      </c>
      <c r="H88" s="55">
        <v>81328</v>
      </c>
      <c r="I88" s="55" t="s">
        <v>543</v>
      </c>
      <c r="J88" s="55">
        <v>51412818</v>
      </c>
      <c r="K88" s="55" t="s">
        <v>1442</v>
      </c>
      <c r="L88" s="55" t="s">
        <v>1445</v>
      </c>
      <c r="M88" s="60">
        <v>79900</v>
      </c>
      <c r="N88" s="62">
        <v>0.75</v>
      </c>
      <c r="O88" s="60">
        <f t="shared" si="2"/>
        <v>19975</v>
      </c>
      <c r="P88" s="55" t="s">
        <v>3499</v>
      </c>
    </row>
    <row r="89" spans="1:16" s="61" customFormat="1" x14ac:dyDescent="0.25">
      <c r="A89" s="55" t="s">
        <v>3501</v>
      </c>
      <c r="B89" s="56">
        <v>46121</v>
      </c>
      <c r="C89" s="56">
        <v>46127</v>
      </c>
      <c r="D89" s="55">
        <v>3271</v>
      </c>
      <c r="E89" s="55">
        <v>336</v>
      </c>
      <c r="F89" s="57">
        <v>4</v>
      </c>
      <c r="G89" s="55">
        <v>6</v>
      </c>
      <c r="H89" s="55">
        <v>81328</v>
      </c>
      <c r="I89" s="55" t="s">
        <v>543</v>
      </c>
      <c r="J89" s="55">
        <v>51412827</v>
      </c>
      <c r="K89" s="55" t="s">
        <v>1442</v>
      </c>
      <c r="L89" s="55" t="s">
        <v>1446</v>
      </c>
      <c r="M89" s="60">
        <v>79900</v>
      </c>
      <c r="N89" s="62">
        <v>0.75</v>
      </c>
      <c r="O89" s="60">
        <f t="shared" si="2"/>
        <v>19975</v>
      </c>
      <c r="P89" s="55" t="s">
        <v>3499</v>
      </c>
    </row>
    <row r="90" spans="1:16" s="61" customFormat="1" x14ac:dyDescent="0.25">
      <c r="A90" s="55" t="s">
        <v>3501</v>
      </c>
      <c r="B90" s="56">
        <v>46121</v>
      </c>
      <c r="C90" s="56">
        <v>46127</v>
      </c>
      <c r="D90" s="55">
        <v>3271</v>
      </c>
      <c r="E90" s="55">
        <v>336</v>
      </c>
      <c r="F90" s="57">
        <v>4</v>
      </c>
      <c r="G90" s="55">
        <v>6</v>
      </c>
      <c r="H90" s="55">
        <v>81684</v>
      </c>
      <c r="I90" s="55" t="s">
        <v>543</v>
      </c>
      <c r="J90" s="55">
        <v>50243440</v>
      </c>
      <c r="K90" s="55" t="s">
        <v>1447</v>
      </c>
      <c r="L90" s="55" t="s">
        <v>1448</v>
      </c>
      <c r="M90" s="60">
        <v>79900</v>
      </c>
      <c r="N90" s="62">
        <v>0.75</v>
      </c>
      <c r="O90" s="60">
        <f t="shared" si="2"/>
        <v>19975</v>
      </c>
      <c r="P90" s="55" t="s">
        <v>3499</v>
      </c>
    </row>
    <row r="91" spans="1:16" s="61" customFormat="1" x14ac:dyDescent="0.25">
      <c r="A91" s="55" t="s">
        <v>3501</v>
      </c>
      <c r="B91" s="56">
        <v>46121</v>
      </c>
      <c r="C91" s="56">
        <v>46127</v>
      </c>
      <c r="D91" s="55">
        <v>3271</v>
      </c>
      <c r="E91" s="55">
        <v>336</v>
      </c>
      <c r="F91" s="57">
        <v>4</v>
      </c>
      <c r="G91" s="55">
        <v>6</v>
      </c>
      <c r="H91" s="55">
        <v>81684</v>
      </c>
      <c r="I91" s="55" t="s">
        <v>543</v>
      </c>
      <c r="J91" s="55">
        <v>50243459</v>
      </c>
      <c r="K91" s="55" t="s">
        <v>1447</v>
      </c>
      <c r="L91" s="55" t="s">
        <v>1449</v>
      </c>
      <c r="M91" s="60">
        <v>79900</v>
      </c>
      <c r="N91" s="62">
        <v>0.75</v>
      </c>
      <c r="O91" s="60">
        <f t="shared" si="2"/>
        <v>19975</v>
      </c>
      <c r="P91" s="55" t="s">
        <v>3499</v>
      </c>
    </row>
    <row r="92" spans="1:16" s="61" customFormat="1" x14ac:dyDescent="0.25">
      <c r="A92" s="55" t="s">
        <v>3501</v>
      </c>
      <c r="B92" s="56">
        <v>46121</v>
      </c>
      <c r="C92" s="56">
        <v>46127</v>
      </c>
      <c r="D92" s="55">
        <v>3271</v>
      </c>
      <c r="E92" s="55">
        <v>336</v>
      </c>
      <c r="F92" s="57">
        <v>4</v>
      </c>
      <c r="G92" s="55">
        <v>6</v>
      </c>
      <c r="H92" s="55">
        <v>81684</v>
      </c>
      <c r="I92" s="55" t="s">
        <v>543</v>
      </c>
      <c r="J92" s="55">
        <v>50243468</v>
      </c>
      <c r="K92" s="55" t="s">
        <v>1447</v>
      </c>
      <c r="L92" s="55" t="s">
        <v>1450</v>
      </c>
      <c r="M92" s="60">
        <v>79900</v>
      </c>
      <c r="N92" s="62">
        <v>0.75</v>
      </c>
      <c r="O92" s="60">
        <f t="shared" si="2"/>
        <v>19975</v>
      </c>
      <c r="P92" s="55" t="s">
        <v>3499</v>
      </c>
    </row>
    <row r="93" spans="1:16" s="61" customFormat="1" x14ac:dyDescent="0.25">
      <c r="A93" s="55" t="s">
        <v>3501</v>
      </c>
      <c r="B93" s="56">
        <v>46121</v>
      </c>
      <c r="C93" s="56">
        <v>46127</v>
      </c>
      <c r="D93" s="55">
        <v>3271</v>
      </c>
      <c r="E93" s="55">
        <v>336</v>
      </c>
      <c r="F93" s="57">
        <v>4</v>
      </c>
      <c r="G93" s="55">
        <v>6</v>
      </c>
      <c r="H93" s="55">
        <v>81684</v>
      </c>
      <c r="I93" s="55" t="s">
        <v>543</v>
      </c>
      <c r="J93" s="55">
        <v>50243477</v>
      </c>
      <c r="K93" s="55" t="s">
        <v>1447</v>
      </c>
      <c r="L93" s="55" t="s">
        <v>1451</v>
      </c>
      <c r="M93" s="60">
        <v>79900</v>
      </c>
      <c r="N93" s="62">
        <v>0.75</v>
      </c>
      <c r="O93" s="60">
        <f t="shared" si="2"/>
        <v>19975</v>
      </c>
      <c r="P93" s="55" t="s">
        <v>3499</v>
      </c>
    </row>
    <row r="94" spans="1:16" s="61" customFormat="1" x14ac:dyDescent="0.25">
      <c r="A94" s="55" t="s">
        <v>3501</v>
      </c>
      <c r="B94" s="56">
        <v>46121</v>
      </c>
      <c r="C94" s="56">
        <v>46127</v>
      </c>
      <c r="D94" s="55">
        <v>3271</v>
      </c>
      <c r="E94" s="55">
        <v>336</v>
      </c>
      <c r="F94" s="57">
        <v>4</v>
      </c>
      <c r="G94" s="55">
        <v>6</v>
      </c>
      <c r="H94" s="55">
        <v>81684</v>
      </c>
      <c r="I94" s="55" t="s">
        <v>543</v>
      </c>
      <c r="J94" s="55">
        <v>50243486</v>
      </c>
      <c r="K94" s="55" t="s">
        <v>1452</v>
      </c>
      <c r="L94" s="55" t="s">
        <v>1453</v>
      </c>
      <c r="M94" s="60">
        <v>79900</v>
      </c>
      <c r="N94" s="62">
        <v>0.75</v>
      </c>
      <c r="O94" s="60">
        <f t="shared" si="2"/>
        <v>19975</v>
      </c>
      <c r="P94" s="55" t="s">
        <v>3499</v>
      </c>
    </row>
    <row r="95" spans="1:16" s="61" customFormat="1" x14ac:dyDescent="0.25">
      <c r="A95" s="55" t="s">
        <v>3501</v>
      </c>
      <c r="B95" s="56">
        <v>46121</v>
      </c>
      <c r="C95" s="56">
        <v>46127</v>
      </c>
      <c r="D95" s="55">
        <v>3271</v>
      </c>
      <c r="E95" s="55">
        <v>336</v>
      </c>
      <c r="F95" s="57">
        <v>4</v>
      </c>
      <c r="G95" s="55">
        <v>6</v>
      </c>
      <c r="H95" s="55">
        <v>81684</v>
      </c>
      <c r="I95" s="55" t="s">
        <v>543</v>
      </c>
      <c r="J95" s="55">
        <v>50243495</v>
      </c>
      <c r="K95" s="55" t="s">
        <v>1452</v>
      </c>
      <c r="L95" s="55" t="s">
        <v>1454</v>
      </c>
      <c r="M95" s="60">
        <v>79900</v>
      </c>
      <c r="N95" s="62">
        <v>0.75</v>
      </c>
      <c r="O95" s="60">
        <f t="shared" si="2"/>
        <v>19975</v>
      </c>
      <c r="P95" s="55" t="s">
        <v>3499</v>
      </c>
    </row>
    <row r="96" spans="1:16" s="61" customFormat="1" x14ac:dyDescent="0.25">
      <c r="A96" s="55" t="s">
        <v>3501</v>
      </c>
      <c r="B96" s="56">
        <v>46121</v>
      </c>
      <c r="C96" s="56">
        <v>46127</v>
      </c>
      <c r="D96" s="55">
        <v>3271</v>
      </c>
      <c r="E96" s="55">
        <v>336</v>
      </c>
      <c r="F96" s="57">
        <v>4</v>
      </c>
      <c r="G96" s="55">
        <v>6</v>
      </c>
      <c r="H96" s="55">
        <v>81684</v>
      </c>
      <c r="I96" s="55" t="s">
        <v>543</v>
      </c>
      <c r="J96" s="55">
        <v>50243502</v>
      </c>
      <c r="K96" s="55" t="s">
        <v>1452</v>
      </c>
      <c r="L96" s="55" t="s">
        <v>1455</v>
      </c>
      <c r="M96" s="60">
        <v>79900</v>
      </c>
      <c r="N96" s="62">
        <v>0.75</v>
      </c>
      <c r="O96" s="60">
        <f t="shared" si="2"/>
        <v>19975</v>
      </c>
      <c r="P96" s="55" t="s">
        <v>3499</v>
      </c>
    </row>
    <row r="97" spans="1:16" s="61" customFormat="1" x14ac:dyDescent="0.25">
      <c r="A97" s="55" t="s">
        <v>3501</v>
      </c>
      <c r="B97" s="56">
        <v>46121</v>
      </c>
      <c r="C97" s="56">
        <v>46127</v>
      </c>
      <c r="D97" s="55">
        <v>3271</v>
      </c>
      <c r="E97" s="55">
        <v>336</v>
      </c>
      <c r="F97" s="57">
        <v>4</v>
      </c>
      <c r="G97" s="55">
        <v>6</v>
      </c>
      <c r="H97" s="55">
        <v>81684</v>
      </c>
      <c r="I97" s="55" t="s">
        <v>543</v>
      </c>
      <c r="J97" s="55">
        <v>50243511</v>
      </c>
      <c r="K97" s="55" t="s">
        <v>1452</v>
      </c>
      <c r="L97" s="55" t="s">
        <v>1456</v>
      </c>
      <c r="M97" s="60">
        <v>79900</v>
      </c>
      <c r="N97" s="62">
        <v>0.75</v>
      </c>
      <c r="O97" s="60">
        <f t="shared" si="2"/>
        <v>19975</v>
      </c>
      <c r="P97" s="55" t="s">
        <v>3499</v>
      </c>
    </row>
    <row r="98" spans="1:16" s="61" customFormat="1" x14ac:dyDescent="0.25">
      <c r="A98" s="55" t="s">
        <v>3501</v>
      </c>
      <c r="B98" s="56">
        <v>46121</v>
      </c>
      <c r="C98" s="56">
        <v>46127</v>
      </c>
      <c r="D98" s="55">
        <v>3271</v>
      </c>
      <c r="E98" s="55">
        <v>336</v>
      </c>
      <c r="F98" s="57">
        <v>4</v>
      </c>
      <c r="G98" s="55">
        <v>6</v>
      </c>
      <c r="H98" s="55">
        <v>81684</v>
      </c>
      <c r="I98" s="55" t="s">
        <v>543</v>
      </c>
      <c r="J98" s="55">
        <v>50243520</v>
      </c>
      <c r="K98" s="55" t="s">
        <v>1457</v>
      </c>
      <c r="L98" s="55" t="s">
        <v>1458</v>
      </c>
      <c r="M98" s="60">
        <v>79900</v>
      </c>
      <c r="N98" s="62">
        <v>0.75</v>
      </c>
      <c r="O98" s="60">
        <f t="shared" si="2"/>
        <v>19975</v>
      </c>
      <c r="P98" s="55" t="s">
        <v>3499</v>
      </c>
    </row>
    <row r="99" spans="1:16" s="61" customFormat="1" x14ac:dyDescent="0.25">
      <c r="A99" s="55" t="s">
        <v>3501</v>
      </c>
      <c r="B99" s="56">
        <v>46121</v>
      </c>
      <c r="C99" s="56">
        <v>46127</v>
      </c>
      <c r="D99" s="55">
        <v>3271</v>
      </c>
      <c r="E99" s="55">
        <v>336</v>
      </c>
      <c r="F99" s="57">
        <v>4</v>
      </c>
      <c r="G99" s="55">
        <v>6</v>
      </c>
      <c r="H99" s="55">
        <v>81684</v>
      </c>
      <c r="I99" s="55" t="s">
        <v>543</v>
      </c>
      <c r="J99" s="55">
        <v>50243539</v>
      </c>
      <c r="K99" s="55" t="s">
        <v>1457</v>
      </c>
      <c r="L99" s="55" t="s">
        <v>1459</v>
      </c>
      <c r="M99" s="60">
        <v>79900</v>
      </c>
      <c r="N99" s="62">
        <v>0.75</v>
      </c>
      <c r="O99" s="60">
        <f t="shared" si="2"/>
        <v>19975</v>
      </c>
      <c r="P99" s="55" t="s">
        <v>3499</v>
      </c>
    </row>
    <row r="100" spans="1:16" s="61" customFormat="1" x14ac:dyDescent="0.25">
      <c r="A100" s="55" t="s">
        <v>3501</v>
      </c>
      <c r="B100" s="56">
        <v>46121</v>
      </c>
      <c r="C100" s="56">
        <v>46127</v>
      </c>
      <c r="D100" s="55">
        <v>3271</v>
      </c>
      <c r="E100" s="55">
        <v>336</v>
      </c>
      <c r="F100" s="57">
        <v>4</v>
      </c>
      <c r="G100" s="55">
        <v>6</v>
      </c>
      <c r="H100" s="55">
        <v>81684</v>
      </c>
      <c r="I100" s="55" t="s">
        <v>543</v>
      </c>
      <c r="J100" s="55">
        <v>50243548</v>
      </c>
      <c r="K100" s="55" t="s">
        <v>1457</v>
      </c>
      <c r="L100" s="55" t="s">
        <v>1460</v>
      </c>
      <c r="M100" s="60">
        <v>79900</v>
      </c>
      <c r="N100" s="62">
        <v>0.75</v>
      </c>
      <c r="O100" s="60">
        <f t="shared" si="2"/>
        <v>19975</v>
      </c>
      <c r="P100" s="55" t="s">
        <v>3499</v>
      </c>
    </row>
    <row r="101" spans="1:16" s="61" customFormat="1" x14ac:dyDescent="0.25">
      <c r="A101" s="55" t="s">
        <v>3501</v>
      </c>
      <c r="B101" s="56">
        <v>46121</v>
      </c>
      <c r="C101" s="56">
        <v>46127</v>
      </c>
      <c r="D101" s="55">
        <v>3271</v>
      </c>
      <c r="E101" s="55">
        <v>336</v>
      </c>
      <c r="F101" s="57">
        <v>4</v>
      </c>
      <c r="G101" s="55">
        <v>6</v>
      </c>
      <c r="H101" s="55">
        <v>81684</v>
      </c>
      <c r="I101" s="55" t="s">
        <v>543</v>
      </c>
      <c r="J101" s="55">
        <v>50243557</v>
      </c>
      <c r="K101" s="55" t="s">
        <v>1457</v>
      </c>
      <c r="L101" s="55" t="s">
        <v>1461</v>
      </c>
      <c r="M101" s="60">
        <v>79900</v>
      </c>
      <c r="N101" s="62">
        <v>0.75</v>
      </c>
      <c r="O101" s="60">
        <f t="shared" si="2"/>
        <v>19975</v>
      </c>
      <c r="P101" s="55" t="s">
        <v>3499</v>
      </c>
    </row>
    <row r="102" spans="1:16" s="61" customFormat="1" x14ac:dyDescent="0.25">
      <c r="A102" s="55" t="s">
        <v>3501</v>
      </c>
      <c r="B102" s="56">
        <v>46121</v>
      </c>
      <c r="C102" s="56">
        <v>46127</v>
      </c>
      <c r="D102" s="55">
        <v>3271</v>
      </c>
      <c r="E102" s="55">
        <v>336</v>
      </c>
      <c r="F102" s="57">
        <v>4</v>
      </c>
      <c r="G102" s="55">
        <v>6</v>
      </c>
      <c r="H102" s="55">
        <v>81684</v>
      </c>
      <c r="I102" s="55" t="s">
        <v>543</v>
      </c>
      <c r="J102" s="55">
        <v>50243566</v>
      </c>
      <c r="K102" s="55" t="s">
        <v>1462</v>
      </c>
      <c r="L102" s="55" t="s">
        <v>1463</v>
      </c>
      <c r="M102" s="60">
        <v>79900</v>
      </c>
      <c r="N102" s="62">
        <v>0.75</v>
      </c>
      <c r="O102" s="60">
        <f t="shared" si="2"/>
        <v>19975</v>
      </c>
      <c r="P102" s="55" t="s">
        <v>3499</v>
      </c>
    </row>
    <row r="103" spans="1:16" s="61" customFormat="1" x14ac:dyDescent="0.25">
      <c r="A103" s="55" t="s">
        <v>3501</v>
      </c>
      <c r="B103" s="56">
        <v>46121</v>
      </c>
      <c r="C103" s="56">
        <v>46127</v>
      </c>
      <c r="D103" s="55">
        <v>3271</v>
      </c>
      <c r="E103" s="55">
        <v>336</v>
      </c>
      <c r="F103" s="57">
        <v>4</v>
      </c>
      <c r="G103" s="55">
        <v>6</v>
      </c>
      <c r="H103" s="55">
        <v>81684</v>
      </c>
      <c r="I103" s="55" t="s">
        <v>543</v>
      </c>
      <c r="J103" s="55">
        <v>50243575</v>
      </c>
      <c r="K103" s="55" t="s">
        <v>1462</v>
      </c>
      <c r="L103" s="55" t="s">
        <v>1464</v>
      </c>
      <c r="M103" s="60">
        <v>79900</v>
      </c>
      <c r="N103" s="62">
        <v>0.75</v>
      </c>
      <c r="O103" s="60">
        <f t="shared" si="2"/>
        <v>19975</v>
      </c>
      <c r="P103" s="55" t="s">
        <v>3499</v>
      </c>
    </row>
    <row r="104" spans="1:16" s="61" customFormat="1" x14ac:dyDescent="0.25">
      <c r="A104" s="55" t="s">
        <v>3501</v>
      </c>
      <c r="B104" s="56">
        <v>46121</v>
      </c>
      <c r="C104" s="56">
        <v>46127</v>
      </c>
      <c r="D104" s="55">
        <v>3271</v>
      </c>
      <c r="E104" s="55">
        <v>336</v>
      </c>
      <c r="F104" s="57">
        <v>4</v>
      </c>
      <c r="G104" s="55">
        <v>6</v>
      </c>
      <c r="H104" s="55">
        <v>81684</v>
      </c>
      <c r="I104" s="55" t="s">
        <v>543</v>
      </c>
      <c r="J104" s="55">
        <v>50243584</v>
      </c>
      <c r="K104" s="55" t="s">
        <v>1462</v>
      </c>
      <c r="L104" s="55" t="s">
        <v>1465</v>
      </c>
      <c r="M104" s="60">
        <v>79900</v>
      </c>
      <c r="N104" s="62">
        <v>0.75</v>
      </c>
      <c r="O104" s="60">
        <f t="shared" si="2"/>
        <v>19975</v>
      </c>
      <c r="P104" s="55" t="s">
        <v>3499</v>
      </c>
    </row>
    <row r="105" spans="1:16" s="61" customFormat="1" x14ac:dyDescent="0.25">
      <c r="A105" s="55" t="s">
        <v>3501</v>
      </c>
      <c r="B105" s="56">
        <v>46121</v>
      </c>
      <c r="C105" s="56">
        <v>46127</v>
      </c>
      <c r="D105" s="55">
        <v>3271</v>
      </c>
      <c r="E105" s="55">
        <v>336</v>
      </c>
      <c r="F105" s="57">
        <v>4</v>
      </c>
      <c r="G105" s="55">
        <v>6</v>
      </c>
      <c r="H105" s="55">
        <v>81684</v>
      </c>
      <c r="I105" s="55" t="s">
        <v>543</v>
      </c>
      <c r="J105" s="55">
        <v>50243593</v>
      </c>
      <c r="K105" s="55" t="s">
        <v>1462</v>
      </c>
      <c r="L105" s="55" t="s">
        <v>1466</v>
      </c>
      <c r="M105" s="60">
        <v>79900</v>
      </c>
      <c r="N105" s="62">
        <v>0.75</v>
      </c>
      <c r="O105" s="60">
        <f t="shared" si="2"/>
        <v>19975</v>
      </c>
      <c r="P105" s="55" t="s">
        <v>3499</v>
      </c>
    </row>
    <row r="106" spans="1:16" s="61" customFormat="1" x14ac:dyDescent="0.25">
      <c r="A106" s="55" t="s">
        <v>3501</v>
      </c>
      <c r="B106" s="56">
        <v>46121</v>
      </c>
      <c r="C106" s="56">
        <v>46127</v>
      </c>
      <c r="D106" s="55">
        <v>3271</v>
      </c>
      <c r="E106" s="55">
        <v>336</v>
      </c>
      <c r="F106" s="57">
        <v>4</v>
      </c>
      <c r="G106" s="55">
        <v>6</v>
      </c>
      <c r="H106" s="55">
        <v>81328</v>
      </c>
      <c r="I106" s="55" t="s">
        <v>543</v>
      </c>
      <c r="J106" s="55">
        <v>51526124</v>
      </c>
      <c r="K106" s="55" t="s">
        <v>1467</v>
      </c>
      <c r="L106" s="55" t="s">
        <v>1468</v>
      </c>
      <c r="M106" s="60">
        <v>79900</v>
      </c>
      <c r="N106" s="62">
        <v>0.75</v>
      </c>
      <c r="O106" s="60">
        <f t="shared" si="2"/>
        <v>19975</v>
      </c>
      <c r="P106" s="55" t="s">
        <v>3499</v>
      </c>
    </row>
    <row r="107" spans="1:16" s="61" customFormat="1" x14ac:dyDescent="0.25">
      <c r="A107" s="55" t="s">
        <v>3501</v>
      </c>
      <c r="B107" s="56">
        <v>46121</v>
      </c>
      <c r="C107" s="56">
        <v>46127</v>
      </c>
      <c r="D107" s="55">
        <v>3271</v>
      </c>
      <c r="E107" s="55">
        <v>336</v>
      </c>
      <c r="F107" s="57">
        <v>4</v>
      </c>
      <c r="G107" s="55">
        <v>6</v>
      </c>
      <c r="H107" s="55">
        <v>81328</v>
      </c>
      <c r="I107" s="55" t="s">
        <v>543</v>
      </c>
      <c r="J107" s="55">
        <v>51526133</v>
      </c>
      <c r="K107" s="55" t="s">
        <v>1467</v>
      </c>
      <c r="L107" s="55" t="s">
        <v>1469</v>
      </c>
      <c r="M107" s="60">
        <v>79900</v>
      </c>
      <c r="N107" s="62">
        <v>0.75</v>
      </c>
      <c r="O107" s="60">
        <f t="shared" si="2"/>
        <v>19975</v>
      </c>
      <c r="P107" s="55" t="s">
        <v>3499</v>
      </c>
    </row>
    <row r="108" spans="1:16" s="61" customFormat="1" x14ac:dyDescent="0.25">
      <c r="A108" s="55" t="s">
        <v>3501</v>
      </c>
      <c r="B108" s="56">
        <v>46121</v>
      </c>
      <c r="C108" s="56">
        <v>46127</v>
      </c>
      <c r="D108" s="55">
        <v>3271</v>
      </c>
      <c r="E108" s="55">
        <v>336</v>
      </c>
      <c r="F108" s="57">
        <v>4</v>
      </c>
      <c r="G108" s="55">
        <v>6</v>
      </c>
      <c r="H108" s="55">
        <v>81328</v>
      </c>
      <c r="I108" s="55" t="s">
        <v>543</v>
      </c>
      <c r="J108" s="55">
        <v>51526142</v>
      </c>
      <c r="K108" s="55" t="s">
        <v>1467</v>
      </c>
      <c r="L108" s="55" t="s">
        <v>1470</v>
      </c>
      <c r="M108" s="60">
        <v>79900</v>
      </c>
      <c r="N108" s="62">
        <v>0.75</v>
      </c>
      <c r="O108" s="60">
        <f t="shared" si="2"/>
        <v>19975</v>
      </c>
      <c r="P108" s="55" t="s">
        <v>3499</v>
      </c>
    </row>
    <row r="109" spans="1:16" s="61" customFormat="1" x14ac:dyDescent="0.25">
      <c r="A109" s="55" t="s">
        <v>3501</v>
      </c>
      <c r="B109" s="56">
        <v>46121</v>
      </c>
      <c r="C109" s="56">
        <v>46127</v>
      </c>
      <c r="D109" s="55">
        <v>3271</v>
      </c>
      <c r="E109" s="55">
        <v>336</v>
      </c>
      <c r="F109" s="57">
        <v>4</v>
      </c>
      <c r="G109" s="55">
        <v>6</v>
      </c>
      <c r="H109" s="55">
        <v>81328</v>
      </c>
      <c r="I109" s="55" t="s">
        <v>543</v>
      </c>
      <c r="J109" s="55">
        <v>51526151</v>
      </c>
      <c r="K109" s="55" t="s">
        <v>1467</v>
      </c>
      <c r="L109" s="55" t="s">
        <v>1471</v>
      </c>
      <c r="M109" s="60">
        <v>79900</v>
      </c>
      <c r="N109" s="62">
        <v>0.75</v>
      </c>
      <c r="O109" s="60">
        <f t="shared" si="2"/>
        <v>19975</v>
      </c>
      <c r="P109" s="55" t="s">
        <v>3499</v>
      </c>
    </row>
    <row r="110" spans="1:16" s="61" customFormat="1" x14ac:dyDescent="0.25">
      <c r="A110" s="55" t="s">
        <v>3501</v>
      </c>
      <c r="B110" s="56">
        <v>46121</v>
      </c>
      <c r="C110" s="56">
        <v>46127</v>
      </c>
      <c r="D110" s="55">
        <v>3271</v>
      </c>
      <c r="E110" s="55">
        <v>336</v>
      </c>
      <c r="F110" s="57">
        <v>4</v>
      </c>
      <c r="G110" s="55">
        <v>6</v>
      </c>
      <c r="H110" s="55">
        <v>81328</v>
      </c>
      <c r="I110" s="55" t="s">
        <v>543</v>
      </c>
      <c r="J110" s="55">
        <v>51526160</v>
      </c>
      <c r="K110" s="55" t="s">
        <v>1472</v>
      </c>
      <c r="L110" s="55" t="s">
        <v>1473</v>
      </c>
      <c r="M110" s="60">
        <v>79900</v>
      </c>
      <c r="N110" s="62">
        <v>0.75</v>
      </c>
      <c r="O110" s="60">
        <f t="shared" si="2"/>
        <v>19975</v>
      </c>
      <c r="P110" s="55" t="s">
        <v>3499</v>
      </c>
    </row>
    <row r="111" spans="1:16" s="61" customFormat="1" x14ac:dyDescent="0.25">
      <c r="A111" s="55" t="s">
        <v>3501</v>
      </c>
      <c r="B111" s="56">
        <v>46121</v>
      </c>
      <c r="C111" s="56">
        <v>46127</v>
      </c>
      <c r="D111" s="55">
        <v>3271</v>
      </c>
      <c r="E111" s="55">
        <v>336</v>
      </c>
      <c r="F111" s="57">
        <v>4</v>
      </c>
      <c r="G111" s="55">
        <v>6</v>
      </c>
      <c r="H111" s="55">
        <v>81328</v>
      </c>
      <c r="I111" s="55" t="s">
        <v>543</v>
      </c>
      <c r="J111" s="55">
        <v>51526179</v>
      </c>
      <c r="K111" s="55" t="s">
        <v>1472</v>
      </c>
      <c r="L111" s="55" t="s">
        <v>1474</v>
      </c>
      <c r="M111" s="60">
        <v>79900</v>
      </c>
      <c r="N111" s="62">
        <v>0.75</v>
      </c>
      <c r="O111" s="60">
        <f t="shared" si="2"/>
        <v>19975</v>
      </c>
      <c r="P111" s="55" t="s">
        <v>3499</v>
      </c>
    </row>
    <row r="112" spans="1:16" s="61" customFormat="1" x14ac:dyDescent="0.25">
      <c r="A112" s="55" t="s">
        <v>3501</v>
      </c>
      <c r="B112" s="56">
        <v>46121</v>
      </c>
      <c r="C112" s="56">
        <v>46127</v>
      </c>
      <c r="D112" s="55">
        <v>3271</v>
      </c>
      <c r="E112" s="55">
        <v>336</v>
      </c>
      <c r="F112" s="57">
        <v>4</v>
      </c>
      <c r="G112" s="55">
        <v>6</v>
      </c>
      <c r="H112" s="55">
        <v>81328</v>
      </c>
      <c r="I112" s="55" t="s">
        <v>543</v>
      </c>
      <c r="J112" s="55">
        <v>51526188</v>
      </c>
      <c r="K112" s="55" t="s">
        <v>1472</v>
      </c>
      <c r="L112" s="55" t="s">
        <v>1475</v>
      </c>
      <c r="M112" s="60">
        <v>79900</v>
      </c>
      <c r="N112" s="62">
        <v>0.75</v>
      </c>
      <c r="O112" s="60">
        <f t="shared" si="2"/>
        <v>19975</v>
      </c>
      <c r="P112" s="55" t="s">
        <v>3499</v>
      </c>
    </row>
    <row r="113" spans="1:16" s="61" customFormat="1" x14ac:dyDescent="0.25">
      <c r="A113" s="55" t="s">
        <v>3501</v>
      </c>
      <c r="B113" s="56">
        <v>46121</v>
      </c>
      <c r="C113" s="56">
        <v>46127</v>
      </c>
      <c r="D113" s="55">
        <v>3271</v>
      </c>
      <c r="E113" s="55">
        <v>336</v>
      </c>
      <c r="F113" s="57">
        <v>4</v>
      </c>
      <c r="G113" s="55">
        <v>6</v>
      </c>
      <c r="H113" s="55">
        <v>81328</v>
      </c>
      <c r="I113" s="55" t="s">
        <v>543</v>
      </c>
      <c r="J113" s="55">
        <v>51526197</v>
      </c>
      <c r="K113" s="55" t="s">
        <v>1472</v>
      </c>
      <c r="L113" s="55" t="s">
        <v>1476</v>
      </c>
      <c r="M113" s="60">
        <v>79900</v>
      </c>
      <c r="N113" s="62">
        <v>0.75</v>
      </c>
      <c r="O113" s="60">
        <f t="shared" si="2"/>
        <v>19975</v>
      </c>
      <c r="P113" s="55" t="s">
        <v>3499</v>
      </c>
    </row>
    <row r="114" spans="1:16" s="61" customFormat="1" x14ac:dyDescent="0.25">
      <c r="A114" s="55" t="s">
        <v>3501</v>
      </c>
      <c r="B114" s="56">
        <v>46121</v>
      </c>
      <c r="C114" s="56">
        <v>46127</v>
      </c>
      <c r="D114" s="55">
        <v>3271</v>
      </c>
      <c r="E114" s="55">
        <v>336</v>
      </c>
      <c r="F114" s="57">
        <v>4</v>
      </c>
      <c r="G114" s="55">
        <v>6</v>
      </c>
      <c r="H114" s="55">
        <v>81328</v>
      </c>
      <c r="I114" s="55" t="s">
        <v>543</v>
      </c>
      <c r="J114" s="55">
        <v>51526204</v>
      </c>
      <c r="K114" s="55" t="s">
        <v>1477</v>
      </c>
      <c r="L114" s="55" t="s">
        <v>1478</v>
      </c>
      <c r="M114" s="60">
        <v>79900</v>
      </c>
      <c r="N114" s="62">
        <v>0.75</v>
      </c>
      <c r="O114" s="60">
        <f t="shared" si="2"/>
        <v>19975</v>
      </c>
      <c r="P114" s="55" t="s">
        <v>3499</v>
      </c>
    </row>
    <row r="115" spans="1:16" s="61" customFormat="1" x14ac:dyDescent="0.25">
      <c r="A115" s="55" t="s">
        <v>3501</v>
      </c>
      <c r="B115" s="56">
        <v>46121</v>
      </c>
      <c r="C115" s="56">
        <v>46127</v>
      </c>
      <c r="D115" s="55">
        <v>3271</v>
      </c>
      <c r="E115" s="55">
        <v>336</v>
      </c>
      <c r="F115" s="57">
        <v>4</v>
      </c>
      <c r="G115" s="55">
        <v>6</v>
      </c>
      <c r="H115" s="55">
        <v>81328</v>
      </c>
      <c r="I115" s="55" t="s">
        <v>543</v>
      </c>
      <c r="J115" s="55">
        <v>51526213</v>
      </c>
      <c r="K115" s="55" t="s">
        <v>1477</v>
      </c>
      <c r="L115" s="55" t="s">
        <v>1479</v>
      </c>
      <c r="M115" s="60">
        <v>79900</v>
      </c>
      <c r="N115" s="62">
        <v>0.75</v>
      </c>
      <c r="O115" s="60">
        <f t="shared" si="2"/>
        <v>19975</v>
      </c>
      <c r="P115" s="55" t="s">
        <v>3499</v>
      </c>
    </row>
    <row r="116" spans="1:16" s="61" customFormat="1" x14ac:dyDescent="0.25">
      <c r="A116" s="55" t="s">
        <v>3501</v>
      </c>
      <c r="B116" s="56">
        <v>46121</v>
      </c>
      <c r="C116" s="56">
        <v>46127</v>
      </c>
      <c r="D116" s="55">
        <v>3271</v>
      </c>
      <c r="E116" s="55">
        <v>336</v>
      </c>
      <c r="F116" s="57">
        <v>4</v>
      </c>
      <c r="G116" s="55">
        <v>6</v>
      </c>
      <c r="H116" s="55">
        <v>81328</v>
      </c>
      <c r="I116" s="55" t="s">
        <v>543</v>
      </c>
      <c r="J116" s="55">
        <v>51526222</v>
      </c>
      <c r="K116" s="55" t="s">
        <v>1477</v>
      </c>
      <c r="L116" s="55" t="s">
        <v>1480</v>
      </c>
      <c r="M116" s="60">
        <v>79900</v>
      </c>
      <c r="N116" s="62">
        <v>0.75</v>
      </c>
      <c r="O116" s="60">
        <f t="shared" si="2"/>
        <v>19975</v>
      </c>
      <c r="P116" s="55" t="s">
        <v>3499</v>
      </c>
    </row>
    <row r="117" spans="1:16" s="61" customFormat="1" x14ac:dyDescent="0.25">
      <c r="A117" s="55" t="s">
        <v>3501</v>
      </c>
      <c r="B117" s="56">
        <v>46121</v>
      </c>
      <c r="C117" s="56">
        <v>46127</v>
      </c>
      <c r="D117" s="55">
        <v>3271</v>
      </c>
      <c r="E117" s="55">
        <v>336</v>
      </c>
      <c r="F117" s="57">
        <v>4</v>
      </c>
      <c r="G117" s="55">
        <v>6</v>
      </c>
      <c r="H117" s="55">
        <v>81328</v>
      </c>
      <c r="I117" s="55" t="s">
        <v>543</v>
      </c>
      <c r="J117" s="55">
        <v>51526231</v>
      </c>
      <c r="K117" s="55" t="s">
        <v>1477</v>
      </c>
      <c r="L117" s="55" t="s">
        <v>1481</v>
      </c>
      <c r="M117" s="60">
        <v>79900</v>
      </c>
      <c r="N117" s="62">
        <v>0.75</v>
      </c>
      <c r="O117" s="60">
        <f t="shared" si="2"/>
        <v>19975</v>
      </c>
      <c r="P117" s="55" t="s">
        <v>3499</v>
      </c>
    </row>
    <row r="118" spans="1:16" s="61" customFormat="1" x14ac:dyDescent="0.25">
      <c r="A118" s="55" t="s">
        <v>3501</v>
      </c>
      <c r="B118" s="56">
        <v>46121</v>
      </c>
      <c r="C118" s="56">
        <v>46127</v>
      </c>
      <c r="D118" s="55">
        <v>3271</v>
      </c>
      <c r="E118" s="55">
        <v>336</v>
      </c>
      <c r="F118" s="57">
        <v>4</v>
      </c>
      <c r="G118" s="55">
        <v>6</v>
      </c>
      <c r="H118" s="55">
        <v>81328</v>
      </c>
      <c r="I118" s="55" t="s">
        <v>543</v>
      </c>
      <c r="J118" s="55">
        <v>51526240</v>
      </c>
      <c r="K118" s="55" t="s">
        <v>1482</v>
      </c>
      <c r="L118" s="55" t="s">
        <v>1483</v>
      </c>
      <c r="M118" s="60">
        <v>79900</v>
      </c>
      <c r="N118" s="62">
        <v>0.75</v>
      </c>
      <c r="O118" s="60">
        <f t="shared" si="2"/>
        <v>19975</v>
      </c>
      <c r="P118" s="55" t="s">
        <v>3499</v>
      </c>
    </row>
    <row r="119" spans="1:16" s="61" customFormat="1" x14ac:dyDescent="0.25">
      <c r="A119" s="55" t="s">
        <v>3501</v>
      </c>
      <c r="B119" s="56">
        <v>46121</v>
      </c>
      <c r="C119" s="56">
        <v>46127</v>
      </c>
      <c r="D119" s="55">
        <v>3271</v>
      </c>
      <c r="E119" s="55">
        <v>336</v>
      </c>
      <c r="F119" s="57">
        <v>4</v>
      </c>
      <c r="G119" s="55">
        <v>6</v>
      </c>
      <c r="H119" s="55">
        <v>81328</v>
      </c>
      <c r="I119" s="55" t="s">
        <v>543</v>
      </c>
      <c r="J119" s="55">
        <v>51526259</v>
      </c>
      <c r="K119" s="55" t="s">
        <v>1482</v>
      </c>
      <c r="L119" s="55" t="s">
        <v>1484</v>
      </c>
      <c r="M119" s="60">
        <v>79900</v>
      </c>
      <c r="N119" s="62">
        <v>0.75</v>
      </c>
      <c r="O119" s="60">
        <f t="shared" si="2"/>
        <v>19975</v>
      </c>
      <c r="P119" s="55" t="s">
        <v>3499</v>
      </c>
    </row>
    <row r="120" spans="1:16" s="61" customFormat="1" x14ac:dyDescent="0.25">
      <c r="A120" s="55" t="s">
        <v>3501</v>
      </c>
      <c r="B120" s="56">
        <v>46121</v>
      </c>
      <c r="C120" s="56">
        <v>46127</v>
      </c>
      <c r="D120" s="55">
        <v>3271</v>
      </c>
      <c r="E120" s="55">
        <v>336</v>
      </c>
      <c r="F120" s="57">
        <v>4</v>
      </c>
      <c r="G120" s="55">
        <v>6</v>
      </c>
      <c r="H120" s="55">
        <v>81328</v>
      </c>
      <c r="I120" s="55" t="s">
        <v>543</v>
      </c>
      <c r="J120" s="55">
        <v>51526268</v>
      </c>
      <c r="K120" s="55" t="s">
        <v>1482</v>
      </c>
      <c r="L120" s="55" t="s">
        <v>1485</v>
      </c>
      <c r="M120" s="60">
        <v>79900</v>
      </c>
      <c r="N120" s="62">
        <v>0.75</v>
      </c>
      <c r="O120" s="60">
        <f t="shared" si="2"/>
        <v>19975</v>
      </c>
      <c r="P120" s="55" t="s">
        <v>3499</v>
      </c>
    </row>
    <row r="121" spans="1:16" s="61" customFormat="1" x14ac:dyDescent="0.25">
      <c r="A121" s="55" t="s">
        <v>3501</v>
      </c>
      <c r="B121" s="56">
        <v>46121</v>
      </c>
      <c r="C121" s="56">
        <v>46127</v>
      </c>
      <c r="D121" s="55">
        <v>3271</v>
      </c>
      <c r="E121" s="55">
        <v>336</v>
      </c>
      <c r="F121" s="57">
        <v>4</v>
      </c>
      <c r="G121" s="55">
        <v>6</v>
      </c>
      <c r="H121" s="55">
        <v>81328</v>
      </c>
      <c r="I121" s="55" t="s">
        <v>543</v>
      </c>
      <c r="J121" s="55">
        <v>51526277</v>
      </c>
      <c r="K121" s="55" t="s">
        <v>1482</v>
      </c>
      <c r="L121" s="55" t="s">
        <v>1486</v>
      </c>
      <c r="M121" s="60">
        <v>79900</v>
      </c>
      <c r="N121" s="62">
        <v>0.75</v>
      </c>
      <c r="O121" s="60">
        <f t="shared" si="2"/>
        <v>19975</v>
      </c>
      <c r="P121" s="55" t="s">
        <v>3499</v>
      </c>
    </row>
    <row r="122" spans="1:16" s="61" customFormat="1" x14ac:dyDescent="0.25">
      <c r="A122" s="55" t="s">
        <v>3501</v>
      </c>
      <c r="B122" s="56">
        <v>46121</v>
      </c>
      <c r="C122" s="56">
        <v>46127</v>
      </c>
      <c r="D122" s="55">
        <v>3271</v>
      </c>
      <c r="E122" s="55">
        <v>336</v>
      </c>
      <c r="F122" s="57">
        <v>4</v>
      </c>
      <c r="G122" s="55">
        <v>6</v>
      </c>
      <c r="H122" s="55">
        <v>81328</v>
      </c>
      <c r="I122" s="55" t="s">
        <v>543</v>
      </c>
      <c r="J122" s="55">
        <v>51526286</v>
      </c>
      <c r="K122" s="55" t="s">
        <v>1487</v>
      </c>
      <c r="L122" s="55" t="s">
        <v>1488</v>
      </c>
      <c r="M122" s="60">
        <v>79900</v>
      </c>
      <c r="N122" s="62">
        <v>0.75</v>
      </c>
      <c r="O122" s="60">
        <f t="shared" si="2"/>
        <v>19975</v>
      </c>
      <c r="P122" s="55" t="s">
        <v>3499</v>
      </c>
    </row>
    <row r="123" spans="1:16" s="61" customFormat="1" x14ac:dyDescent="0.25">
      <c r="A123" s="55" t="s">
        <v>3501</v>
      </c>
      <c r="B123" s="56">
        <v>46121</v>
      </c>
      <c r="C123" s="56">
        <v>46127</v>
      </c>
      <c r="D123" s="55">
        <v>3271</v>
      </c>
      <c r="E123" s="55">
        <v>336</v>
      </c>
      <c r="F123" s="57">
        <v>4</v>
      </c>
      <c r="G123" s="55">
        <v>6</v>
      </c>
      <c r="H123" s="55">
        <v>81328</v>
      </c>
      <c r="I123" s="55" t="s">
        <v>543</v>
      </c>
      <c r="J123" s="55">
        <v>51526295</v>
      </c>
      <c r="K123" s="55" t="s">
        <v>1487</v>
      </c>
      <c r="L123" s="55" t="s">
        <v>1489</v>
      </c>
      <c r="M123" s="60">
        <v>79900</v>
      </c>
      <c r="N123" s="62">
        <v>0.75</v>
      </c>
      <c r="O123" s="60">
        <f t="shared" si="2"/>
        <v>19975</v>
      </c>
      <c r="P123" s="55" t="s">
        <v>3499</v>
      </c>
    </row>
    <row r="124" spans="1:16" s="61" customFormat="1" x14ac:dyDescent="0.25">
      <c r="A124" s="55" t="s">
        <v>3501</v>
      </c>
      <c r="B124" s="56">
        <v>46121</v>
      </c>
      <c r="C124" s="56">
        <v>46127</v>
      </c>
      <c r="D124" s="55">
        <v>3271</v>
      </c>
      <c r="E124" s="55">
        <v>336</v>
      </c>
      <c r="F124" s="57">
        <v>4</v>
      </c>
      <c r="G124" s="55">
        <v>6</v>
      </c>
      <c r="H124" s="55">
        <v>81328</v>
      </c>
      <c r="I124" s="55" t="s">
        <v>543</v>
      </c>
      <c r="J124" s="55">
        <v>51526302</v>
      </c>
      <c r="K124" s="55" t="s">
        <v>1487</v>
      </c>
      <c r="L124" s="55" t="s">
        <v>1490</v>
      </c>
      <c r="M124" s="60">
        <v>79900</v>
      </c>
      <c r="N124" s="62">
        <v>0.75</v>
      </c>
      <c r="O124" s="60">
        <f t="shared" si="2"/>
        <v>19975</v>
      </c>
      <c r="P124" s="55" t="s">
        <v>3499</v>
      </c>
    </row>
    <row r="125" spans="1:16" s="61" customFormat="1" x14ac:dyDescent="0.25">
      <c r="A125" s="55" t="s">
        <v>3501</v>
      </c>
      <c r="B125" s="56">
        <v>46121</v>
      </c>
      <c r="C125" s="56">
        <v>46127</v>
      </c>
      <c r="D125" s="55">
        <v>3271</v>
      </c>
      <c r="E125" s="55">
        <v>336</v>
      </c>
      <c r="F125" s="57">
        <v>4</v>
      </c>
      <c r="G125" s="55">
        <v>6</v>
      </c>
      <c r="H125" s="55">
        <v>81328</v>
      </c>
      <c r="I125" s="55" t="s">
        <v>543</v>
      </c>
      <c r="J125" s="55">
        <v>51526311</v>
      </c>
      <c r="K125" s="55" t="s">
        <v>1487</v>
      </c>
      <c r="L125" s="55" t="s">
        <v>1491</v>
      </c>
      <c r="M125" s="60">
        <v>79900</v>
      </c>
      <c r="N125" s="62">
        <v>0.75</v>
      </c>
      <c r="O125" s="60">
        <f t="shared" si="2"/>
        <v>19975</v>
      </c>
      <c r="P125" s="55" t="s">
        <v>3499</v>
      </c>
    </row>
    <row r="126" spans="1:16" s="61" customFormat="1" x14ac:dyDescent="0.25">
      <c r="A126" s="55" t="s">
        <v>3501</v>
      </c>
      <c r="B126" s="56">
        <v>46121</v>
      </c>
      <c r="C126" s="56">
        <v>46127</v>
      </c>
      <c r="D126" s="55">
        <v>3271</v>
      </c>
      <c r="E126" s="55">
        <v>336</v>
      </c>
      <c r="F126" s="57">
        <v>4</v>
      </c>
      <c r="G126" s="55">
        <v>6</v>
      </c>
      <c r="H126" s="55">
        <v>4953</v>
      </c>
      <c r="I126" s="55" t="s">
        <v>543</v>
      </c>
      <c r="J126" s="55">
        <v>45326567</v>
      </c>
      <c r="K126" s="55" t="s">
        <v>1492</v>
      </c>
      <c r="L126" s="55" t="s">
        <v>1493</v>
      </c>
      <c r="M126" s="60">
        <v>79900</v>
      </c>
      <c r="N126" s="62">
        <v>0.75</v>
      </c>
      <c r="O126" s="60">
        <f t="shared" si="2"/>
        <v>19975</v>
      </c>
      <c r="P126" s="55" t="s">
        <v>3499</v>
      </c>
    </row>
    <row r="127" spans="1:16" s="61" customFormat="1" x14ac:dyDescent="0.25">
      <c r="A127" s="55" t="s">
        <v>3501</v>
      </c>
      <c r="B127" s="56">
        <v>46121</v>
      </c>
      <c r="C127" s="56">
        <v>46127</v>
      </c>
      <c r="D127" s="55">
        <v>3271</v>
      </c>
      <c r="E127" s="55">
        <v>336</v>
      </c>
      <c r="F127" s="57">
        <v>4</v>
      </c>
      <c r="G127" s="55">
        <v>6</v>
      </c>
      <c r="H127" s="55">
        <v>4953</v>
      </c>
      <c r="I127" s="55" t="s">
        <v>543</v>
      </c>
      <c r="J127" s="55">
        <v>45326576</v>
      </c>
      <c r="K127" s="55" t="s">
        <v>1492</v>
      </c>
      <c r="L127" s="55" t="s">
        <v>1494</v>
      </c>
      <c r="M127" s="60">
        <v>79900</v>
      </c>
      <c r="N127" s="62">
        <v>0.75</v>
      </c>
      <c r="O127" s="60">
        <f t="shared" si="2"/>
        <v>19975</v>
      </c>
      <c r="P127" s="55" t="s">
        <v>3499</v>
      </c>
    </row>
    <row r="128" spans="1:16" s="61" customFormat="1" x14ac:dyDescent="0.25">
      <c r="A128" s="55" t="s">
        <v>3501</v>
      </c>
      <c r="B128" s="56">
        <v>46121</v>
      </c>
      <c r="C128" s="56">
        <v>46127</v>
      </c>
      <c r="D128" s="55">
        <v>3271</v>
      </c>
      <c r="E128" s="55">
        <v>336</v>
      </c>
      <c r="F128" s="57">
        <v>4</v>
      </c>
      <c r="G128" s="55">
        <v>6</v>
      </c>
      <c r="H128" s="55">
        <v>4953</v>
      </c>
      <c r="I128" s="55" t="s">
        <v>543</v>
      </c>
      <c r="J128" s="55">
        <v>45326585</v>
      </c>
      <c r="K128" s="55" t="s">
        <v>1492</v>
      </c>
      <c r="L128" s="55" t="s">
        <v>1495</v>
      </c>
      <c r="M128" s="60">
        <v>79900</v>
      </c>
      <c r="N128" s="62">
        <v>0.75</v>
      </c>
      <c r="O128" s="60">
        <f t="shared" si="2"/>
        <v>19975</v>
      </c>
      <c r="P128" s="55" t="s">
        <v>3499</v>
      </c>
    </row>
    <row r="129" spans="1:16" s="61" customFormat="1" x14ac:dyDescent="0.25">
      <c r="A129" s="55" t="s">
        <v>3501</v>
      </c>
      <c r="B129" s="56">
        <v>46121</v>
      </c>
      <c r="C129" s="56">
        <v>46127</v>
      </c>
      <c r="D129" s="55">
        <v>3271</v>
      </c>
      <c r="E129" s="55">
        <v>336</v>
      </c>
      <c r="F129" s="57">
        <v>4</v>
      </c>
      <c r="G129" s="55">
        <v>6</v>
      </c>
      <c r="H129" s="55">
        <v>4953</v>
      </c>
      <c r="I129" s="55" t="s">
        <v>543</v>
      </c>
      <c r="J129" s="55">
        <v>45326594</v>
      </c>
      <c r="K129" s="55" t="s">
        <v>1492</v>
      </c>
      <c r="L129" s="55" t="s">
        <v>1496</v>
      </c>
      <c r="M129" s="60">
        <v>79900</v>
      </c>
      <c r="N129" s="62">
        <v>0.75</v>
      </c>
      <c r="O129" s="60">
        <f t="shared" si="2"/>
        <v>19975</v>
      </c>
      <c r="P129" s="55" t="s">
        <v>3499</v>
      </c>
    </row>
    <row r="130" spans="1:16" s="61" customFormat="1" x14ac:dyDescent="0.25">
      <c r="A130" s="55" t="s">
        <v>3501</v>
      </c>
      <c r="B130" s="56">
        <v>46121</v>
      </c>
      <c r="C130" s="56">
        <v>46127</v>
      </c>
      <c r="D130" s="55">
        <v>3271</v>
      </c>
      <c r="E130" s="55">
        <v>336</v>
      </c>
      <c r="F130" s="57">
        <v>4</v>
      </c>
      <c r="G130" s="55">
        <v>6</v>
      </c>
      <c r="H130" s="55">
        <v>4953</v>
      </c>
      <c r="I130" s="55" t="s">
        <v>543</v>
      </c>
      <c r="J130" s="55">
        <v>45326601</v>
      </c>
      <c r="K130" s="55" t="s">
        <v>1497</v>
      </c>
      <c r="L130" s="55" t="s">
        <v>1498</v>
      </c>
      <c r="M130" s="60">
        <v>79900</v>
      </c>
      <c r="N130" s="62">
        <v>0.75</v>
      </c>
      <c r="O130" s="60">
        <f t="shared" si="2"/>
        <v>19975</v>
      </c>
      <c r="P130" s="55" t="s">
        <v>3499</v>
      </c>
    </row>
    <row r="131" spans="1:16" s="61" customFormat="1" x14ac:dyDescent="0.25">
      <c r="A131" s="55" t="s">
        <v>3501</v>
      </c>
      <c r="B131" s="56">
        <v>46121</v>
      </c>
      <c r="C131" s="56">
        <v>46127</v>
      </c>
      <c r="D131" s="55">
        <v>3271</v>
      </c>
      <c r="E131" s="55">
        <v>336</v>
      </c>
      <c r="F131" s="57">
        <v>4</v>
      </c>
      <c r="G131" s="55">
        <v>6</v>
      </c>
      <c r="H131" s="55">
        <v>4953</v>
      </c>
      <c r="I131" s="55" t="s">
        <v>543</v>
      </c>
      <c r="J131" s="55">
        <v>45326610</v>
      </c>
      <c r="K131" s="55" t="s">
        <v>1497</v>
      </c>
      <c r="L131" s="55" t="s">
        <v>1499</v>
      </c>
      <c r="M131" s="60">
        <v>79900</v>
      </c>
      <c r="N131" s="62">
        <v>0.75</v>
      </c>
      <c r="O131" s="60">
        <f t="shared" ref="O131:O193" si="3">M131-((75*M131)/100)</f>
        <v>19975</v>
      </c>
      <c r="P131" s="55" t="s">
        <v>3499</v>
      </c>
    </row>
    <row r="132" spans="1:16" s="61" customFormat="1" x14ac:dyDescent="0.25">
      <c r="A132" s="55" t="s">
        <v>3501</v>
      </c>
      <c r="B132" s="56">
        <v>46121</v>
      </c>
      <c r="C132" s="56">
        <v>46127</v>
      </c>
      <c r="D132" s="55">
        <v>3271</v>
      </c>
      <c r="E132" s="55">
        <v>336</v>
      </c>
      <c r="F132" s="57">
        <v>4</v>
      </c>
      <c r="G132" s="55">
        <v>6</v>
      </c>
      <c r="H132" s="55">
        <v>4953</v>
      </c>
      <c r="I132" s="55" t="s">
        <v>543</v>
      </c>
      <c r="J132" s="55">
        <v>45326629</v>
      </c>
      <c r="K132" s="55" t="s">
        <v>1497</v>
      </c>
      <c r="L132" s="55" t="s">
        <v>1500</v>
      </c>
      <c r="M132" s="60">
        <v>79900</v>
      </c>
      <c r="N132" s="62">
        <v>0.75</v>
      </c>
      <c r="O132" s="60">
        <f t="shared" si="3"/>
        <v>19975</v>
      </c>
      <c r="P132" s="55" t="s">
        <v>3499</v>
      </c>
    </row>
    <row r="133" spans="1:16" s="61" customFormat="1" x14ac:dyDescent="0.25">
      <c r="A133" s="55" t="s">
        <v>3501</v>
      </c>
      <c r="B133" s="56">
        <v>46121</v>
      </c>
      <c r="C133" s="56">
        <v>46127</v>
      </c>
      <c r="D133" s="55">
        <v>3271</v>
      </c>
      <c r="E133" s="55">
        <v>336</v>
      </c>
      <c r="F133" s="57">
        <v>4</v>
      </c>
      <c r="G133" s="55">
        <v>6</v>
      </c>
      <c r="H133" s="55">
        <v>4953</v>
      </c>
      <c r="I133" s="55" t="s">
        <v>543</v>
      </c>
      <c r="J133" s="55">
        <v>45326638</v>
      </c>
      <c r="K133" s="55" t="s">
        <v>1497</v>
      </c>
      <c r="L133" s="55" t="s">
        <v>1501</v>
      </c>
      <c r="M133" s="60">
        <v>79900</v>
      </c>
      <c r="N133" s="62">
        <v>0.75</v>
      </c>
      <c r="O133" s="60">
        <f t="shared" si="3"/>
        <v>19975</v>
      </c>
      <c r="P133" s="55" t="s">
        <v>3499</v>
      </c>
    </row>
    <row r="134" spans="1:16" s="61" customFormat="1" x14ac:dyDescent="0.25">
      <c r="A134" s="55" t="s">
        <v>3501</v>
      </c>
      <c r="B134" s="56">
        <v>46121</v>
      </c>
      <c r="C134" s="56">
        <v>46127</v>
      </c>
      <c r="D134" s="55">
        <v>3271</v>
      </c>
      <c r="E134" s="55">
        <v>336</v>
      </c>
      <c r="F134" s="57">
        <v>4</v>
      </c>
      <c r="G134" s="55">
        <v>6</v>
      </c>
      <c r="H134" s="55">
        <v>4953</v>
      </c>
      <c r="I134" s="55" t="s">
        <v>543</v>
      </c>
      <c r="J134" s="55">
        <v>45326647</v>
      </c>
      <c r="K134" s="55" t="s">
        <v>1502</v>
      </c>
      <c r="L134" s="55" t="s">
        <v>1503</v>
      </c>
      <c r="M134" s="60">
        <v>79900</v>
      </c>
      <c r="N134" s="62">
        <v>0.75</v>
      </c>
      <c r="O134" s="60">
        <f t="shared" si="3"/>
        <v>19975</v>
      </c>
      <c r="P134" s="55" t="s">
        <v>3499</v>
      </c>
    </row>
    <row r="135" spans="1:16" s="61" customFormat="1" x14ac:dyDescent="0.25">
      <c r="A135" s="55" t="s">
        <v>3501</v>
      </c>
      <c r="B135" s="56">
        <v>46121</v>
      </c>
      <c r="C135" s="56">
        <v>46127</v>
      </c>
      <c r="D135" s="55">
        <v>3271</v>
      </c>
      <c r="E135" s="55">
        <v>336</v>
      </c>
      <c r="F135" s="57">
        <v>4</v>
      </c>
      <c r="G135" s="55">
        <v>6</v>
      </c>
      <c r="H135" s="55">
        <v>4953</v>
      </c>
      <c r="I135" s="55" t="s">
        <v>543</v>
      </c>
      <c r="J135" s="55">
        <v>45326656</v>
      </c>
      <c r="K135" s="55" t="s">
        <v>1502</v>
      </c>
      <c r="L135" s="55" t="s">
        <v>1504</v>
      </c>
      <c r="M135" s="60">
        <v>79900</v>
      </c>
      <c r="N135" s="62">
        <v>0.75</v>
      </c>
      <c r="O135" s="60">
        <f t="shared" si="3"/>
        <v>19975</v>
      </c>
      <c r="P135" s="55" t="s">
        <v>3499</v>
      </c>
    </row>
    <row r="136" spans="1:16" s="61" customFormat="1" x14ac:dyDescent="0.25">
      <c r="A136" s="55" t="s">
        <v>3501</v>
      </c>
      <c r="B136" s="56">
        <v>46121</v>
      </c>
      <c r="C136" s="56">
        <v>46127</v>
      </c>
      <c r="D136" s="55">
        <v>3271</v>
      </c>
      <c r="E136" s="55">
        <v>336</v>
      </c>
      <c r="F136" s="57">
        <v>4</v>
      </c>
      <c r="G136" s="55">
        <v>6</v>
      </c>
      <c r="H136" s="55">
        <v>4953</v>
      </c>
      <c r="I136" s="55" t="s">
        <v>543</v>
      </c>
      <c r="J136" s="55">
        <v>45326665</v>
      </c>
      <c r="K136" s="55" t="s">
        <v>1502</v>
      </c>
      <c r="L136" s="55" t="s">
        <v>1505</v>
      </c>
      <c r="M136" s="60">
        <v>79900</v>
      </c>
      <c r="N136" s="62">
        <v>0.75</v>
      </c>
      <c r="O136" s="60">
        <f t="shared" si="3"/>
        <v>19975</v>
      </c>
      <c r="P136" s="55" t="s">
        <v>3499</v>
      </c>
    </row>
    <row r="137" spans="1:16" s="61" customFormat="1" x14ac:dyDescent="0.25">
      <c r="A137" s="55" t="s">
        <v>3501</v>
      </c>
      <c r="B137" s="56">
        <v>46121</v>
      </c>
      <c r="C137" s="56">
        <v>46127</v>
      </c>
      <c r="D137" s="55">
        <v>3271</v>
      </c>
      <c r="E137" s="55">
        <v>336</v>
      </c>
      <c r="F137" s="57">
        <v>4</v>
      </c>
      <c r="G137" s="55">
        <v>6</v>
      </c>
      <c r="H137" s="55">
        <v>4953</v>
      </c>
      <c r="I137" s="55" t="s">
        <v>543</v>
      </c>
      <c r="J137" s="55">
        <v>45326674</v>
      </c>
      <c r="K137" s="55" t="s">
        <v>1502</v>
      </c>
      <c r="L137" s="55" t="s">
        <v>1506</v>
      </c>
      <c r="M137" s="60">
        <v>79900</v>
      </c>
      <c r="N137" s="62">
        <v>0.75</v>
      </c>
      <c r="O137" s="60">
        <f t="shared" si="3"/>
        <v>19975</v>
      </c>
      <c r="P137" s="55" t="s">
        <v>3499</v>
      </c>
    </row>
    <row r="138" spans="1:16" s="61" customFormat="1" x14ac:dyDescent="0.25">
      <c r="A138" s="55" t="s">
        <v>3501</v>
      </c>
      <c r="B138" s="56">
        <v>46121</v>
      </c>
      <c r="C138" s="56">
        <v>46127</v>
      </c>
      <c r="D138" s="55">
        <v>3271</v>
      </c>
      <c r="E138" s="55">
        <v>336</v>
      </c>
      <c r="F138" s="57">
        <v>4</v>
      </c>
      <c r="G138" s="55">
        <v>6</v>
      </c>
      <c r="H138" s="55">
        <v>4953</v>
      </c>
      <c r="I138" s="55" t="s">
        <v>543</v>
      </c>
      <c r="J138" s="55">
        <v>45326683</v>
      </c>
      <c r="K138" s="55" t="s">
        <v>1507</v>
      </c>
      <c r="L138" s="55" t="s">
        <v>1508</v>
      </c>
      <c r="M138" s="60">
        <v>79900</v>
      </c>
      <c r="N138" s="62">
        <v>0.75</v>
      </c>
      <c r="O138" s="60">
        <f t="shared" si="3"/>
        <v>19975</v>
      </c>
      <c r="P138" s="55" t="s">
        <v>3499</v>
      </c>
    </row>
    <row r="139" spans="1:16" s="61" customFormat="1" x14ac:dyDescent="0.25">
      <c r="A139" s="55" t="s">
        <v>3501</v>
      </c>
      <c r="B139" s="56">
        <v>46121</v>
      </c>
      <c r="C139" s="56">
        <v>46127</v>
      </c>
      <c r="D139" s="55">
        <v>3271</v>
      </c>
      <c r="E139" s="55">
        <v>336</v>
      </c>
      <c r="F139" s="57">
        <v>4</v>
      </c>
      <c r="G139" s="55">
        <v>6</v>
      </c>
      <c r="H139" s="55">
        <v>4953</v>
      </c>
      <c r="I139" s="55" t="s">
        <v>543</v>
      </c>
      <c r="J139" s="55">
        <v>45326692</v>
      </c>
      <c r="K139" s="55" t="s">
        <v>1507</v>
      </c>
      <c r="L139" s="55" t="s">
        <v>1509</v>
      </c>
      <c r="M139" s="60">
        <v>79900</v>
      </c>
      <c r="N139" s="62">
        <v>0.75</v>
      </c>
      <c r="O139" s="60">
        <f t="shared" si="3"/>
        <v>19975</v>
      </c>
      <c r="P139" s="55" t="s">
        <v>3499</v>
      </c>
    </row>
    <row r="140" spans="1:16" s="61" customFormat="1" x14ac:dyDescent="0.25">
      <c r="A140" s="55" t="s">
        <v>3501</v>
      </c>
      <c r="B140" s="56">
        <v>46121</v>
      </c>
      <c r="C140" s="56">
        <v>46127</v>
      </c>
      <c r="D140" s="55">
        <v>3271</v>
      </c>
      <c r="E140" s="55">
        <v>336</v>
      </c>
      <c r="F140" s="57">
        <v>4</v>
      </c>
      <c r="G140" s="55">
        <v>6</v>
      </c>
      <c r="H140" s="55">
        <v>4953</v>
      </c>
      <c r="I140" s="55" t="s">
        <v>543</v>
      </c>
      <c r="J140" s="55">
        <v>45326709</v>
      </c>
      <c r="K140" s="55" t="s">
        <v>1507</v>
      </c>
      <c r="L140" s="55" t="s">
        <v>1510</v>
      </c>
      <c r="M140" s="60">
        <v>79900</v>
      </c>
      <c r="N140" s="62">
        <v>0.75</v>
      </c>
      <c r="O140" s="60">
        <f t="shared" si="3"/>
        <v>19975</v>
      </c>
      <c r="P140" s="55" t="s">
        <v>3499</v>
      </c>
    </row>
    <row r="141" spans="1:16" s="61" customFormat="1" x14ac:dyDescent="0.25">
      <c r="A141" s="55" t="s">
        <v>3501</v>
      </c>
      <c r="B141" s="56">
        <v>46121</v>
      </c>
      <c r="C141" s="56">
        <v>46127</v>
      </c>
      <c r="D141" s="55">
        <v>3271</v>
      </c>
      <c r="E141" s="55">
        <v>336</v>
      </c>
      <c r="F141" s="57">
        <v>4</v>
      </c>
      <c r="G141" s="55">
        <v>6</v>
      </c>
      <c r="H141" s="55">
        <v>4953</v>
      </c>
      <c r="I141" s="55" t="s">
        <v>543</v>
      </c>
      <c r="J141" s="55">
        <v>45326718</v>
      </c>
      <c r="K141" s="55" t="s">
        <v>1507</v>
      </c>
      <c r="L141" s="55" t="s">
        <v>1511</v>
      </c>
      <c r="M141" s="60">
        <v>79900</v>
      </c>
      <c r="N141" s="62">
        <v>0.75</v>
      </c>
      <c r="O141" s="60">
        <f t="shared" si="3"/>
        <v>19975</v>
      </c>
      <c r="P141" s="55" t="s">
        <v>3499</v>
      </c>
    </row>
    <row r="142" spans="1:16" s="61" customFormat="1" x14ac:dyDescent="0.25">
      <c r="A142" s="55" t="s">
        <v>3501</v>
      </c>
      <c r="B142" s="56">
        <v>46121</v>
      </c>
      <c r="C142" s="56">
        <v>46127</v>
      </c>
      <c r="D142" s="55">
        <v>3271</v>
      </c>
      <c r="E142" s="55">
        <v>336</v>
      </c>
      <c r="F142" s="57">
        <v>4</v>
      </c>
      <c r="G142" s="55">
        <v>6</v>
      </c>
      <c r="H142" s="55">
        <v>81684</v>
      </c>
      <c r="I142" s="55" t="s">
        <v>543</v>
      </c>
      <c r="J142" s="55">
        <v>45326727</v>
      </c>
      <c r="K142" s="55" t="s">
        <v>1512</v>
      </c>
      <c r="L142" s="55" t="s">
        <v>1513</v>
      </c>
      <c r="M142" s="60">
        <v>79900</v>
      </c>
      <c r="N142" s="62">
        <v>0.75</v>
      </c>
      <c r="O142" s="60">
        <f t="shared" si="3"/>
        <v>19975</v>
      </c>
      <c r="P142" s="55" t="s">
        <v>3499</v>
      </c>
    </row>
    <row r="143" spans="1:16" s="61" customFormat="1" x14ac:dyDescent="0.25">
      <c r="A143" s="55" t="s">
        <v>3501</v>
      </c>
      <c r="B143" s="56">
        <v>46121</v>
      </c>
      <c r="C143" s="56">
        <v>46127</v>
      </c>
      <c r="D143" s="55">
        <v>3271</v>
      </c>
      <c r="E143" s="55">
        <v>336</v>
      </c>
      <c r="F143" s="57">
        <v>4</v>
      </c>
      <c r="G143" s="55">
        <v>6</v>
      </c>
      <c r="H143" s="55">
        <v>81684</v>
      </c>
      <c r="I143" s="55" t="s">
        <v>543</v>
      </c>
      <c r="J143" s="55">
        <v>45326736</v>
      </c>
      <c r="K143" s="55" t="s">
        <v>1512</v>
      </c>
      <c r="L143" s="55" t="s">
        <v>1514</v>
      </c>
      <c r="M143" s="60">
        <v>79900</v>
      </c>
      <c r="N143" s="62">
        <v>0.75</v>
      </c>
      <c r="O143" s="60">
        <f t="shared" si="3"/>
        <v>19975</v>
      </c>
      <c r="P143" s="55" t="s">
        <v>3499</v>
      </c>
    </row>
    <row r="144" spans="1:16" s="61" customFormat="1" x14ac:dyDescent="0.25">
      <c r="A144" s="55" t="s">
        <v>3501</v>
      </c>
      <c r="B144" s="56">
        <v>46121</v>
      </c>
      <c r="C144" s="56">
        <v>46127</v>
      </c>
      <c r="D144" s="55">
        <v>3271</v>
      </c>
      <c r="E144" s="55">
        <v>336</v>
      </c>
      <c r="F144" s="57">
        <v>4</v>
      </c>
      <c r="G144" s="55">
        <v>6</v>
      </c>
      <c r="H144" s="55">
        <v>81684</v>
      </c>
      <c r="I144" s="55" t="s">
        <v>543</v>
      </c>
      <c r="J144" s="55">
        <v>45326745</v>
      </c>
      <c r="K144" s="55" t="s">
        <v>1512</v>
      </c>
      <c r="L144" s="55" t="s">
        <v>1515</v>
      </c>
      <c r="M144" s="60">
        <v>79900</v>
      </c>
      <c r="N144" s="62">
        <v>0.75</v>
      </c>
      <c r="O144" s="60">
        <f t="shared" si="3"/>
        <v>19975</v>
      </c>
      <c r="P144" s="55" t="s">
        <v>3499</v>
      </c>
    </row>
    <row r="145" spans="1:16" s="61" customFormat="1" x14ac:dyDescent="0.25">
      <c r="A145" s="55" t="s">
        <v>3501</v>
      </c>
      <c r="B145" s="56">
        <v>46121</v>
      </c>
      <c r="C145" s="56">
        <v>46127</v>
      </c>
      <c r="D145" s="55">
        <v>3271</v>
      </c>
      <c r="E145" s="55">
        <v>336</v>
      </c>
      <c r="F145" s="57">
        <v>4</v>
      </c>
      <c r="G145" s="55">
        <v>6</v>
      </c>
      <c r="H145" s="55">
        <v>81684</v>
      </c>
      <c r="I145" s="55" t="s">
        <v>543</v>
      </c>
      <c r="J145" s="55">
        <v>45326754</v>
      </c>
      <c r="K145" s="55" t="s">
        <v>1512</v>
      </c>
      <c r="L145" s="55" t="s">
        <v>1516</v>
      </c>
      <c r="M145" s="60">
        <v>79900</v>
      </c>
      <c r="N145" s="62">
        <v>0.75</v>
      </c>
      <c r="O145" s="60">
        <f t="shared" si="3"/>
        <v>19975</v>
      </c>
      <c r="P145" s="55" t="s">
        <v>3499</v>
      </c>
    </row>
    <row r="146" spans="1:16" s="61" customFormat="1" x14ac:dyDescent="0.25">
      <c r="A146" s="55" t="s">
        <v>3501</v>
      </c>
      <c r="B146" s="56">
        <v>46121</v>
      </c>
      <c r="C146" s="56">
        <v>46127</v>
      </c>
      <c r="D146" s="55">
        <v>3271</v>
      </c>
      <c r="E146" s="55">
        <v>336</v>
      </c>
      <c r="F146" s="57">
        <v>4</v>
      </c>
      <c r="G146" s="55">
        <v>6</v>
      </c>
      <c r="H146" s="55">
        <v>81684</v>
      </c>
      <c r="I146" s="55" t="s">
        <v>543</v>
      </c>
      <c r="J146" s="55">
        <v>45326763</v>
      </c>
      <c r="K146" s="55" t="s">
        <v>1517</v>
      </c>
      <c r="L146" s="55" t="s">
        <v>1518</v>
      </c>
      <c r="M146" s="60">
        <v>79900</v>
      </c>
      <c r="N146" s="62">
        <v>0.75</v>
      </c>
      <c r="O146" s="60">
        <f t="shared" si="3"/>
        <v>19975</v>
      </c>
      <c r="P146" s="55" t="s">
        <v>3499</v>
      </c>
    </row>
    <row r="147" spans="1:16" s="61" customFormat="1" x14ac:dyDescent="0.25">
      <c r="A147" s="55" t="s">
        <v>3501</v>
      </c>
      <c r="B147" s="56">
        <v>46121</v>
      </c>
      <c r="C147" s="56">
        <v>46127</v>
      </c>
      <c r="D147" s="55">
        <v>3271</v>
      </c>
      <c r="E147" s="55">
        <v>336</v>
      </c>
      <c r="F147" s="57">
        <v>4</v>
      </c>
      <c r="G147" s="55">
        <v>6</v>
      </c>
      <c r="H147" s="55">
        <v>81684</v>
      </c>
      <c r="I147" s="55" t="s">
        <v>543</v>
      </c>
      <c r="J147" s="55">
        <v>45326772</v>
      </c>
      <c r="K147" s="55" t="s">
        <v>1517</v>
      </c>
      <c r="L147" s="55" t="s">
        <v>1519</v>
      </c>
      <c r="M147" s="60">
        <v>79900</v>
      </c>
      <c r="N147" s="62">
        <v>0.75</v>
      </c>
      <c r="O147" s="60">
        <f t="shared" si="3"/>
        <v>19975</v>
      </c>
      <c r="P147" s="55" t="s">
        <v>3499</v>
      </c>
    </row>
    <row r="148" spans="1:16" s="61" customFormat="1" x14ac:dyDescent="0.25">
      <c r="A148" s="55" t="s">
        <v>3501</v>
      </c>
      <c r="B148" s="56">
        <v>46121</v>
      </c>
      <c r="C148" s="56">
        <v>46127</v>
      </c>
      <c r="D148" s="55">
        <v>3271</v>
      </c>
      <c r="E148" s="55">
        <v>336</v>
      </c>
      <c r="F148" s="57">
        <v>4</v>
      </c>
      <c r="G148" s="55">
        <v>6</v>
      </c>
      <c r="H148" s="55">
        <v>81684</v>
      </c>
      <c r="I148" s="55" t="s">
        <v>543</v>
      </c>
      <c r="J148" s="55">
        <v>45326781</v>
      </c>
      <c r="K148" s="55" t="s">
        <v>1517</v>
      </c>
      <c r="L148" s="55" t="s">
        <v>1520</v>
      </c>
      <c r="M148" s="60">
        <v>79900</v>
      </c>
      <c r="N148" s="62">
        <v>0.75</v>
      </c>
      <c r="O148" s="60">
        <f t="shared" si="3"/>
        <v>19975</v>
      </c>
      <c r="P148" s="55" t="s">
        <v>3499</v>
      </c>
    </row>
    <row r="149" spans="1:16" s="61" customFormat="1" x14ac:dyDescent="0.25">
      <c r="A149" s="55" t="s">
        <v>3501</v>
      </c>
      <c r="B149" s="56">
        <v>46121</v>
      </c>
      <c r="C149" s="56">
        <v>46127</v>
      </c>
      <c r="D149" s="55">
        <v>3271</v>
      </c>
      <c r="E149" s="55">
        <v>336</v>
      </c>
      <c r="F149" s="57">
        <v>4</v>
      </c>
      <c r="G149" s="55">
        <v>6</v>
      </c>
      <c r="H149" s="55">
        <v>81684</v>
      </c>
      <c r="I149" s="55" t="s">
        <v>543</v>
      </c>
      <c r="J149" s="55">
        <v>45326790</v>
      </c>
      <c r="K149" s="55" t="s">
        <v>1517</v>
      </c>
      <c r="L149" s="55" t="s">
        <v>1521</v>
      </c>
      <c r="M149" s="60">
        <v>79900</v>
      </c>
      <c r="N149" s="62">
        <v>0.75</v>
      </c>
      <c r="O149" s="60">
        <f t="shared" si="3"/>
        <v>19975</v>
      </c>
      <c r="P149" s="55" t="s">
        <v>3499</v>
      </c>
    </row>
    <row r="150" spans="1:16" s="61" customFormat="1" x14ac:dyDescent="0.25">
      <c r="A150" s="55" t="s">
        <v>3501</v>
      </c>
      <c r="B150" s="56">
        <v>46121</v>
      </c>
      <c r="C150" s="56">
        <v>46127</v>
      </c>
      <c r="D150" s="55">
        <v>3271</v>
      </c>
      <c r="E150" s="55">
        <v>336</v>
      </c>
      <c r="F150" s="57">
        <v>4</v>
      </c>
      <c r="G150" s="55">
        <v>6</v>
      </c>
      <c r="H150" s="55">
        <v>81684</v>
      </c>
      <c r="I150" s="55" t="s">
        <v>543</v>
      </c>
      <c r="J150" s="55">
        <v>45326807</v>
      </c>
      <c r="K150" s="55" t="s">
        <v>1522</v>
      </c>
      <c r="L150" s="55" t="s">
        <v>1523</v>
      </c>
      <c r="M150" s="60">
        <v>79900</v>
      </c>
      <c r="N150" s="62">
        <v>0.75</v>
      </c>
      <c r="O150" s="60">
        <f t="shared" si="3"/>
        <v>19975</v>
      </c>
      <c r="P150" s="55" t="s">
        <v>3499</v>
      </c>
    </row>
    <row r="151" spans="1:16" s="61" customFormat="1" x14ac:dyDescent="0.25">
      <c r="A151" s="55" t="s">
        <v>3501</v>
      </c>
      <c r="B151" s="56">
        <v>46121</v>
      </c>
      <c r="C151" s="56">
        <v>46127</v>
      </c>
      <c r="D151" s="55">
        <v>3271</v>
      </c>
      <c r="E151" s="55">
        <v>336</v>
      </c>
      <c r="F151" s="57">
        <v>4</v>
      </c>
      <c r="G151" s="55">
        <v>6</v>
      </c>
      <c r="H151" s="55">
        <v>81684</v>
      </c>
      <c r="I151" s="55" t="s">
        <v>543</v>
      </c>
      <c r="J151" s="55">
        <v>45326816</v>
      </c>
      <c r="K151" s="55" t="s">
        <v>1522</v>
      </c>
      <c r="L151" s="55" t="s">
        <v>1524</v>
      </c>
      <c r="M151" s="60">
        <v>79900</v>
      </c>
      <c r="N151" s="62">
        <v>0.75</v>
      </c>
      <c r="O151" s="60">
        <f t="shared" si="3"/>
        <v>19975</v>
      </c>
      <c r="P151" s="55" t="s">
        <v>3499</v>
      </c>
    </row>
    <row r="152" spans="1:16" s="61" customFormat="1" x14ac:dyDescent="0.25">
      <c r="A152" s="55" t="s">
        <v>3501</v>
      </c>
      <c r="B152" s="56">
        <v>46121</v>
      </c>
      <c r="C152" s="56">
        <v>46127</v>
      </c>
      <c r="D152" s="55">
        <v>3271</v>
      </c>
      <c r="E152" s="55">
        <v>336</v>
      </c>
      <c r="F152" s="57">
        <v>4</v>
      </c>
      <c r="G152" s="55">
        <v>6</v>
      </c>
      <c r="H152" s="55">
        <v>81684</v>
      </c>
      <c r="I152" s="55" t="s">
        <v>543</v>
      </c>
      <c r="J152" s="55">
        <v>45326825</v>
      </c>
      <c r="K152" s="55" t="s">
        <v>1522</v>
      </c>
      <c r="L152" s="55" t="s">
        <v>1525</v>
      </c>
      <c r="M152" s="60">
        <v>79900</v>
      </c>
      <c r="N152" s="62">
        <v>0.75</v>
      </c>
      <c r="O152" s="60">
        <f t="shared" si="3"/>
        <v>19975</v>
      </c>
      <c r="P152" s="55" t="s">
        <v>3499</v>
      </c>
    </row>
    <row r="153" spans="1:16" s="61" customFormat="1" x14ac:dyDescent="0.25">
      <c r="A153" s="55" t="s">
        <v>3501</v>
      </c>
      <c r="B153" s="56">
        <v>46121</v>
      </c>
      <c r="C153" s="56">
        <v>46127</v>
      </c>
      <c r="D153" s="55">
        <v>3271</v>
      </c>
      <c r="E153" s="55">
        <v>336</v>
      </c>
      <c r="F153" s="57">
        <v>4</v>
      </c>
      <c r="G153" s="55">
        <v>6</v>
      </c>
      <c r="H153" s="55">
        <v>81684</v>
      </c>
      <c r="I153" s="55" t="s">
        <v>543</v>
      </c>
      <c r="J153" s="55">
        <v>45326834</v>
      </c>
      <c r="K153" s="55" t="s">
        <v>1522</v>
      </c>
      <c r="L153" s="55" t="s">
        <v>1526</v>
      </c>
      <c r="M153" s="60">
        <v>79900</v>
      </c>
      <c r="N153" s="62">
        <v>0.75</v>
      </c>
      <c r="O153" s="60">
        <f t="shared" si="3"/>
        <v>19975</v>
      </c>
      <c r="P153" s="55" t="s">
        <v>3499</v>
      </c>
    </row>
    <row r="154" spans="1:16" s="61" customFormat="1" x14ac:dyDescent="0.25">
      <c r="A154" s="55" t="s">
        <v>3501</v>
      </c>
      <c r="B154" s="56">
        <v>46121</v>
      </c>
      <c r="C154" s="56">
        <v>46127</v>
      </c>
      <c r="D154" s="55">
        <v>3271</v>
      </c>
      <c r="E154" s="55">
        <v>336</v>
      </c>
      <c r="F154" s="55">
        <v>4</v>
      </c>
      <c r="G154" s="55">
        <v>6</v>
      </c>
      <c r="H154" s="55">
        <v>81684</v>
      </c>
      <c r="I154" s="55" t="s">
        <v>543</v>
      </c>
      <c r="J154" s="55">
        <v>45326843</v>
      </c>
      <c r="K154" s="55" t="s">
        <v>1527</v>
      </c>
      <c r="L154" s="55" t="s">
        <v>1528</v>
      </c>
      <c r="M154" s="60">
        <v>79900</v>
      </c>
      <c r="N154" s="62">
        <v>0.75</v>
      </c>
      <c r="O154" s="60">
        <f t="shared" si="3"/>
        <v>19975</v>
      </c>
      <c r="P154" s="55" t="s">
        <v>3499</v>
      </c>
    </row>
    <row r="155" spans="1:16" s="61" customFormat="1" x14ac:dyDescent="0.25">
      <c r="A155" s="55" t="s">
        <v>3501</v>
      </c>
      <c r="B155" s="56">
        <v>46121</v>
      </c>
      <c r="C155" s="56">
        <v>46127</v>
      </c>
      <c r="D155" s="55">
        <v>3271</v>
      </c>
      <c r="E155" s="55">
        <v>336</v>
      </c>
      <c r="F155" s="55">
        <v>4</v>
      </c>
      <c r="G155" s="55">
        <v>6</v>
      </c>
      <c r="H155" s="55">
        <v>81684</v>
      </c>
      <c r="I155" s="55" t="s">
        <v>543</v>
      </c>
      <c r="J155" s="55">
        <v>45326852</v>
      </c>
      <c r="K155" s="55" t="s">
        <v>1527</v>
      </c>
      <c r="L155" s="55" t="s">
        <v>1529</v>
      </c>
      <c r="M155" s="60">
        <v>79900</v>
      </c>
      <c r="N155" s="62">
        <v>0.75</v>
      </c>
      <c r="O155" s="60">
        <f t="shared" si="3"/>
        <v>19975</v>
      </c>
      <c r="P155" s="55" t="s">
        <v>3499</v>
      </c>
    </row>
    <row r="156" spans="1:16" s="61" customFormat="1" x14ac:dyDescent="0.25">
      <c r="A156" s="55" t="s">
        <v>3501</v>
      </c>
      <c r="B156" s="56">
        <v>46121</v>
      </c>
      <c r="C156" s="56">
        <v>46127</v>
      </c>
      <c r="D156" s="55">
        <v>3271</v>
      </c>
      <c r="E156" s="55">
        <v>336</v>
      </c>
      <c r="F156" s="55">
        <v>4</v>
      </c>
      <c r="G156" s="55">
        <v>6</v>
      </c>
      <c r="H156" s="55">
        <v>81684</v>
      </c>
      <c r="I156" s="55" t="s">
        <v>543</v>
      </c>
      <c r="J156" s="55">
        <v>45326861</v>
      </c>
      <c r="K156" s="55" t="s">
        <v>1527</v>
      </c>
      <c r="L156" s="55" t="s">
        <v>1530</v>
      </c>
      <c r="M156" s="60">
        <v>79900</v>
      </c>
      <c r="N156" s="62">
        <v>0.75</v>
      </c>
      <c r="O156" s="60">
        <f t="shared" si="3"/>
        <v>19975</v>
      </c>
      <c r="P156" s="55" t="s">
        <v>3499</v>
      </c>
    </row>
    <row r="157" spans="1:16" s="61" customFormat="1" x14ac:dyDescent="0.25">
      <c r="A157" s="55" t="s">
        <v>3501</v>
      </c>
      <c r="B157" s="56">
        <v>46121</v>
      </c>
      <c r="C157" s="56">
        <v>46127</v>
      </c>
      <c r="D157" s="55">
        <v>3271</v>
      </c>
      <c r="E157" s="55">
        <v>336</v>
      </c>
      <c r="F157" s="55">
        <v>4</v>
      </c>
      <c r="G157" s="55">
        <v>6</v>
      </c>
      <c r="H157" s="55">
        <v>81684</v>
      </c>
      <c r="I157" s="55" t="s">
        <v>543</v>
      </c>
      <c r="J157" s="55">
        <v>45326870</v>
      </c>
      <c r="K157" s="55" t="s">
        <v>1527</v>
      </c>
      <c r="L157" s="55" t="s">
        <v>1531</v>
      </c>
      <c r="M157" s="60">
        <v>79900</v>
      </c>
      <c r="N157" s="62">
        <v>0.75</v>
      </c>
      <c r="O157" s="60">
        <f t="shared" si="3"/>
        <v>19975</v>
      </c>
      <c r="P157" s="55" t="s">
        <v>3499</v>
      </c>
    </row>
    <row r="158" spans="1:16" s="61" customFormat="1" x14ac:dyDescent="0.25">
      <c r="A158" s="55" t="s">
        <v>3501</v>
      </c>
      <c r="B158" s="56">
        <v>46121</v>
      </c>
      <c r="C158" s="56">
        <v>46127</v>
      </c>
      <c r="D158" s="55">
        <v>3271</v>
      </c>
      <c r="E158" s="55">
        <v>336</v>
      </c>
      <c r="F158" s="55">
        <v>4</v>
      </c>
      <c r="G158" s="55">
        <v>6</v>
      </c>
      <c r="H158" s="55">
        <v>81684</v>
      </c>
      <c r="I158" s="55" t="s">
        <v>543</v>
      </c>
      <c r="J158" s="55">
        <v>45419207</v>
      </c>
      <c r="K158" s="55" t="s">
        <v>1532</v>
      </c>
      <c r="L158" s="55" t="s">
        <v>1533</v>
      </c>
      <c r="M158" s="60">
        <v>79900</v>
      </c>
      <c r="N158" s="62">
        <v>0.75</v>
      </c>
      <c r="O158" s="60">
        <f t="shared" si="3"/>
        <v>19975</v>
      </c>
      <c r="P158" s="55" t="s">
        <v>3499</v>
      </c>
    </row>
    <row r="159" spans="1:16" s="61" customFormat="1" x14ac:dyDescent="0.25">
      <c r="A159" s="55" t="s">
        <v>3501</v>
      </c>
      <c r="B159" s="56">
        <v>46121</v>
      </c>
      <c r="C159" s="56">
        <v>46127</v>
      </c>
      <c r="D159" s="55">
        <v>3271</v>
      </c>
      <c r="E159" s="55">
        <v>336</v>
      </c>
      <c r="F159" s="55">
        <v>4</v>
      </c>
      <c r="G159" s="55">
        <v>6</v>
      </c>
      <c r="H159" s="55">
        <v>81684</v>
      </c>
      <c r="I159" s="55" t="s">
        <v>543</v>
      </c>
      <c r="J159" s="55">
        <v>45419216</v>
      </c>
      <c r="K159" s="55" t="s">
        <v>1532</v>
      </c>
      <c r="L159" s="55" t="s">
        <v>1534</v>
      </c>
      <c r="M159" s="60">
        <v>79900</v>
      </c>
      <c r="N159" s="62">
        <v>0.75</v>
      </c>
      <c r="O159" s="60">
        <f t="shared" si="3"/>
        <v>19975</v>
      </c>
      <c r="P159" s="55" t="s">
        <v>3499</v>
      </c>
    </row>
    <row r="160" spans="1:16" s="61" customFormat="1" x14ac:dyDescent="0.25">
      <c r="A160" s="55" t="s">
        <v>3501</v>
      </c>
      <c r="B160" s="56">
        <v>46121</v>
      </c>
      <c r="C160" s="56">
        <v>46127</v>
      </c>
      <c r="D160" s="55">
        <v>3271</v>
      </c>
      <c r="E160" s="55">
        <v>336</v>
      </c>
      <c r="F160" s="55">
        <v>4</v>
      </c>
      <c r="G160" s="55">
        <v>6</v>
      </c>
      <c r="H160" s="55">
        <v>81684</v>
      </c>
      <c r="I160" s="55" t="s">
        <v>543</v>
      </c>
      <c r="J160" s="55">
        <v>45419225</v>
      </c>
      <c r="K160" s="55" t="s">
        <v>1532</v>
      </c>
      <c r="L160" s="55" t="s">
        <v>1535</v>
      </c>
      <c r="M160" s="60">
        <v>79900</v>
      </c>
      <c r="N160" s="62">
        <v>0.75</v>
      </c>
      <c r="O160" s="60">
        <f t="shared" si="3"/>
        <v>19975</v>
      </c>
      <c r="P160" s="55" t="s">
        <v>3499</v>
      </c>
    </row>
    <row r="161" spans="1:16" s="61" customFormat="1" x14ac:dyDescent="0.25">
      <c r="A161" s="55" t="s">
        <v>3501</v>
      </c>
      <c r="B161" s="56">
        <v>46121</v>
      </c>
      <c r="C161" s="56">
        <v>46127</v>
      </c>
      <c r="D161" s="55">
        <v>3271</v>
      </c>
      <c r="E161" s="55">
        <v>336</v>
      </c>
      <c r="F161" s="55">
        <v>4</v>
      </c>
      <c r="G161" s="55">
        <v>6</v>
      </c>
      <c r="H161" s="55">
        <v>81684</v>
      </c>
      <c r="I161" s="55" t="s">
        <v>543</v>
      </c>
      <c r="J161" s="55">
        <v>45419234</v>
      </c>
      <c r="K161" s="55" t="s">
        <v>1532</v>
      </c>
      <c r="L161" s="55" t="s">
        <v>1536</v>
      </c>
      <c r="M161" s="60">
        <v>79900</v>
      </c>
      <c r="N161" s="62">
        <v>0.75</v>
      </c>
      <c r="O161" s="60">
        <f t="shared" si="3"/>
        <v>19975</v>
      </c>
      <c r="P161" s="55" t="s">
        <v>3499</v>
      </c>
    </row>
    <row r="162" spans="1:16" s="61" customFormat="1" x14ac:dyDescent="0.25">
      <c r="A162" s="55" t="s">
        <v>3501</v>
      </c>
      <c r="B162" s="56">
        <v>46121</v>
      </c>
      <c r="C162" s="56">
        <v>46127</v>
      </c>
      <c r="D162" s="55">
        <v>3271</v>
      </c>
      <c r="E162" s="55">
        <v>336</v>
      </c>
      <c r="F162" s="55">
        <v>4</v>
      </c>
      <c r="G162" s="55">
        <v>6</v>
      </c>
      <c r="H162" s="55">
        <v>81684</v>
      </c>
      <c r="I162" s="55" t="s">
        <v>543</v>
      </c>
      <c r="J162" s="55">
        <v>45419243</v>
      </c>
      <c r="K162" s="55" t="s">
        <v>1537</v>
      </c>
      <c r="L162" s="55" t="s">
        <v>1538</v>
      </c>
      <c r="M162" s="60">
        <v>79900</v>
      </c>
      <c r="N162" s="62">
        <v>0.75</v>
      </c>
      <c r="O162" s="60">
        <f t="shared" si="3"/>
        <v>19975</v>
      </c>
      <c r="P162" s="55" t="s">
        <v>3499</v>
      </c>
    </row>
    <row r="163" spans="1:16" s="61" customFormat="1" x14ac:dyDescent="0.25">
      <c r="A163" s="55" t="s">
        <v>3501</v>
      </c>
      <c r="B163" s="56">
        <v>46121</v>
      </c>
      <c r="C163" s="56">
        <v>46127</v>
      </c>
      <c r="D163" s="55">
        <v>3271</v>
      </c>
      <c r="E163" s="55">
        <v>336</v>
      </c>
      <c r="F163" s="55">
        <v>4</v>
      </c>
      <c r="G163" s="55">
        <v>6</v>
      </c>
      <c r="H163" s="55">
        <v>81684</v>
      </c>
      <c r="I163" s="55" t="s">
        <v>543</v>
      </c>
      <c r="J163" s="55">
        <v>45419252</v>
      </c>
      <c r="K163" s="55" t="s">
        <v>1537</v>
      </c>
      <c r="L163" s="55" t="s">
        <v>1539</v>
      </c>
      <c r="M163" s="60">
        <v>79900</v>
      </c>
      <c r="N163" s="62">
        <v>0.75</v>
      </c>
      <c r="O163" s="60">
        <f t="shared" si="3"/>
        <v>19975</v>
      </c>
      <c r="P163" s="55" t="s">
        <v>3499</v>
      </c>
    </row>
    <row r="164" spans="1:16" s="61" customFormat="1" x14ac:dyDescent="0.25">
      <c r="A164" s="55" t="s">
        <v>3501</v>
      </c>
      <c r="B164" s="56">
        <v>46121</v>
      </c>
      <c r="C164" s="56">
        <v>46127</v>
      </c>
      <c r="D164" s="55">
        <v>3271</v>
      </c>
      <c r="E164" s="55">
        <v>336</v>
      </c>
      <c r="F164" s="55">
        <v>4</v>
      </c>
      <c r="G164" s="55">
        <v>6</v>
      </c>
      <c r="H164" s="55">
        <v>81684</v>
      </c>
      <c r="I164" s="55" t="s">
        <v>543</v>
      </c>
      <c r="J164" s="55">
        <v>45419261</v>
      </c>
      <c r="K164" s="55" t="s">
        <v>1537</v>
      </c>
      <c r="L164" s="55" t="s">
        <v>1540</v>
      </c>
      <c r="M164" s="60">
        <v>79900</v>
      </c>
      <c r="N164" s="62">
        <v>0.75</v>
      </c>
      <c r="O164" s="60">
        <f t="shared" si="3"/>
        <v>19975</v>
      </c>
      <c r="P164" s="55" t="s">
        <v>3499</v>
      </c>
    </row>
    <row r="165" spans="1:16" s="61" customFormat="1" x14ac:dyDescent="0.25">
      <c r="A165" s="55" t="s">
        <v>3501</v>
      </c>
      <c r="B165" s="56">
        <v>46121</v>
      </c>
      <c r="C165" s="56">
        <v>46127</v>
      </c>
      <c r="D165" s="55">
        <v>3271</v>
      </c>
      <c r="E165" s="55">
        <v>336</v>
      </c>
      <c r="F165" s="55">
        <v>4</v>
      </c>
      <c r="G165" s="55">
        <v>6</v>
      </c>
      <c r="H165" s="55">
        <v>81684</v>
      </c>
      <c r="I165" s="55" t="s">
        <v>543</v>
      </c>
      <c r="J165" s="55">
        <v>45419270</v>
      </c>
      <c r="K165" s="55" t="s">
        <v>1537</v>
      </c>
      <c r="L165" s="55" t="s">
        <v>1541</v>
      </c>
      <c r="M165" s="60">
        <v>79900</v>
      </c>
      <c r="N165" s="62">
        <v>0.75</v>
      </c>
      <c r="O165" s="60">
        <f t="shared" si="3"/>
        <v>19975</v>
      </c>
      <c r="P165" s="55" t="s">
        <v>3499</v>
      </c>
    </row>
    <row r="166" spans="1:16" s="61" customFormat="1" x14ac:dyDescent="0.25">
      <c r="A166" s="55" t="s">
        <v>3501</v>
      </c>
      <c r="B166" s="56">
        <v>46121</v>
      </c>
      <c r="C166" s="56">
        <v>46127</v>
      </c>
      <c r="D166" s="55">
        <v>3271</v>
      </c>
      <c r="E166" s="55">
        <v>336</v>
      </c>
      <c r="F166" s="55">
        <v>4</v>
      </c>
      <c r="G166" s="55">
        <v>6</v>
      </c>
      <c r="H166" s="55">
        <v>81684</v>
      </c>
      <c r="I166" s="55" t="s">
        <v>543</v>
      </c>
      <c r="J166" s="55">
        <v>45419289</v>
      </c>
      <c r="K166" s="55" t="s">
        <v>1542</v>
      </c>
      <c r="L166" s="55" t="s">
        <v>1543</v>
      </c>
      <c r="M166" s="60">
        <v>79900</v>
      </c>
      <c r="N166" s="62">
        <v>0.75</v>
      </c>
      <c r="O166" s="60">
        <f t="shared" si="3"/>
        <v>19975</v>
      </c>
      <c r="P166" s="55" t="s">
        <v>3499</v>
      </c>
    </row>
    <row r="167" spans="1:16" s="61" customFormat="1" x14ac:dyDescent="0.25">
      <c r="A167" s="55" t="s">
        <v>3501</v>
      </c>
      <c r="B167" s="56">
        <v>46121</v>
      </c>
      <c r="C167" s="56">
        <v>46127</v>
      </c>
      <c r="D167" s="55">
        <v>3271</v>
      </c>
      <c r="E167" s="55">
        <v>336</v>
      </c>
      <c r="F167" s="55">
        <v>4</v>
      </c>
      <c r="G167" s="55">
        <v>6</v>
      </c>
      <c r="H167" s="55">
        <v>81684</v>
      </c>
      <c r="I167" s="55" t="s">
        <v>543</v>
      </c>
      <c r="J167" s="55">
        <v>45419298</v>
      </c>
      <c r="K167" s="55" t="s">
        <v>1542</v>
      </c>
      <c r="L167" s="55" t="s">
        <v>1544</v>
      </c>
      <c r="M167" s="60">
        <v>79900</v>
      </c>
      <c r="N167" s="62">
        <v>0.75</v>
      </c>
      <c r="O167" s="60">
        <f t="shared" si="3"/>
        <v>19975</v>
      </c>
      <c r="P167" s="55" t="s">
        <v>3499</v>
      </c>
    </row>
    <row r="168" spans="1:16" s="61" customFormat="1" x14ac:dyDescent="0.25">
      <c r="A168" s="55" t="s">
        <v>3501</v>
      </c>
      <c r="B168" s="56">
        <v>46121</v>
      </c>
      <c r="C168" s="56">
        <v>46127</v>
      </c>
      <c r="D168" s="55">
        <v>3271</v>
      </c>
      <c r="E168" s="55">
        <v>336</v>
      </c>
      <c r="F168" s="55">
        <v>4</v>
      </c>
      <c r="G168" s="55">
        <v>6</v>
      </c>
      <c r="H168" s="55">
        <v>81684</v>
      </c>
      <c r="I168" s="55" t="s">
        <v>543</v>
      </c>
      <c r="J168" s="55">
        <v>45419305</v>
      </c>
      <c r="K168" s="55" t="s">
        <v>1542</v>
      </c>
      <c r="L168" s="55" t="s">
        <v>1545</v>
      </c>
      <c r="M168" s="60">
        <v>79900</v>
      </c>
      <c r="N168" s="62">
        <v>0.75</v>
      </c>
      <c r="O168" s="60">
        <f t="shared" si="3"/>
        <v>19975</v>
      </c>
      <c r="P168" s="55" t="s">
        <v>3499</v>
      </c>
    </row>
    <row r="169" spans="1:16" s="61" customFormat="1" x14ac:dyDescent="0.25">
      <c r="A169" s="55" t="s">
        <v>3501</v>
      </c>
      <c r="B169" s="56">
        <v>46121</v>
      </c>
      <c r="C169" s="56">
        <v>46127</v>
      </c>
      <c r="D169" s="55">
        <v>3271</v>
      </c>
      <c r="E169" s="55">
        <v>336</v>
      </c>
      <c r="F169" s="55">
        <v>4</v>
      </c>
      <c r="G169" s="55">
        <v>6</v>
      </c>
      <c r="H169" s="55">
        <v>81684</v>
      </c>
      <c r="I169" s="55" t="s">
        <v>543</v>
      </c>
      <c r="J169" s="55">
        <v>45419314</v>
      </c>
      <c r="K169" s="55" t="s">
        <v>1542</v>
      </c>
      <c r="L169" s="55" t="s">
        <v>1546</v>
      </c>
      <c r="M169" s="60">
        <v>79900</v>
      </c>
      <c r="N169" s="62">
        <v>0.75</v>
      </c>
      <c r="O169" s="60">
        <f t="shared" si="3"/>
        <v>19975</v>
      </c>
      <c r="P169" s="55" t="s">
        <v>3499</v>
      </c>
    </row>
    <row r="170" spans="1:16" s="61" customFormat="1" x14ac:dyDescent="0.25">
      <c r="A170" s="55" t="s">
        <v>3501</v>
      </c>
      <c r="B170" s="56">
        <v>46121</v>
      </c>
      <c r="C170" s="56">
        <v>46127</v>
      </c>
      <c r="D170" s="55">
        <v>3271</v>
      </c>
      <c r="E170" s="55">
        <v>336</v>
      </c>
      <c r="F170" s="57">
        <v>4</v>
      </c>
      <c r="G170" s="55">
        <v>6</v>
      </c>
      <c r="H170" s="55">
        <v>81684</v>
      </c>
      <c r="I170" s="55" t="s">
        <v>543</v>
      </c>
      <c r="J170" s="55">
        <v>45419323</v>
      </c>
      <c r="K170" s="55" t="s">
        <v>1547</v>
      </c>
      <c r="L170" s="55" t="s">
        <v>1548</v>
      </c>
      <c r="M170" s="60">
        <v>79900</v>
      </c>
      <c r="N170" s="62">
        <v>0.75</v>
      </c>
      <c r="O170" s="60">
        <f t="shared" si="3"/>
        <v>19975</v>
      </c>
      <c r="P170" s="55" t="s">
        <v>3499</v>
      </c>
    </row>
    <row r="171" spans="1:16" s="61" customFormat="1" x14ac:dyDescent="0.25">
      <c r="A171" s="55" t="s">
        <v>3501</v>
      </c>
      <c r="B171" s="56">
        <v>46121</v>
      </c>
      <c r="C171" s="56">
        <v>46127</v>
      </c>
      <c r="D171" s="55">
        <v>3271</v>
      </c>
      <c r="E171" s="55">
        <v>336</v>
      </c>
      <c r="F171" s="57">
        <v>4</v>
      </c>
      <c r="G171" s="55">
        <v>6</v>
      </c>
      <c r="H171" s="55">
        <v>81684</v>
      </c>
      <c r="I171" s="55" t="s">
        <v>543</v>
      </c>
      <c r="J171" s="55">
        <v>45419332</v>
      </c>
      <c r="K171" s="55" t="s">
        <v>1547</v>
      </c>
      <c r="L171" s="55" t="s">
        <v>1549</v>
      </c>
      <c r="M171" s="60">
        <v>79900</v>
      </c>
      <c r="N171" s="62">
        <v>0.75</v>
      </c>
      <c r="O171" s="60">
        <f t="shared" si="3"/>
        <v>19975</v>
      </c>
      <c r="P171" s="55" t="s">
        <v>3499</v>
      </c>
    </row>
    <row r="172" spans="1:16" s="61" customFormat="1" x14ac:dyDescent="0.25">
      <c r="A172" s="55" t="s">
        <v>3501</v>
      </c>
      <c r="B172" s="56">
        <v>46121</v>
      </c>
      <c r="C172" s="56">
        <v>46127</v>
      </c>
      <c r="D172" s="55">
        <v>3271</v>
      </c>
      <c r="E172" s="55">
        <v>336</v>
      </c>
      <c r="F172" s="57">
        <v>4</v>
      </c>
      <c r="G172" s="55">
        <v>6</v>
      </c>
      <c r="H172" s="55">
        <v>81684</v>
      </c>
      <c r="I172" s="55" t="s">
        <v>543</v>
      </c>
      <c r="J172" s="55">
        <v>45419341</v>
      </c>
      <c r="K172" s="55" t="s">
        <v>1547</v>
      </c>
      <c r="L172" s="55" t="s">
        <v>1550</v>
      </c>
      <c r="M172" s="60">
        <v>79900</v>
      </c>
      <c r="N172" s="62">
        <v>0.75</v>
      </c>
      <c r="O172" s="60">
        <f t="shared" si="3"/>
        <v>19975</v>
      </c>
      <c r="P172" s="55" t="s">
        <v>3499</v>
      </c>
    </row>
    <row r="173" spans="1:16" s="61" customFormat="1" x14ac:dyDescent="0.25">
      <c r="A173" s="55" t="s">
        <v>3501</v>
      </c>
      <c r="B173" s="56">
        <v>46121</v>
      </c>
      <c r="C173" s="56">
        <v>46127</v>
      </c>
      <c r="D173" s="55">
        <v>3271</v>
      </c>
      <c r="E173" s="55">
        <v>336</v>
      </c>
      <c r="F173" s="57">
        <v>4</v>
      </c>
      <c r="G173" s="55">
        <v>6</v>
      </c>
      <c r="H173" s="55">
        <v>81684</v>
      </c>
      <c r="I173" s="55" t="s">
        <v>543</v>
      </c>
      <c r="J173" s="55">
        <v>45419350</v>
      </c>
      <c r="K173" s="55" t="s">
        <v>1547</v>
      </c>
      <c r="L173" s="55" t="s">
        <v>1551</v>
      </c>
      <c r="M173" s="60">
        <v>79900</v>
      </c>
      <c r="N173" s="62">
        <v>0.75</v>
      </c>
      <c r="O173" s="60">
        <f t="shared" si="3"/>
        <v>19975</v>
      </c>
      <c r="P173" s="55" t="s">
        <v>3499</v>
      </c>
    </row>
    <row r="174" spans="1:16" s="61" customFormat="1" x14ac:dyDescent="0.25">
      <c r="A174" s="55" t="s">
        <v>3501</v>
      </c>
      <c r="B174" s="56">
        <v>46121</v>
      </c>
      <c r="C174" s="56">
        <v>46127</v>
      </c>
      <c r="D174" s="55">
        <v>3271</v>
      </c>
      <c r="E174" s="55">
        <v>336</v>
      </c>
      <c r="F174" s="55">
        <v>4</v>
      </c>
      <c r="G174" s="55">
        <v>6</v>
      </c>
      <c r="H174" s="55">
        <v>81684</v>
      </c>
      <c r="I174" s="55" t="s">
        <v>543</v>
      </c>
      <c r="J174" s="55">
        <v>45419369</v>
      </c>
      <c r="K174" s="55" t="s">
        <v>1552</v>
      </c>
      <c r="L174" s="55" t="s">
        <v>1553</v>
      </c>
      <c r="M174" s="60">
        <v>79900</v>
      </c>
      <c r="N174" s="62">
        <v>0.75</v>
      </c>
      <c r="O174" s="60">
        <f t="shared" si="3"/>
        <v>19975</v>
      </c>
      <c r="P174" s="55" t="s">
        <v>3499</v>
      </c>
    </row>
    <row r="175" spans="1:16" s="61" customFormat="1" x14ac:dyDescent="0.25">
      <c r="A175" s="55" t="s">
        <v>3501</v>
      </c>
      <c r="B175" s="56">
        <v>46121</v>
      </c>
      <c r="C175" s="56">
        <v>46127</v>
      </c>
      <c r="D175" s="55">
        <v>3271</v>
      </c>
      <c r="E175" s="55">
        <v>336</v>
      </c>
      <c r="F175" s="55">
        <v>4</v>
      </c>
      <c r="G175" s="55">
        <v>6</v>
      </c>
      <c r="H175" s="55">
        <v>81684</v>
      </c>
      <c r="I175" s="55" t="s">
        <v>543</v>
      </c>
      <c r="J175" s="55">
        <v>45419378</v>
      </c>
      <c r="K175" s="55" t="s">
        <v>1552</v>
      </c>
      <c r="L175" s="55" t="s">
        <v>1554</v>
      </c>
      <c r="M175" s="60">
        <v>79900</v>
      </c>
      <c r="N175" s="62">
        <v>0.75</v>
      </c>
      <c r="O175" s="60">
        <f t="shared" si="3"/>
        <v>19975</v>
      </c>
      <c r="P175" s="55" t="s">
        <v>3499</v>
      </c>
    </row>
    <row r="176" spans="1:16" s="61" customFormat="1" x14ac:dyDescent="0.25">
      <c r="A176" s="55" t="s">
        <v>3501</v>
      </c>
      <c r="B176" s="56">
        <v>46121</v>
      </c>
      <c r="C176" s="56">
        <v>46127</v>
      </c>
      <c r="D176" s="55">
        <v>3271</v>
      </c>
      <c r="E176" s="55">
        <v>336</v>
      </c>
      <c r="F176" s="55">
        <v>4</v>
      </c>
      <c r="G176" s="55">
        <v>6</v>
      </c>
      <c r="H176" s="55">
        <v>81684</v>
      </c>
      <c r="I176" s="55" t="s">
        <v>543</v>
      </c>
      <c r="J176" s="55">
        <v>45419387</v>
      </c>
      <c r="K176" s="55" t="s">
        <v>1552</v>
      </c>
      <c r="L176" s="55" t="s">
        <v>1555</v>
      </c>
      <c r="M176" s="60">
        <v>79900</v>
      </c>
      <c r="N176" s="62">
        <v>0.75</v>
      </c>
      <c r="O176" s="60">
        <f t="shared" si="3"/>
        <v>19975</v>
      </c>
      <c r="P176" s="55" t="s">
        <v>3499</v>
      </c>
    </row>
    <row r="177" spans="1:16" s="61" customFormat="1" x14ac:dyDescent="0.25">
      <c r="A177" s="55" t="s">
        <v>3501</v>
      </c>
      <c r="B177" s="56">
        <v>46121</v>
      </c>
      <c r="C177" s="56">
        <v>46127</v>
      </c>
      <c r="D177" s="55">
        <v>3271</v>
      </c>
      <c r="E177" s="55">
        <v>336</v>
      </c>
      <c r="F177" s="55">
        <v>4</v>
      </c>
      <c r="G177" s="55">
        <v>6</v>
      </c>
      <c r="H177" s="55">
        <v>81684</v>
      </c>
      <c r="I177" s="55" t="s">
        <v>543</v>
      </c>
      <c r="J177" s="55">
        <v>45419396</v>
      </c>
      <c r="K177" s="55" t="s">
        <v>1552</v>
      </c>
      <c r="L177" s="55" t="s">
        <v>1556</v>
      </c>
      <c r="M177" s="60">
        <v>79900</v>
      </c>
      <c r="N177" s="62">
        <v>0.75</v>
      </c>
      <c r="O177" s="60">
        <f t="shared" si="3"/>
        <v>19975</v>
      </c>
      <c r="P177" s="55" t="s">
        <v>3499</v>
      </c>
    </row>
    <row r="178" spans="1:16" s="61" customFormat="1" x14ac:dyDescent="0.25">
      <c r="A178" s="55" t="s">
        <v>3501</v>
      </c>
      <c r="B178" s="56">
        <v>46121</v>
      </c>
      <c r="C178" s="56">
        <v>46127</v>
      </c>
      <c r="D178" s="55">
        <v>3271</v>
      </c>
      <c r="E178" s="55">
        <v>336</v>
      </c>
      <c r="F178" s="55">
        <v>4</v>
      </c>
      <c r="G178" s="55">
        <v>6</v>
      </c>
      <c r="H178" s="55">
        <v>81684</v>
      </c>
      <c r="I178" s="55" t="s">
        <v>543</v>
      </c>
      <c r="J178" s="55">
        <v>45419403</v>
      </c>
      <c r="K178" s="55" t="s">
        <v>1557</v>
      </c>
      <c r="L178" s="55" t="s">
        <v>1558</v>
      </c>
      <c r="M178" s="60">
        <v>79900</v>
      </c>
      <c r="N178" s="62">
        <v>0.75</v>
      </c>
      <c r="O178" s="60">
        <f t="shared" si="3"/>
        <v>19975</v>
      </c>
      <c r="P178" s="55" t="s">
        <v>3499</v>
      </c>
    </row>
    <row r="179" spans="1:16" s="61" customFormat="1" x14ac:dyDescent="0.25">
      <c r="A179" s="55" t="s">
        <v>3501</v>
      </c>
      <c r="B179" s="56">
        <v>46121</v>
      </c>
      <c r="C179" s="56">
        <v>46127</v>
      </c>
      <c r="D179" s="55">
        <v>3271</v>
      </c>
      <c r="E179" s="55">
        <v>336</v>
      </c>
      <c r="F179" s="55">
        <v>4</v>
      </c>
      <c r="G179" s="55">
        <v>6</v>
      </c>
      <c r="H179" s="55">
        <v>81684</v>
      </c>
      <c r="I179" s="55" t="s">
        <v>543</v>
      </c>
      <c r="J179" s="55">
        <v>45419412</v>
      </c>
      <c r="K179" s="55" t="s">
        <v>1557</v>
      </c>
      <c r="L179" s="55" t="s">
        <v>1559</v>
      </c>
      <c r="M179" s="60">
        <v>79900</v>
      </c>
      <c r="N179" s="62">
        <v>0.75</v>
      </c>
      <c r="O179" s="60">
        <f t="shared" si="3"/>
        <v>19975</v>
      </c>
      <c r="P179" s="55" t="s">
        <v>3499</v>
      </c>
    </row>
    <row r="180" spans="1:16" s="61" customFormat="1" x14ac:dyDescent="0.25">
      <c r="A180" s="55" t="s">
        <v>3501</v>
      </c>
      <c r="B180" s="56">
        <v>46121</v>
      </c>
      <c r="C180" s="56">
        <v>46127</v>
      </c>
      <c r="D180" s="55">
        <v>3271</v>
      </c>
      <c r="E180" s="55">
        <v>336</v>
      </c>
      <c r="F180" s="55">
        <v>4</v>
      </c>
      <c r="G180" s="55">
        <v>6</v>
      </c>
      <c r="H180" s="55">
        <v>81684</v>
      </c>
      <c r="I180" s="55" t="s">
        <v>543</v>
      </c>
      <c r="J180" s="55">
        <v>45419421</v>
      </c>
      <c r="K180" s="55" t="s">
        <v>1557</v>
      </c>
      <c r="L180" s="55" t="s">
        <v>1560</v>
      </c>
      <c r="M180" s="60">
        <v>79900</v>
      </c>
      <c r="N180" s="62">
        <v>0.75</v>
      </c>
      <c r="O180" s="60">
        <f t="shared" si="3"/>
        <v>19975</v>
      </c>
      <c r="P180" s="55" t="s">
        <v>3499</v>
      </c>
    </row>
    <row r="181" spans="1:16" s="61" customFormat="1" x14ac:dyDescent="0.25">
      <c r="A181" s="55" t="s">
        <v>3501</v>
      </c>
      <c r="B181" s="56">
        <v>46121</v>
      </c>
      <c r="C181" s="56">
        <v>46127</v>
      </c>
      <c r="D181" s="55">
        <v>3271</v>
      </c>
      <c r="E181" s="55">
        <v>336</v>
      </c>
      <c r="F181" s="55">
        <v>4</v>
      </c>
      <c r="G181" s="55">
        <v>6</v>
      </c>
      <c r="H181" s="55">
        <v>81684</v>
      </c>
      <c r="I181" s="55" t="s">
        <v>543</v>
      </c>
      <c r="J181" s="55">
        <v>45419430</v>
      </c>
      <c r="K181" s="55" t="s">
        <v>1557</v>
      </c>
      <c r="L181" s="55" t="s">
        <v>1561</v>
      </c>
      <c r="M181" s="60">
        <v>79900</v>
      </c>
      <c r="N181" s="62">
        <v>0.75</v>
      </c>
      <c r="O181" s="60">
        <f t="shared" si="3"/>
        <v>19975</v>
      </c>
      <c r="P181" s="55" t="s">
        <v>3499</v>
      </c>
    </row>
    <row r="182" spans="1:16" s="61" customFormat="1" x14ac:dyDescent="0.25">
      <c r="A182" s="55" t="s">
        <v>3501</v>
      </c>
      <c r="B182" s="56">
        <v>46121</v>
      </c>
      <c r="C182" s="56">
        <v>46127</v>
      </c>
      <c r="D182" s="55">
        <v>3271</v>
      </c>
      <c r="E182" s="55">
        <v>336</v>
      </c>
      <c r="F182" s="55">
        <v>4</v>
      </c>
      <c r="G182" s="55">
        <v>6</v>
      </c>
      <c r="H182" s="55">
        <v>81684</v>
      </c>
      <c r="I182" s="55" t="s">
        <v>543</v>
      </c>
      <c r="J182" s="55">
        <v>45419449</v>
      </c>
      <c r="K182" s="55" t="s">
        <v>1562</v>
      </c>
      <c r="L182" s="55" t="s">
        <v>1563</v>
      </c>
      <c r="M182" s="60">
        <v>79900</v>
      </c>
      <c r="N182" s="62">
        <v>0.75</v>
      </c>
      <c r="O182" s="60">
        <f t="shared" si="3"/>
        <v>19975</v>
      </c>
      <c r="P182" s="55" t="s">
        <v>3499</v>
      </c>
    </row>
    <row r="183" spans="1:16" s="61" customFormat="1" x14ac:dyDescent="0.25">
      <c r="A183" s="55" t="s">
        <v>3501</v>
      </c>
      <c r="B183" s="56">
        <v>46121</v>
      </c>
      <c r="C183" s="56">
        <v>46127</v>
      </c>
      <c r="D183" s="55">
        <v>3271</v>
      </c>
      <c r="E183" s="55">
        <v>336</v>
      </c>
      <c r="F183" s="55">
        <v>4</v>
      </c>
      <c r="G183" s="55">
        <v>6</v>
      </c>
      <c r="H183" s="55">
        <v>81684</v>
      </c>
      <c r="I183" s="55" t="s">
        <v>543</v>
      </c>
      <c r="J183" s="55">
        <v>45419458</v>
      </c>
      <c r="K183" s="55" t="s">
        <v>1562</v>
      </c>
      <c r="L183" s="55" t="s">
        <v>1564</v>
      </c>
      <c r="M183" s="60">
        <v>79900</v>
      </c>
      <c r="N183" s="62">
        <v>0.75</v>
      </c>
      <c r="O183" s="60">
        <f t="shared" si="3"/>
        <v>19975</v>
      </c>
      <c r="P183" s="55" t="s">
        <v>3499</v>
      </c>
    </row>
    <row r="184" spans="1:16" s="61" customFormat="1" x14ac:dyDescent="0.25">
      <c r="A184" s="55" t="s">
        <v>3501</v>
      </c>
      <c r="B184" s="56">
        <v>46121</v>
      </c>
      <c r="C184" s="56">
        <v>46127</v>
      </c>
      <c r="D184" s="55">
        <v>3271</v>
      </c>
      <c r="E184" s="55">
        <v>336</v>
      </c>
      <c r="F184" s="55">
        <v>4</v>
      </c>
      <c r="G184" s="55">
        <v>6</v>
      </c>
      <c r="H184" s="55">
        <v>81684</v>
      </c>
      <c r="I184" s="55" t="s">
        <v>543</v>
      </c>
      <c r="J184" s="55">
        <v>45419467</v>
      </c>
      <c r="K184" s="55" t="s">
        <v>1562</v>
      </c>
      <c r="L184" s="55" t="s">
        <v>1565</v>
      </c>
      <c r="M184" s="60">
        <v>79900</v>
      </c>
      <c r="N184" s="62">
        <v>0.75</v>
      </c>
      <c r="O184" s="60">
        <f t="shared" si="3"/>
        <v>19975</v>
      </c>
      <c r="P184" s="55" t="s">
        <v>3499</v>
      </c>
    </row>
    <row r="185" spans="1:16" s="61" customFormat="1" x14ac:dyDescent="0.25">
      <c r="A185" s="55" t="s">
        <v>3501</v>
      </c>
      <c r="B185" s="56">
        <v>46121</v>
      </c>
      <c r="C185" s="56">
        <v>46127</v>
      </c>
      <c r="D185" s="55">
        <v>3271</v>
      </c>
      <c r="E185" s="55">
        <v>336</v>
      </c>
      <c r="F185" s="55">
        <v>4</v>
      </c>
      <c r="G185" s="55">
        <v>6</v>
      </c>
      <c r="H185" s="55">
        <v>81684</v>
      </c>
      <c r="I185" s="55" t="s">
        <v>543</v>
      </c>
      <c r="J185" s="55">
        <v>45419476</v>
      </c>
      <c r="K185" s="55" t="s">
        <v>1562</v>
      </c>
      <c r="L185" s="55" t="s">
        <v>1566</v>
      </c>
      <c r="M185" s="60">
        <v>79900</v>
      </c>
      <c r="N185" s="62">
        <v>0.75</v>
      </c>
      <c r="O185" s="60">
        <f t="shared" si="3"/>
        <v>19975</v>
      </c>
      <c r="P185" s="55" t="s">
        <v>3499</v>
      </c>
    </row>
    <row r="186" spans="1:16" s="61" customFormat="1" x14ac:dyDescent="0.25">
      <c r="A186" s="55" t="s">
        <v>3501</v>
      </c>
      <c r="B186" s="56">
        <v>46121</v>
      </c>
      <c r="C186" s="56">
        <v>46127</v>
      </c>
      <c r="D186" s="55">
        <v>3271</v>
      </c>
      <c r="E186" s="55">
        <v>336</v>
      </c>
      <c r="F186" s="55">
        <v>4</v>
      </c>
      <c r="G186" s="55">
        <v>6</v>
      </c>
      <c r="H186" s="55">
        <v>81684</v>
      </c>
      <c r="I186" s="55" t="s">
        <v>543</v>
      </c>
      <c r="J186" s="55">
        <v>45419485</v>
      </c>
      <c r="K186" s="55" t="s">
        <v>1567</v>
      </c>
      <c r="L186" s="55" t="s">
        <v>1568</v>
      </c>
      <c r="M186" s="60">
        <v>79900</v>
      </c>
      <c r="N186" s="62">
        <v>0.75</v>
      </c>
      <c r="O186" s="60">
        <f t="shared" si="3"/>
        <v>19975</v>
      </c>
      <c r="P186" s="55" t="s">
        <v>3499</v>
      </c>
    </row>
    <row r="187" spans="1:16" s="61" customFormat="1" x14ac:dyDescent="0.25">
      <c r="A187" s="55" t="s">
        <v>3501</v>
      </c>
      <c r="B187" s="56">
        <v>46121</v>
      </c>
      <c r="C187" s="56">
        <v>46127</v>
      </c>
      <c r="D187" s="55">
        <v>3271</v>
      </c>
      <c r="E187" s="55">
        <v>336</v>
      </c>
      <c r="F187" s="55">
        <v>4</v>
      </c>
      <c r="G187" s="55">
        <v>6</v>
      </c>
      <c r="H187" s="55">
        <v>81684</v>
      </c>
      <c r="I187" s="55" t="s">
        <v>543</v>
      </c>
      <c r="J187" s="55">
        <v>45419494</v>
      </c>
      <c r="K187" s="55" t="s">
        <v>1567</v>
      </c>
      <c r="L187" s="55" t="s">
        <v>1569</v>
      </c>
      <c r="M187" s="60">
        <v>79900</v>
      </c>
      <c r="N187" s="62">
        <v>0.75</v>
      </c>
      <c r="O187" s="60">
        <f t="shared" si="3"/>
        <v>19975</v>
      </c>
      <c r="P187" s="55" t="s">
        <v>3499</v>
      </c>
    </row>
    <row r="188" spans="1:16" s="61" customFormat="1" x14ac:dyDescent="0.25">
      <c r="A188" s="55" t="s">
        <v>3501</v>
      </c>
      <c r="B188" s="56">
        <v>46121</v>
      </c>
      <c r="C188" s="56">
        <v>46127</v>
      </c>
      <c r="D188" s="55">
        <v>3271</v>
      </c>
      <c r="E188" s="55">
        <v>336</v>
      </c>
      <c r="F188" s="55">
        <v>4</v>
      </c>
      <c r="G188" s="55">
        <v>6</v>
      </c>
      <c r="H188" s="55">
        <v>81684</v>
      </c>
      <c r="I188" s="55" t="s">
        <v>543</v>
      </c>
      <c r="J188" s="55">
        <v>45419501</v>
      </c>
      <c r="K188" s="55" t="s">
        <v>1567</v>
      </c>
      <c r="L188" s="55" t="s">
        <v>1570</v>
      </c>
      <c r="M188" s="60">
        <v>79900</v>
      </c>
      <c r="N188" s="62">
        <v>0.75</v>
      </c>
      <c r="O188" s="60">
        <f t="shared" si="3"/>
        <v>19975</v>
      </c>
      <c r="P188" s="55" t="s">
        <v>3499</v>
      </c>
    </row>
    <row r="189" spans="1:16" s="61" customFormat="1" x14ac:dyDescent="0.25">
      <c r="A189" s="55" t="s">
        <v>3501</v>
      </c>
      <c r="B189" s="56">
        <v>46121</v>
      </c>
      <c r="C189" s="56">
        <v>46127</v>
      </c>
      <c r="D189" s="55">
        <v>3271</v>
      </c>
      <c r="E189" s="55">
        <v>336</v>
      </c>
      <c r="F189" s="55">
        <v>4</v>
      </c>
      <c r="G189" s="55">
        <v>6</v>
      </c>
      <c r="H189" s="55">
        <v>81684</v>
      </c>
      <c r="I189" s="55" t="s">
        <v>543</v>
      </c>
      <c r="J189" s="55">
        <v>45419510</v>
      </c>
      <c r="K189" s="55" t="s">
        <v>1567</v>
      </c>
      <c r="L189" s="55" t="s">
        <v>1571</v>
      </c>
      <c r="M189" s="60">
        <v>79900</v>
      </c>
      <c r="N189" s="62">
        <v>0.75</v>
      </c>
      <c r="O189" s="60">
        <f t="shared" si="3"/>
        <v>19975</v>
      </c>
      <c r="P189" s="55" t="s">
        <v>3499</v>
      </c>
    </row>
    <row r="190" spans="1:16" s="61" customFormat="1" x14ac:dyDescent="0.25">
      <c r="A190" s="55" t="s">
        <v>3501</v>
      </c>
      <c r="B190" s="56">
        <v>46121</v>
      </c>
      <c r="C190" s="56">
        <v>46127</v>
      </c>
      <c r="D190" s="55">
        <v>3271</v>
      </c>
      <c r="E190" s="55">
        <v>336</v>
      </c>
      <c r="F190" s="55">
        <v>4</v>
      </c>
      <c r="G190" s="55">
        <v>6</v>
      </c>
      <c r="H190" s="55">
        <v>81684</v>
      </c>
      <c r="I190" s="55" t="s">
        <v>543</v>
      </c>
      <c r="J190" s="55">
        <v>45419529</v>
      </c>
      <c r="K190" s="55" t="s">
        <v>1572</v>
      </c>
      <c r="L190" s="55" t="s">
        <v>1573</v>
      </c>
      <c r="M190" s="60">
        <v>79900</v>
      </c>
      <c r="N190" s="62">
        <v>0.75</v>
      </c>
      <c r="O190" s="60">
        <f t="shared" si="3"/>
        <v>19975</v>
      </c>
      <c r="P190" s="55" t="s">
        <v>3499</v>
      </c>
    </row>
    <row r="191" spans="1:16" s="61" customFormat="1" x14ac:dyDescent="0.25">
      <c r="A191" s="55" t="s">
        <v>3501</v>
      </c>
      <c r="B191" s="56">
        <v>46121</v>
      </c>
      <c r="C191" s="56">
        <v>46127</v>
      </c>
      <c r="D191" s="55">
        <v>3271</v>
      </c>
      <c r="E191" s="55">
        <v>336</v>
      </c>
      <c r="F191" s="55">
        <v>4</v>
      </c>
      <c r="G191" s="55">
        <v>6</v>
      </c>
      <c r="H191" s="55">
        <v>81684</v>
      </c>
      <c r="I191" s="55" t="s">
        <v>543</v>
      </c>
      <c r="J191" s="55">
        <v>45419538</v>
      </c>
      <c r="K191" s="55" t="s">
        <v>1572</v>
      </c>
      <c r="L191" s="55" t="s">
        <v>1574</v>
      </c>
      <c r="M191" s="60">
        <v>79900</v>
      </c>
      <c r="N191" s="62">
        <v>0.75</v>
      </c>
      <c r="O191" s="60">
        <f t="shared" si="3"/>
        <v>19975</v>
      </c>
      <c r="P191" s="55" t="s">
        <v>3499</v>
      </c>
    </row>
    <row r="192" spans="1:16" s="61" customFormat="1" x14ac:dyDescent="0.25">
      <c r="A192" s="55" t="s">
        <v>3501</v>
      </c>
      <c r="B192" s="56">
        <v>46121</v>
      </c>
      <c r="C192" s="56">
        <v>46127</v>
      </c>
      <c r="D192" s="55">
        <v>3271</v>
      </c>
      <c r="E192" s="55">
        <v>336</v>
      </c>
      <c r="F192" s="55">
        <v>4</v>
      </c>
      <c r="G192" s="55">
        <v>6</v>
      </c>
      <c r="H192" s="55">
        <v>81684</v>
      </c>
      <c r="I192" s="55" t="s">
        <v>543</v>
      </c>
      <c r="J192" s="55">
        <v>45419547</v>
      </c>
      <c r="K192" s="55" t="s">
        <v>1572</v>
      </c>
      <c r="L192" s="55" t="s">
        <v>1575</v>
      </c>
      <c r="M192" s="60">
        <v>79900</v>
      </c>
      <c r="N192" s="62">
        <v>0.75</v>
      </c>
      <c r="O192" s="60">
        <f t="shared" si="3"/>
        <v>19975</v>
      </c>
      <c r="P192" s="55" t="s">
        <v>3499</v>
      </c>
    </row>
    <row r="193" spans="1:16" s="61" customFormat="1" x14ac:dyDescent="0.25">
      <c r="A193" s="55" t="s">
        <v>3501</v>
      </c>
      <c r="B193" s="56">
        <v>46121</v>
      </c>
      <c r="C193" s="56">
        <v>46127</v>
      </c>
      <c r="D193" s="55">
        <v>3271</v>
      </c>
      <c r="E193" s="55">
        <v>336</v>
      </c>
      <c r="F193" s="55">
        <v>4</v>
      </c>
      <c r="G193" s="55">
        <v>6</v>
      </c>
      <c r="H193" s="55">
        <v>81684</v>
      </c>
      <c r="I193" s="55" t="s">
        <v>543</v>
      </c>
      <c r="J193" s="55">
        <v>45419556</v>
      </c>
      <c r="K193" s="55" t="s">
        <v>1572</v>
      </c>
      <c r="L193" s="55" t="s">
        <v>1576</v>
      </c>
      <c r="M193" s="60">
        <v>79900</v>
      </c>
      <c r="N193" s="62">
        <v>0.75</v>
      </c>
      <c r="O193" s="60">
        <f t="shared" si="3"/>
        <v>19975</v>
      </c>
      <c r="P193" s="55" t="s">
        <v>3499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DC52-CC63-46D1-9B83-AF0BC5482734}">
  <sheetPr>
    <tabColor rgb="FF00B050"/>
  </sheetPr>
  <dimension ref="A1:P345"/>
  <sheetViews>
    <sheetView workbookViewId="0">
      <selection activeCell="A19" sqref="A19"/>
    </sheetView>
  </sheetViews>
  <sheetFormatPr defaultRowHeight="15" x14ac:dyDescent="0.25"/>
  <cols>
    <col min="1" max="1" width="41.42578125" bestFit="1" customWidth="1"/>
    <col min="2" max="2" width="11.140625" customWidth="1"/>
    <col min="3" max="3" width="10.42578125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10.140625" customWidth="1"/>
    <col min="10" max="10" width="8.85546875" bestFit="1" customWidth="1"/>
    <col min="11" max="11" width="11.85546875" bestFit="1" customWidth="1"/>
    <col min="12" max="12" width="100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3498</v>
      </c>
      <c r="B2" s="7">
        <v>46121</v>
      </c>
      <c r="C2" s="7">
        <v>46127</v>
      </c>
      <c r="D2" s="6">
        <v>3271</v>
      </c>
      <c r="E2" s="6">
        <v>336</v>
      </c>
      <c r="F2" s="21">
        <v>4</v>
      </c>
      <c r="G2" s="15">
        <v>4</v>
      </c>
      <c r="H2" s="15">
        <v>81683</v>
      </c>
      <c r="I2" s="6" t="s">
        <v>543</v>
      </c>
      <c r="J2" s="27">
        <v>18223399</v>
      </c>
      <c r="K2" s="15" t="s">
        <v>1728</v>
      </c>
      <c r="L2" s="13" t="s">
        <v>1729</v>
      </c>
      <c r="M2" s="17">
        <v>169900</v>
      </c>
      <c r="N2" s="62">
        <v>0.6</v>
      </c>
      <c r="O2" s="12">
        <f>M2-((60*M2)/100)</f>
        <v>67960</v>
      </c>
      <c r="P2" s="6" t="s">
        <v>3499</v>
      </c>
    </row>
    <row r="3" spans="1:16" x14ac:dyDescent="0.25">
      <c r="A3" s="6" t="s">
        <v>3498</v>
      </c>
      <c r="B3" s="7">
        <v>46121</v>
      </c>
      <c r="C3" s="7">
        <v>46127</v>
      </c>
      <c r="D3" s="6">
        <v>3271</v>
      </c>
      <c r="E3" s="6">
        <v>336</v>
      </c>
      <c r="F3" s="21">
        <v>4</v>
      </c>
      <c r="G3" s="15">
        <v>4</v>
      </c>
      <c r="H3" s="15">
        <v>81683</v>
      </c>
      <c r="I3" s="6" t="s">
        <v>543</v>
      </c>
      <c r="J3" s="27">
        <v>18223406</v>
      </c>
      <c r="K3" s="15" t="s">
        <v>1728</v>
      </c>
      <c r="L3" s="13" t="s">
        <v>1730</v>
      </c>
      <c r="M3" s="17">
        <v>169900</v>
      </c>
      <c r="N3" s="62">
        <v>0.6</v>
      </c>
      <c r="O3" s="12">
        <f t="shared" ref="O3:O66" si="0">M3-((60*M3)/100)</f>
        <v>67960</v>
      </c>
      <c r="P3" s="6" t="s">
        <v>3499</v>
      </c>
    </row>
    <row r="4" spans="1:16" x14ac:dyDescent="0.25">
      <c r="A4" s="6" t="s">
        <v>3498</v>
      </c>
      <c r="B4" s="7">
        <v>46121</v>
      </c>
      <c r="C4" s="7">
        <v>46127</v>
      </c>
      <c r="D4" s="6">
        <v>3271</v>
      </c>
      <c r="E4" s="6">
        <v>336</v>
      </c>
      <c r="F4" s="21">
        <v>4</v>
      </c>
      <c r="G4" s="15">
        <v>4</v>
      </c>
      <c r="H4" s="15">
        <v>81683</v>
      </c>
      <c r="I4" s="6" t="s">
        <v>543</v>
      </c>
      <c r="J4" s="27">
        <v>18223415</v>
      </c>
      <c r="K4" s="15" t="s">
        <v>1728</v>
      </c>
      <c r="L4" s="13" t="s">
        <v>1731</v>
      </c>
      <c r="M4" s="17">
        <v>169900</v>
      </c>
      <c r="N4" s="62">
        <v>0.6</v>
      </c>
      <c r="O4" s="12">
        <f t="shared" si="0"/>
        <v>67960</v>
      </c>
      <c r="P4" s="6" t="s">
        <v>3499</v>
      </c>
    </row>
    <row r="5" spans="1:16" x14ac:dyDescent="0.25">
      <c r="A5" s="6" t="s">
        <v>3498</v>
      </c>
      <c r="B5" s="7">
        <v>46121</v>
      </c>
      <c r="C5" s="7">
        <v>46127</v>
      </c>
      <c r="D5" s="6">
        <v>3271</v>
      </c>
      <c r="E5" s="6">
        <v>336</v>
      </c>
      <c r="F5" s="21">
        <v>4</v>
      </c>
      <c r="G5" s="15">
        <v>4</v>
      </c>
      <c r="H5" s="15">
        <v>81683</v>
      </c>
      <c r="I5" s="6" t="s">
        <v>543</v>
      </c>
      <c r="J5" s="27">
        <v>18223424</v>
      </c>
      <c r="K5" s="15" t="s">
        <v>1728</v>
      </c>
      <c r="L5" s="13" t="s">
        <v>1732</v>
      </c>
      <c r="M5" s="17">
        <v>169900</v>
      </c>
      <c r="N5" s="62">
        <v>0.6</v>
      </c>
      <c r="O5" s="12">
        <f t="shared" si="0"/>
        <v>67960</v>
      </c>
      <c r="P5" s="6" t="s">
        <v>3499</v>
      </c>
    </row>
    <row r="6" spans="1:16" x14ac:dyDescent="0.25">
      <c r="A6" s="6" t="s">
        <v>3498</v>
      </c>
      <c r="B6" s="7">
        <v>46121</v>
      </c>
      <c r="C6" s="7">
        <v>46127</v>
      </c>
      <c r="D6" s="6">
        <v>3271</v>
      </c>
      <c r="E6" s="6">
        <v>336</v>
      </c>
      <c r="F6" s="21">
        <v>4</v>
      </c>
      <c r="G6" s="15">
        <v>4</v>
      </c>
      <c r="H6" s="15">
        <v>81683</v>
      </c>
      <c r="I6" s="6" t="s">
        <v>543</v>
      </c>
      <c r="J6" s="27">
        <v>18223433</v>
      </c>
      <c r="K6" s="15" t="s">
        <v>1728</v>
      </c>
      <c r="L6" s="13" t="s">
        <v>1733</v>
      </c>
      <c r="M6" s="17">
        <v>169900</v>
      </c>
      <c r="N6" s="62">
        <v>0.6</v>
      </c>
      <c r="O6" s="12">
        <f t="shared" si="0"/>
        <v>67960</v>
      </c>
      <c r="P6" s="6" t="s">
        <v>3499</v>
      </c>
    </row>
    <row r="7" spans="1:16" x14ac:dyDescent="0.25">
      <c r="A7" s="6" t="s">
        <v>3498</v>
      </c>
      <c r="B7" s="7">
        <v>46121</v>
      </c>
      <c r="C7" s="7">
        <v>46127</v>
      </c>
      <c r="D7" s="6">
        <v>3271</v>
      </c>
      <c r="E7" s="6">
        <v>336</v>
      </c>
      <c r="F7" s="21">
        <v>4</v>
      </c>
      <c r="G7" s="15">
        <v>4</v>
      </c>
      <c r="H7" s="15">
        <v>81683</v>
      </c>
      <c r="I7" s="6" t="s">
        <v>543</v>
      </c>
      <c r="J7" s="27">
        <v>18223442</v>
      </c>
      <c r="K7" s="15" t="s">
        <v>1728</v>
      </c>
      <c r="L7" s="13" t="s">
        <v>1734</v>
      </c>
      <c r="M7" s="17">
        <v>169900</v>
      </c>
      <c r="N7" s="62">
        <v>0.6</v>
      </c>
      <c r="O7" s="12">
        <f t="shared" si="0"/>
        <v>67960</v>
      </c>
      <c r="P7" s="6" t="s">
        <v>3499</v>
      </c>
    </row>
    <row r="8" spans="1:16" x14ac:dyDescent="0.25">
      <c r="A8" s="6" t="s">
        <v>3498</v>
      </c>
      <c r="B8" s="7">
        <v>46121</v>
      </c>
      <c r="C8" s="7">
        <v>46127</v>
      </c>
      <c r="D8" s="6">
        <v>3271</v>
      </c>
      <c r="E8" s="6">
        <v>336</v>
      </c>
      <c r="F8" s="21">
        <v>4</v>
      </c>
      <c r="G8" s="15">
        <v>4</v>
      </c>
      <c r="H8" s="15">
        <v>81683</v>
      </c>
      <c r="I8" s="6" t="s">
        <v>543</v>
      </c>
      <c r="J8" s="27">
        <v>18223451</v>
      </c>
      <c r="K8" s="15" t="s">
        <v>1728</v>
      </c>
      <c r="L8" s="13" t="s">
        <v>1735</v>
      </c>
      <c r="M8" s="17">
        <v>169900</v>
      </c>
      <c r="N8" s="62">
        <v>0.6</v>
      </c>
      <c r="O8" s="12">
        <f t="shared" si="0"/>
        <v>67960</v>
      </c>
      <c r="P8" s="6" t="s">
        <v>3499</v>
      </c>
    </row>
    <row r="9" spans="1:16" x14ac:dyDescent="0.25">
      <c r="A9" s="6" t="s">
        <v>3498</v>
      </c>
      <c r="B9" s="7">
        <v>46121</v>
      </c>
      <c r="C9" s="7">
        <v>46127</v>
      </c>
      <c r="D9" s="6">
        <v>3271</v>
      </c>
      <c r="E9" s="6">
        <v>336</v>
      </c>
      <c r="F9" s="21">
        <v>4</v>
      </c>
      <c r="G9" s="15">
        <v>4</v>
      </c>
      <c r="H9" s="15">
        <v>81683</v>
      </c>
      <c r="I9" s="6" t="s">
        <v>543</v>
      </c>
      <c r="J9" s="27">
        <v>18223460</v>
      </c>
      <c r="K9" s="15" t="s">
        <v>1728</v>
      </c>
      <c r="L9" s="13" t="s">
        <v>1736</v>
      </c>
      <c r="M9" s="17">
        <v>169900</v>
      </c>
      <c r="N9" s="62">
        <v>0.6</v>
      </c>
      <c r="O9" s="12">
        <f t="shared" si="0"/>
        <v>67960</v>
      </c>
      <c r="P9" s="6" t="s">
        <v>3499</v>
      </c>
    </row>
    <row r="10" spans="1:16" x14ac:dyDescent="0.25">
      <c r="A10" s="6" t="s">
        <v>3498</v>
      </c>
      <c r="B10" s="7">
        <v>46121</v>
      </c>
      <c r="C10" s="7">
        <v>46127</v>
      </c>
      <c r="D10" s="6">
        <v>3271</v>
      </c>
      <c r="E10" s="6">
        <v>336</v>
      </c>
      <c r="F10" s="21">
        <v>4</v>
      </c>
      <c r="G10" s="15">
        <v>4</v>
      </c>
      <c r="H10" s="15">
        <v>81683</v>
      </c>
      <c r="I10" s="6" t="s">
        <v>543</v>
      </c>
      <c r="J10" s="27">
        <v>18223479</v>
      </c>
      <c r="K10" s="15" t="s">
        <v>1737</v>
      </c>
      <c r="L10" s="13" t="s">
        <v>1738</v>
      </c>
      <c r="M10" s="17">
        <v>169900</v>
      </c>
      <c r="N10" s="62">
        <v>0.6</v>
      </c>
      <c r="O10" s="12">
        <f t="shared" si="0"/>
        <v>67960</v>
      </c>
      <c r="P10" s="6" t="s">
        <v>3499</v>
      </c>
    </row>
    <row r="11" spans="1:16" x14ac:dyDescent="0.25">
      <c r="A11" s="6" t="s">
        <v>3498</v>
      </c>
      <c r="B11" s="7">
        <v>46121</v>
      </c>
      <c r="C11" s="7">
        <v>46127</v>
      </c>
      <c r="D11" s="6">
        <v>3271</v>
      </c>
      <c r="E11" s="6">
        <v>336</v>
      </c>
      <c r="F11" s="21">
        <v>4</v>
      </c>
      <c r="G11" s="15">
        <v>4</v>
      </c>
      <c r="H11" s="15">
        <v>81683</v>
      </c>
      <c r="I11" s="6" t="s">
        <v>543</v>
      </c>
      <c r="J11" s="27">
        <v>18223488</v>
      </c>
      <c r="K11" s="15" t="s">
        <v>1737</v>
      </c>
      <c r="L11" s="13" t="s">
        <v>1739</v>
      </c>
      <c r="M11" s="17">
        <v>169900</v>
      </c>
      <c r="N11" s="62">
        <v>0.6</v>
      </c>
      <c r="O11" s="12">
        <f t="shared" si="0"/>
        <v>67960</v>
      </c>
      <c r="P11" s="6" t="s">
        <v>3499</v>
      </c>
    </row>
    <row r="12" spans="1:16" x14ac:dyDescent="0.25">
      <c r="A12" s="6" t="s">
        <v>3498</v>
      </c>
      <c r="B12" s="7">
        <v>46121</v>
      </c>
      <c r="C12" s="7">
        <v>46127</v>
      </c>
      <c r="D12" s="6">
        <v>3271</v>
      </c>
      <c r="E12" s="6">
        <v>336</v>
      </c>
      <c r="F12" s="21">
        <v>4</v>
      </c>
      <c r="G12" s="15">
        <v>4</v>
      </c>
      <c r="H12" s="15">
        <v>81683</v>
      </c>
      <c r="I12" s="6" t="s">
        <v>543</v>
      </c>
      <c r="J12" s="27">
        <v>18223497</v>
      </c>
      <c r="K12" s="15" t="s">
        <v>1737</v>
      </c>
      <c r="L12" s="13" t="s">
        <v>1740</v>
      </c>
      <c r="M12" s="17">
        <v>169900</v>
      </c>
      <c r="N12" s="62">
        <v>0.6</v>
      </c>
      <c r="O12" s="12">
        <f t="shared" si="0"/>
        <v>67960</v>
      </c>
      <c r="P12" s="6" t="s">
        <v>3499</v>
      </c>
    </row>
    <row r="13" spans="1:16" x14ac:dyDescent="0.25">
      <c r="A13" s="6" t="s">
        <v>3498</v>
      </c>
      <c r="B13" s="7">
        <v>46121</v>
      </c>
      <c r="C13" s="7">
        <v>46127</v>
      </c>
      <c r="D13" s="6">
        <v>3271</v>
      </c>
      <c r="E13" s="6">
        <v>336</v>
      </c>
      <c r="F13" s="21">
        <v>4</v>
      </c>
      <c r="G13" s="15">
        <v>4</v>
      </c>
      <c r="H13" s="15">
        <v>81683</v>
      </c>
      <c r="I13" s="6" t="s">
        <v>543</v>
      </c>
      <c r="J13" s="27">
        <v>18223504</v>
      </c>
      <c r="K13" s="15" t="s">
        <v>1737</v>
      </c>
      <c r="L13" s="13" t="s">
        <v>1741</v>
      </c>
      <c r="M13" s="17">
        <v>169900</v>
      </c>
      <c r="N13" s="62">
        <v>0.6</v>
      </c>
      <c r="O13" s="12">
        <f t="shared" si="0"/>
        <v>67960</v>
      </c>
      <c r="P13" s="6" t="s">
        <v>3499</v>
      </c>
    </row>
    <row r="14" spans="1:16" x14ac:dyDescent="0.25">
      <c r="A14" s="6" t="s">
        <v>3498</v>
      </c>
      <c r="B14" s="7">
        <v>46121</v>
      </c>
      <c r="C14" s="7">
        <v>46127</v>
      </c>
      <c r="D14" s="6">
        <v>3271</v>
      </c>
      <c r="E14" s="6">
        <v>336</v>
      </c>
      <c r="F14" s="21">
        <v>4</v>
      </c>
      <c r="G14" s="15">
        <v>4</v>
      </c>
      <c r="H14" s="15">
        <v>81683</v>
      </c>
      <c r="I14" s="6" t="s">
        <v>543</v>
      </c>
      <c r="J14" s="27">
        <v>18223513</v>
      </c>
      <c r="K14" s="15" t="s">
        <v>1737</v>
      </c>
      <c r="L14" s="13" t="s">
        <v>1742</v>
      </c>
      <c r="M14" s="17">
        <v>169900</v>
      </c>
      <c r="N14" s="62">
        <v>0.6</v>
      </c>
      <c r="O14" s="12">
        <f t="shared" si="0"/>
        <v>67960</v>
      </c>
      <c r="P14" s="6" t="s">
        <v>3499</v>
      </c>
    </row>
    <row r="15" spans="1:16" x14ac:dyDescent="0.25">
      <c r="A15" s="6" t="s">
        <v>3498</v>
      </c>
      <c r="B15" s="7">
        <v>46121</v>
      </c>
      <c r="C15" s="7">
        <v>46127</v>
      </c>
      <c r="D15" s="6">
        <v>3271</v>
      </c>
      <c r="E15" s="6">
        <v>336</v>
      </c>
      <c r="F15" s="21">
        <v>4</v>
      </c>
      <c r="G15" s="15">
        <v>4</v>
      </c>
      <c r="H15" s="15">
        <v>81683</v>
      </c>
      <c r="I15" s="6" t="s">
        <v>543</v>
      </c>
      <c r="J15" s="27">
        <v>18223522</v>
      </c>
      <c r="K15" s="15" t="s">
        <v>1737</v>
      </c>
      <c r="L15" s="13" t="s">
        <v>1743</v>
      </c>
      <c r="M15" s="17">
        <v>169900</v>
      </c>
      <c r="N15" s="62">
        <v>0.6</v>
      </c>
      <c r="O15" s="12">
        <f t="shared" si="0"/>
        <v>67960</v>
      </c>
      <c r="P15" s="6" t="s">
        <v>3499</v>
      </c>
    </row>
    <row r="16" spans="1:16" x14ac:dyDescent="0.25">
      <c r="A16" s="6" t="s">
        <v>3498</v>
      </c>
      <c r="B16" s="7">
        <v>46121</v>
      </c>
      <c r="C16" s="7">
        <v>46127</v>
      </c>
      <c r="D16" s="6">
        <v>3271</v>
      </c>
      <c r="E16" s="6">
        <v>336</v>
      </c>
      <c r="F16" s="21">
        <v>4</v>
      </c>
      <c r="G16" s="15">
        <v>4</v>
      </c>
      <c r="H16" s="15">
        <v>81683</v>
      </c>
      <c r="I16" s="6" t="s">
        <v>543</v>
      </c>
      <c r="J16" s="27">
        <v>18223586</v>
      </c>
      <c r="K16" s="15" t="s">
        <v>1737</v>
      </c>
      <c r="L16" s="13" t="s">
        <v>1744</v>
      </c>
      <c r="M16" s="17">
        <v>169900</v>
      </c>
      <c r="N16" s="62">
        <v>0.6</v>
      </c>
      <c r="O16" s="12">
        <f t="shared" si="0"/>
        <v>67960</v>
      </c>
      <c r="P16" s="6" t="s">
        <v>3499</v>
      </c>
    </row>
    <row r="17" spans="1:16" x14ac:dyDescent="0.25">
      <c r="A17" s="6" t="s">
        <v>3498</v>
      </c>
      <c r="B17" s="7">
        <v>46121</v>
      </c>
      <c r="C17" s="7">
        <v>46127</v>
      </c>
      <c r="D17" s="6">
        <v>3271</v>
      </c>
      <c r="E17" s="6">
        <v>336</v>
      </c>
      <c r="F17" s="21">
        <v>4</v>
      </c>
      <c r="G17" s="15">
        <v>4</v>
      </c>
      <c r="H17" s="15">
        <v>81683</v>
      </c>
      <c r="I17" s="6" t="s">
        <v>543</v>
      </c>
      <c r="J17" s="27">
        <v>18223595</v>
      </c>
      <c r="K17" s="15" t="s">
        <v>1737</v>
      </c>
      <c r="L17" s="13" t="s">
        <v>1745</v>
      </c>
      <c r="M17" s="17">
        <v>169900</v>
      </c>
      <c r="N17" s="62">
        <v>0.6</v>
      </c>
      <c r="O17" s="12">
        <f t="shared" si="0"/>
        <v>67960</v>
      </c>
      <c r="P17" s="6" t="s">
        <v>3499</v>
      </c>
    </row>
    <row r="18" spans="1:16" x14ac:dyDescent="0.25">
      <c r="A18" s="6" t="s">
        <v>3498</v>
      </c>
      <c r="B18" s="7">
        <v>46121</v>
      </c>
      <c r="C18" s="7">
        <v>46127</v>
      </c>
      <c r="D18" s="6">
        <v>3271</v>
      </c>
      <c r="E18" s="6">
        <v>336</v>
      </c>
      <c r="F18" s="21">
        <v>4</v>
      </c>
      <c r="G18" s="15">
        <v>4</v>
      </c>
      <c r="H18" s="15">
        <v>81727</v>
      </c>
      <c r="I18" s="6" t="s">
        <v>543</v>
      </c>
      <c r="J18" s="27">
        <v>13898125</v>
      </c>
      <c r="K18" s="15" t="s">
        <v>1746</v>
      </c>
      <c r="L18" s="13" t="s">
        <v>1747</v>
      </c>
      <c r="M18" s="17">
        <v>169900</v>
      </c>
      <c r="N18" s="62">
        <v>0.6</v>
      </c>
      <c r="O18" s="12">
        <f t="shared" si="0"/>
        <v>67960</v>
      </c>
      <c r="P18" s="6" t="s">
        <v>3499</v>
      </c>
    </row>
    <row r="19" spans="1:16" x14ac:dyDescent="0.25">
      <c r="A19" s="6" t="s">
        <v>3498</v>
      </c>
      <c r="B19" s="7">
        <v>46121</v>
      </c>
      <c r="C19" s="7">
        <v>46127</v>
      </c>
      <c r="D19" s="6">
        <v>3271</v>
      </c>
      <c r="E19" s="6">
        <v>336</v>
      </c>
      <c r="F19" s="21">
        <v>4</v>
      </c>
      <c r="G19" s="15">
        <v>4</v>
      </c>
      <c r="H19" s="15">
        <v>81727</v>
      </c>
      <c r="I19" s="6" t="s">
        <v>543</v>
      </c>
      <c r="J19" s="27">
        <v>13898134</v>
      </c>
      <c r="K19" s="15" t="s">
        <v>1746</v>
      </c>
      <c r="L19" s="13" t="s">
        <v>1748</v>
      </c>
      <c r="M19" s="17">
        <v>169900</v>
      </c>
      <c r="N19" s="62">
        <v>0.6</v>
      </c>
      <c r="O19" s="12">
        <f t="shared" si="0"/>
        <v>67960</v>
      </c>
      <c r="P19" s="6" t="s">
        <v>3499</v>
      </c>
    </row>
    <row r="20" spans="1:16" x14ac:dyDescent="0.25">
      <c r="A20" s="6" t="s">
        <v>3498</v>
      </c>
      <c r="B20" s="7">
        <v>46121</v>
      </c>
      <c r="C20" s="7">
        <v>46127</v>
      </c>
      <c r="D20" s="6">
        <v>3271</v>
      </c>
      <c r="E20" s="6">
        <v>336</v>
      </c>
      <c r="F20" s="21">
        <v>4</v>
      </c>
      <c r="G20" s="15">
        <v>4</v>
      </c>
      <c r="H20" s="15">
        <v>81727</v>
      </c>
      <c r="I20" s="6" t="s">
        <v>543</v>
      </c>
      <c r="J20" s="27">
        <v>13898143</v>
      </c>
      <c r="K20" s="15" t="s">
        <v>1746</v>
      </c>
      <c r="L20" s="13" t="s">
        <v>1749</v>
      </c>
      <c r="M20" s="17">
        <v>169900</v>
      </c>
      <c r="N20" s="62">
        <v>0.6</v>
      </c>
      <c r="O20" s="12">
        <f t="shared" si="0"/>
        <v>67960</v>
      </c>
      <c r="P20" s="6" t="s">
        <v>3499</v>
      </c>
    </row>
    <row r="21" spans="1:16" x14ac:dyDescent="0.25">
      <c r="A21" s="6" t="s">
        <v>3498</v>
      </c>
      <c r="B21" s="7">
        <v>46121</v>
      </c>
      <c r="C21" s="7">
        <v>46127</v>
      </c>
      <c r="D21" s="6">
        <v>3271</v>
      </c>
      <c r="E21" s="6">
        <v>336</v>
      </c>
      <c r="F21" s="21">
        <v>4</v>
      </c>
      <c r="G21" s="15">
        <v>4</v>
      </c>
      <c r="H21" s="15">
        <v>81727</v>
      </c>
      <c r="I21" s="6" t="s">
        <v>543</v>
      </c>
      <c r="J21" s="27">
        <v>13898152</v>
      </c>
      <c r="K21" s="15" t="s">
        <v>1746</v>
      </c>
      <c r="L21" s="13" t="s">
        <v>1750</v>
      </c>
      <c r="M21" s="17">
        <v>169900</v>
      </c>
      <c r="N21" s="62">
        <v>0.6</v>
      </c>
      <c r="O21" s="12">
        <f t="shared" si="0"/>
        <v>67960</v>
      </c>
      <c r="P21" s="6" t="s">
        <v>3499</v>
      </c>
    </row>
    <row r="22" spans="1:16" x14ac:dyDescent="0.25">
      <c r="A22" s="6" t="s">
        <v>3498</v>
      </c>
      <c r="B22" s="7">
        <v>46121</v>
      </c>
      <c r="C22" s="7">
        <v>46127</v>
      </c>
      <c r="D22" s="6">
        <v>3271</v>
      </c>
      <c r="E22" s="6">
        <v>336</v>
      </c>
      <c r="F22" s="21">
        <v>4</v>
      </c>
      <c r="G22" s="15">
        <v>4</v>
      </c>
      <c r="H22" s="15">
        <v>81727</v>
      </c>
      <c r="I22" s="6" t="s">
        <v>543</v>
      </c>
      <c r="J22" s="27">
        <v>13898161</v>
      </c>
      <c r="K22" s="15" t="s">
        <v>1751</v>
      </c>
      <c r="L22" s="13" t="s">
        <v>1752</v>
      </c>
      <c r="M22" s="17">
        <v>169900</v>
      </c>
      <c r="N22" s="62">
        <v>0.6</v>
      </c>
      <c r="O22" s="12">
        <f t="shared" si="0"/>
        <v>67960</v>
      </c>
      <c r="P22" s="6" t="s">
        <v>3499</v>
      </c>
    </row>
    <row r="23" spans="1:16" x14ac:dyDescent="0.25">
      <c r="A23" s="6" t="s">
        <v>3498</v>
      </c>
      <c r="B23" s="7">
        <v>46121</v>
      </c>
      <c r="C23" s="7">
        <v>46127</v>
      </c>
      <c r="D23" s="6">
        <v>3271</v>
      </c>
      <c r="E23" s="6">
        <v>336</v>
      </c>
      <c r="F23" s="21">
        <v>4</v>
      </c>
      <c r="G23" s="15">
        <v>4</v>
      </c>
      <c r="H23" s="15">
        <v>81727</v>
      </c>
      <c r="I23" s="6" t="s">
        <v>543</v>
      </c>
      <c r="J23" s="27">
        <v>13898170</v>
      </c>
      <c r="K23" s="15" t="s">
        <v>1751</v>
      </c>
      <c r="L23" s="13" t="s">
        <v>1753</v>
      </c>
      <c r="M23" s="17">
        <v>169900</v>
      </c>
      <c r="N23" s="62">
        <v>0.6</v>
      </c>
      <c r="O23" s="12">
        <f t="shared" si="0"/>
        <v>67960</v>
      </c>
      <c r="P23" s="6" t="s">
        <v>3499</v>
      </c>
    </row>
    <row r="24" spans="1:16" x14ac:dyDescent="0.25">
      <c r="A24" s="6" t="s">
        <v>3498</v>
      </c>
      <c r="B24" s="7">
        <v>46121</v>
      </c>
      <c r="C24" s="7">
        <v>46127</v>
      </c>
      <c r="D24" s="6">
        <v>3271</v>
      </c>
      <c r="E24" s="6">
        <v>336</v>
      </c>
      <c r="F24" s="21">
        <v>4</v>
      </c>
      <c r="G24" s="15">
        <v>4</v>
      </c>
      <c r="H24" s="15">
        <v>81727</v>
      </c>
      <c r="I24" s="6" t="s">
        <v>543</v>
      </c>
      <c r="J24" s="27">
        <v>13898189</v>
      </c>
      <c r="K24" s="15" t="s">
        <v>1751</v>
      </c>
      <c r="L24" s="13" t="s">
        <v>1754</v>
      </c>
      <c r="M24" s="17">
        <v>169900</v>
      </c>
      <c r="N24" s="62">
        <v>0.6</v>
      </c>
      <c r="O24" s="12">
        <f t="shared" si="0"/>
        <v>67960</v>
      </c>
      <c r="P24" s="6" t="s">
        <v>3499</v>
      </c>
    </row>
    <row r="25" spans="1:16" x14ac:dyDescent="0.25">
      <c r="A25" s="6" t="s">
        <v>3498</v>
      </c>
      <c r="B25" s="7">
        <v>46121</v>
      </c>
      <c r="C25" s="7">
        <v>46127</v>
      </c>
      <c r="D25" s="6">
        <v>3271</v>
      </c>
      <c r="E25" s="6">
        <v>336</v>
      </c>
      <c r="F25" s="21">
        <v>4</v>
      </c>
      <c r="G25" s="15">
        <v>4</v>
      </c>
      <c r="H25" s="15">
        <v>81727</v>
      </c>
      <c r="I25" s="6" t="s">
        <v>543</v>
      </c>
      <c r="J25" s="27">
        <v>13898198</v>
      </c>
      <c r="K25" s="15" t="s">
        <v>1751</v>
      </c>
      <c r="L25" s="13" t="s">
        <v>1755</v>
      </c>
      <c r="M25" s="17">
        <v>169900</v>
      </c>
      <c r="N25" s="62">
        <v>0.6</v>
      </c>
      <c r="O25" s="12">
        <f t="shared" si="0"/>
        <v>67960</v>
      </c>
      <c r="P25" s="6" t="s">
        <v>3499</v>
      </c>
    </row>
    <row r="26" spans="1:16" x14ac:dyDescent="0.25">
      <c r="A26" s="6" t="s">
        <v>3498</v>
      </c>
      <c r="B26" s="7">
        <v>46121</v>
      </c>
      <c r="C26" s="7">
        <v>46127</v>
      </c>
      <c r="D26" s="6">
        <v>3271</v>
      </c>
      <c r="E26" s="6">
        <v>336</v>
      </c>
      <c r="F26" s="21">
        <v>4</v>
      </c>
      <c r="G26" s="15">
        <v>4</v>
      </c>
      <c r="H26" s="6">
        <v>81574</v>
      </c>
      <c r="I26" s="6" t="s">
        <v>543</v>
      </c>
      <c r="J26" s="63">
        <v>14927261</v>
      </c>
      <c r="K26" s="6" t="s">
        <v>1756</v>
      </c>
      <c r="L26" s="13" t="s">
        <v>1757</v>
      </c>
      <c r="M26" s="19">
        <v>169900</v>
      </c>
      <c r="N26" s="62">
        <v>0.6</v>
      </c>
      <c r="O26" s="12">
        <f t="shared" si="0"/>
        <v>67960</v>
      </c>
      <c r="P26" s="6" t="s">
        <v>3499</v>
      </c>
    </row>
    <row r="27" spans="1:16" x14ac:dyDescent="0.25">
      <c r="A27" s="6" t="s">
        <v>3498</v>
      </c>
      <c r="B27" s="7">
        <v>46121</v>
      </c>
      <c r="C27" s="7">
        <v>46127</v>
      </c>
      <c r="D27" s="6">
        <v>3271</v>
      </c>
      <c r="E27" s="6">
        <v>336</v>
      </c>
      <c r="F27" s="21">
        <v>4</v>
      </c>
      <c r="G27" s="15">
        <v>4</v>
      </c>
      <c r="H27" s="15">
        <v>81574</v>
      </c>
      <c r="I27" s="6" t="s">
        <v>543</v>
      </c>
      <c r="J27" s="27">
        <v>14927270</v>
      </c>
      <c r="K27" s="15" t="s">
        <v>1756</v>
      </c>
      <c r="L27" s="13" t="s">
        <v>1758</v>
      </c>
      <c r="M27" s="17">
        <v>169900</v>
      </c>
      <c r="N27" s="62">
        <v>0.6</v>
      </c>
      <c r="O27" s="12">
        <f t="shared" si="0"/>
        <v>67960</v>
      </c>
      <c r="P27" s="6" t="s">
        <v>3499</v>
      </c>
    </row>
    <row r="28" spans="1:16" x14ac:dyDescent="0.25">
      <c r="A28" s="6" t="s">
        <v>3498</v>
      </c>
      <c r="B28" s="7">
        <v>46121</v>
      </c>
      <c r="C28" s="7">
        <v>46127</v>
      </c>
      <c r="D28" s="6">
        <v>3271</v>
      </c>
      <c r="E28" s="6">
        <v>336</v>
      </c>
      <c r="F28" s="21">
        <v>4</v>
      </c>
      <c r="G28" s="15">
        <v>4</v>
      </c>
      <c r="H28" s="15">
        <v>81574</v>
      </c>
      <c r="I28" s="6" t="s">
        <v>543</v>
      </c>
      <c r="J28" s="27">
        <v>14927289</v>
      </c>
      <c r="K28" s="15" t="s">
        <v>1756</v>
      </c>
      <c r="L28" s="13" t="s">
        <v>1759</v>
      </c>
      <c r="M28" s="17">
        <v>169900</v>
      </c>
      <c r="N28" s="62">
        <v>0.6</v>
      </c>
      <c r="O28" s="12">
        <f t="shared" si="0"/>
        <v>67960</v>
      </c>
      <c r="P28" s="6" t="s">
        <v>3499</v>
      </c>
    </row>
    <row r="29" spans="1:16" x14ac:dyDescent="0.25">
      <c r="A29" s="6" t="s">
        <v>3498</v>
      </c>
      <c r="B29" s="7">
        <v>46121</v>
      </c>
      <c r="C29" s="7">
        <v>46127</v>
      </c>
      <c r="D29" s="6">
        <v>3271</v>
      </c>
      <c r="E29" s="6">
        <v>336</v>
      </c>
      <c r="F29" s="21">
        <v>4</v>
      </c>
      <c r="G29" s="15">
        <v>4</v>
      </c>
      <c r="H29" s="15">
        <v>81574</v>
      </c>
      <c r="I29" s="6" t="s">
        <v>543</v>
      </c>
      <c r="J29" s="27">
        <v>14927298</v>
      </c>
      <c r="K29" s="15" t="s">
        <v>1756</v>
      </c>
      <c r="L29" s="13" t="s">
        <v>1760</v>
      </c>
      <c r="M29" s="17">
        <v>169900</v>
      </c>
      <c r="N29" s="62">
        <v>0.6</v>
      </c>
      <c r="O29" s="12">
        <f t="shared" si="0"/>
        <v>67960</v>
      </c>
      <c r="P29" s="6" t="s">
        <v>3499</v>
      </c>
    </row>
    <row r="30" spans="1:16" x14ac:dyDescent="0.25">
      <c r="A30" s="6" t="s">
        <v>3498</v>
      </c>
      <c r="B30" s="7">
        <v>46121</v>
      </c>
      <c r="C30" s="7">
        <v>46127</v>
      </c>
      <c r="D30" s="6">
        <v>3271</v>
      </c>
      <c r="E30" s="6">
        <v>336</v>
      </c>
      <c r="F30" s="21">
        <v>4</v>
      </c>
      <c r="G30" s="15">
        <v>4</v>
      </c>
      <c r="H30" s="15">
        <v>81626</v>
      </c>
      <c r="I30" s="6" t="s">
        <v>543</v>
      </c>
      <c r="J30" s="27">
        <v>50317594</v>
      </c>
      <c r="K30" s="15" t="s">
        <v>1761</v>
      </c>
      <c r="L30" s="13" t="s">
        <v>1762</v>
      </c>
      <c r="M30" s="17">
        <v>169900</v>
      </c>
      <c r="N30" s="62">
        <v>0.6</v>
      </c>
      <c r="O30" s="12">
        <f t="shared" si="0"/>
        <v>67960</v>
      </c>
      <c r="P30" s="6" t="s">
        <v>3499</v>
      </c>
    </row>
    <row r="31" spans="1:16" x14ac:dyDescent="0.25">
      <c r="A31" s="6" t="s">
        <v>3498</v>
      </c>
      <c r="B31" s="7">
        <v>46121</v>
      </c>
      <c r="C31" s="7">
        <v>46127</v>
      </c>
      <c r="D31" s="6">
        <v>3271</v>
      </c>
      <c r="E31" s="6">
        <v>336</v>
      </c>
      <c r="F31" s="21">
        <v>4</v>
      </c>
      <c r="G31" s="15">
        <v>4</v>
      </c>
      <c r="H31" s="15">
        <v>81626</v>
      </c>
      <c r="I31" s="6" t="s">
        <v>543</v>
      </c>
      <c r="J31" s="27">
        <v>50317601</v>
      </c>
      <c r="K31" s="15" t="s">
        <v>1761</v>
      </c>
      <c r="L31" s="13" t="s">
        <v>1763</v>
      </c>
      <c r="M31" s="17">
        <v>169900</v>
      </c>
      <c r="N31" s="62">
        <v>0.6</v>
      </c>
      <c r="O31" s="12">
        <f t="shared" si="0"/>
        <v>67960</v>
      </c>
      <c r="P31" s="6" t="s">
        <v>3499</v>
      </c>
    </row>
    <row r="32" spans="1:16" x14ac:dyDescent="0.25">
      <c r="A32" s="6" t="s">
        <v>3498</v>
      </c>
      <c r="B32" s="7">
        <v>46121</v>
      </c>
      <c r="C32" s="7">
        <v>46127</v>
      </c>
      <c r="D32" s="6">
        <v>3271</v>
      </c>
      <c r="E32" s="6">
        <v>336</v>
      </c>
      <c r="F32" s="21">
        <v>4</v>
      </c>
      <c r="G32" s="15">
        <v>4</v>
      </c>
      <c r="H32" s="15">
        <v>81626</v>
      </c>
      <c r="I32" s="6" t="s">
        <v>543</v>
      </c>
      <c r="J32" s="27">
        <v>50317610</v>
      </c>
      <c r="K32" s="15" t="s">
        <v>1761</v>
      </c>
      <c r="L32" s="13" t="s">
        <v>1764</v>
      </c>
      <c r="M32" s="17">
        <v>169900</v>
      </c>
      <c r="N32" s="62">
        <v>0.6</v>
      </c>
      <c r="O32" s="12">
        <f t="shared" si="0"/>
        <v>67960</v>
      </c>
      <c r="P32" s="6" t="s">
        <v>3499</v>
      </c>
    </row>
    <row r="33" spans="1:16" x14ac:dyDescent="0.25">
      <c r="A33" s="6" t="s">
        <v>3498</v>
      </c>
      <c r="B33" s="7">
        <v>46121</v>
      </c>
      <c r="C33" s="7">
        <v>46127</v>
      </c>
      <c r="D33" s="6">
        <v>3271</v>
      </c>
      <c r="E33" s="6">
        <v>336</v>
      </c>
      <c r="F33" s="21">
        <v>4</v>
      </c>
      <c r="G33" s="15">
        <v>4</v>
      </c>
      <c r="H33" s="15">
        <v>81626</v>
      </c>
      <c r="I33" s="6" t="s">
        <v>543</v>
      </c>
      <c r="J33" s="27">
        <v>50317629</v>
      </c>
      <c r="K33" s="15" t="s">
        <v>1761</v>
      </c>
      <c r="L33" s="13" t="s">
        <v>1765</v>
      </c>
      <c r="M33" s="17">
        <v>169900</v>
      </c>
      <c r="N33" s="62">
        <v>0.6</v>
      </c>
      <c r="O33" s="12">
        <f t="shared" si="0"/>
        <v>67960</v>
      </c>
      <c r="P33" s="6" t="s">
        <v>3499</v>
      </c>
    </row>
    <row r="34" spans="1:16" x14ac:dyDescent="0.25">
      <c r="A34" s="6" t="s">
        <v>3498</v>
      </c>
      <c r="B34" s="7">
        <v>46121</v>
      </c>
      <c r="C34" s="7">
        <v>46127</v>
      </c>
      <c r="D34" s="6">
        <v>3271</v>
      </c>
      <c r="E34" s="6">
        <v>336</v>
      </c>
      <c r="F34" s="21">
        <v>4</v>
      </c>
      <c r="G34" s="15">
        <v>4</v>
      </c>
      <c r="H34" s="15">
        <v>81626</v>
      </c>
      <c r="I34" s="6" t="s">
        <v>543</v>
      </c>
      <c r="J34" s="27">
        <v>50317638</v>
      </c>
      <c r="K34" s="15" t="s">
        <v>1761</v>
      </c>
      <c r="L34" s="13" t="s">
        <v>1766</v>
      </c>
      <c r="M34" s="17">
        <v>169900</v>
      </c>
      <c r="N34" s="62">
        <v>0.6</v>
      </c>
      <c r="O34" s="12">
        <f t="shared" si="0"/>
        <v>67960</v>
      </c>
      <c r="P34" s="6" t="s">
        <v>3499</v>
      </c>
    </row>
    <row r="35" spans="1:16" x14ac:dyDescent="0.25">
      <c r="A35" s="6" t="s">
        <v>3498</v>
      </c>
      <c r="B35" s="7">
        <v>46121</v>
      </c>
      <c r="C35" s="7">
        <v>46127</v>
      </c>
      <c r="D35" s="6">
        <v>3271</v>
      </c>
      <c r="E35" s="6">
        <v>336</v>
      </c>
      <c r="F35" s="21">
        <v>4</v>
      </c>
      <c r="G35" s="15">
        <v>4</v>
      </c>
      <c r="H35" s="15">
        <v>81626</v>
      </c>
      <c r="I35" s="6" t="s">
        <v>543</v>
      </c>
      <c r="J35" s="27">
        <v>50317647</v>
      </c>
      <c r="K35" s="15" t="s">
        <v>1761</v>
      </c>
      <c r="L35" s="13" t="s">
        <v>1767</v>
      </c>
      <c r="M35" s="17">
        <v>169900</v>
      </c>
      <c r="N35" s="62">
        <v>0.6</v>
      </c>
      <c r="O35" s="12">
        <f t="shared" si="0"/>
        <v>67960</v>
      </c>
      <c r="P35" s="6" t="s">
        <v>3499</v>
      </c>
    </row>
    <row r="36" spans="1:16" x14ac:dyDescent="0.25">
      <c r="A36" s="6" t="s">
        <v>3498</v>
      </c>
      <c r="B36" s="7">
        <v>46121</v>
      </c>
      <c r="C36" s="7">
        <v>46127</v>
      </c>
      <c r="D36" s="6">
        <v>3271</v>
      </c>
      <c r="E36" s="6">
        <v>336</v>
      </c>
      <c r="F36" s="21">
        <v>4</v>
      </c>
      <c r="G36" s="15">
        <v>4</v>
      </c>
      <c r="H36" s="15">
        <v>81626</v>
      </c>
      <c r="I36" s="6" t="s">
        <v>543</v>
      </c>
      <c r="J36" s="27">
        <v>50317656</v>
      </c>
      <c r="K36" s="15" t="s">
        <v>1761</v>
      </c>
      <c r="L36" s="13" t="s">
        <v>1768</v>
      </c>
      <c r="M36" s="17">
        <v>169900</v>
      </c>
      <c r="N36" s="62">
        <v>0.6</v>
      </c>
      <c r="O36" s="12">
        <f t="shared" si="0"/>
        <v>67960</v>
      </c>
      <c r="P36" s="6" t="s">
        <v>3499</v>
      </c>
    </row>
    <row r="37" spans="1:16" x14ac:dyDescent="0.25">
      <c r="A37" s="6" t="s">
        <v>3498</v>
      </c>
      <c r="B37" s="7">
        <v>46121</v>
      </c>
      <c r="C37" s="7">
        <v>46127</v>
      </c>
      <c r="D37" s="6">
        <v>3271</v>
      </c>
      <c r="E37" s="6">
        <v>336</v>
      </c>
      <c r="F37" s="21">
        <v>4</v>
      </c>
      <c r="G37" s="15">
        <v>4</v>
      </c>
      <c r="H37" s="15">
        <v>81626</v>
      </c>
      <c r="I37" s="6" t="s">
        <v>543</v>
      </c>
      <c r="J37" s="27">
        <v>50317665</v>
      </c>
      <c r="K37" s="15" t="s">
        <v>1761</v>
      </c>
      <c r="L37" s="13" t="s">
        <v>1769</v>
      </c>
      <c r="M37" s="17">
        <v>169900</v>
      </c>
      <c r="N37" s="62">
        <v>0.6</v>
      </c>
      <c r="O37" s="12">
        <f t="shared" si="0"/>
        <v>67960</v>
      </c>
      <c r="P37" s="6" t="s">
        <v>3499</v>
      </c>
    </row>
    <row r="38" spans="1:16" x14ac:dyDescent="0.25">
      <c r="A38" s="6" t="s">
        <v>3498</v>
      </c>
      <c r="B38" s="7">
        <v>46121</v>
      </c>
      <c r="C38" s="7">
        <v>46127</v>
      </c>
      <c r="D38" s="6">
        <v>3271</v>
      </c>
      <c r="E38" s="6">
        <v>336</v>
      </c>
      <c r="F38" s="21">
        <v>4</v>
      </c>
      <c r="G38" s="15">
        <v>7</v>
      </c>
      <c r="H38" s="15">
        <v>81683</v>
      </c>
      <c r="I38" s="6" t="s">
        <v>543</v>
      </c>
      <c r="J38" s="27">
        <v>22671272</v>
      </c>
      <c r="K38" s="15" t="s">
        <v>1770</v>
      </c>
      <c r="L38" s="13" t="s">
        <v>1771</v>
      </c>
      <c r="M38" s="17">
        <v>139900</v>
      </c>
      <c r="N38" s="62">
        <v>0.6</v>
      </c>
      <c r="O38" s="12">
        <f t="shared" si="0"/>
        <v>55960</v>
      </c>
      <c r="P38" s="6" t="s">
        <v>3499</v>
      </c>
    </row>
    <row r="39" spans="1:16" x14ac:dyDescent="0.25">
      <c r="A39" s="6" t="s">
        <v>3498</v>
      </c>
      <c r="B39" s="7">
        <v>46121</v>
      </c>
      <c r="C39" s="7">
        <v>46127</v>
      </c>
      <c r="D39" s="6">
        <v>3271</v>
      </c>
      <c r="E39" s="6">
        <v>336</v>
      </c>
      <c r="F39" s="21">
        <v>4</v>
      </c>
      <c r="G39" s="15">
        <v>7</v>
      </c>
      <c r="H39" s="15">
        <v>81683</v>
      </c>
      <c r="I39" s="6" t="s">
        <v>543</v>
      </c>
      <c r="J39" s="27">
        <v>22671281</v>
      </c>
      <c r="K39" s="15" t="s">
        <v>1770</v>
      </c>
      <c r="L39" s="13" t="s">
        <v>1772</v>
      </c>
      <c r="M39" s="17">
        <v>139900</v>
      </c>
      <c r="N39" s="62">
        <v>0.6</v>
      </c>
      <c r="O39" s="12">
        <f t="shared" si="0"/>
        <v>55960</v>
      </c>
      <c r="P39" s="6" t="s">
        <v>3499</v>
      </c>
    </row>
    <row r="40" spans="1:16" x14ac:dyDescent="0.25">
      <c r="A40" s="6" t="s">
        <v>3498</v>
      </c>
      <c r="B40" s="7">
        <v>46121</v>
      </c>
      <c r="C40" s="7">
        <v>46127</v>
      </c>
      <c r="D40" s="6">
        <v>3271</v>
      </c>
      <c r="E40" s="6">
        <v>336</v>
      </c>
      <c r="F40" s="21">
        <v>4</v>
      </c>
      <c r="G40" s="15">
        <v>7</v>
      </c>
      <c r="H40" s="15">
        <v>81683</v>
      </c>
      <c r="I40" s="6" t="s">
        <v>543</v>
      </c>
      <c r="J40" s="27">
        <v>22671290</v>
      </c>
      <c r="K40" s="15" t="s">
        <v>1770</v>
      </c>
      <c r="L40" s="13" t="s">
        <v>1773</v>
      </c>
      <c r="M40" s="17">
        <v>139900</v>
      </c>
      <c r="N40" s="62">
        <v>0.6</v>
      </c>
      <c r="O40" s="12">
        <f t="shared" si="0"/>
        <v>55960</v>
      </c>
      <c r="P40" s="6" t="s">
        <v>3499</v>
      </c>
    </row>
    <row r="41" spans="1:16" x14ac:dyDescent="0.25">
      <c r="A41" s="6" t="s">
        <v>3498</v>
      </c>
      <c r="B41" s="7">
        <v>46121</v>
      </c>
      <c r="C41" s="7">
        <v>46127</v>
      </c>
      <c r="D41" s="6">
        <v>3271</v>
      </c>
      <c r="E41" s="6">
        <v>336</v>
      </c>
      <c r="F41" s="21">
        <v>4</v>
      </c>
      <c r="G41" s="15">
        <v>7</v>
      </c>
      <c r="H41" s="15">
        <v>81683</v>
      </c>
      <c r="I41" s="6" t="s">
        <v>543</v>
      </c>
      <c r="J41" s="27">
        <v>22671307</v>
      </c>
      <c r="K41" s="15" t="s">
        <v>1770</v>
      </c>
      <c r="L41" s="13" t="s">
        <v>1774</v>
      </c>
      <c r="M41" s="17">
        <v>139900</v>
      </c>
      <c r="N41" s="62">
        <v>0.6</v>
      </c>
      <c r="O41" s="12">
        <f t="shared" si="0"/>
        <v>55960</v>
      </c>
      <c r="P41" s="6" t="s">
        <v>3499</v>
      </c>
    </row>
    <row r="42" spans="1:16" x14ac:dyDescent="0.25">
      <c r="A42" s="6" t="s">
        <v>3498</v>
      </c>
      <c r="B42" s="7">
        <v>46121</v>
      </c>
      <c r="C42" s="7">
        <v>46127</v>
      </c>
      <c r="D42" s="6">
        <v>3271</v>
      </c>
      <c r="E42" s="6">
        <v>336</v>
      </c>
      <c r="F42" s="21">
        <v>4</v>
      </c>
      <c r="G42" s="15">
        <v>7</v>
      </c>
      <c r="H42" s="15">
        <v>81683</v>
      </c>
      <c r="I42" s="6" t="s">
        <v>543</v>
      </c>
      <c r="J42" s="27">
        <v>22671352</v>
      </c>
      <c r="K42" s="15" t="s">
        <v>1770</v>
      </c>
      <c r="L42" s="13" t="s">
        <v>1775</v>
      </c>
      <c r="M42" s="17">
        <v>139900</v>
      </c>
      <c r="N42" s="62">
        <v>0.6</v>
      </c>
      <c r="O42" s="12">
        <f t="shared" si="0"/>
        <v>55960</v>
      </c>
      <c r="P42" s="6" t="s">
        <v>3499</v>
      </c>
    </row>
    <row r="43" spans="1:16" x14ac:dyDescent="0.25">
      <c r="A43" s="6" t="s">
        <v>3498</v>
      </c>
      <c r="B43" s="7">
        <v>46121</v>
      </c>
      <c r="C43" s="7">
        <v>46127</v>
      </c>
      <c r="D43" s="6">
        <v>3271</v>
      </c>
      <c r="E43" s="6">
        <v>336</v>
      </c>
      <c r="F43" s="21">
        <v>4</v>
      </c>
      <c r="G43" s="15">
        <v>7</v>
      </c>
      <c r="H43" s="15">
        <v>81683</v>
      </c>
      <c r="I43" s="6" t="s">
        <v>543</v>
      </c>
      <c r="J43" s="27">
        <v>22671361</v>
      </c>
      <c r="K43" s="15" t="s">
        <v>1770</v>
      </c>
      <c r="L43" s="13" t="s">
        <v>1776</v>
      </c>
      <c r="M43" s="17">
        <v>139900</v>
      </c>
      <c r="N43" s="62">
        <v>0.6</v>
      </c>
      <c r="O43" s="12">
        <f t="shared" si="0"/>
        <v>55960</v>
      </c>
      <c r="P43" s="6" t="s">
        <v>3499</v>
      </c>
    </row>
    <row r="44" spans="1:16" x14ac:dyDescent="0.25">
      <c r="A44" s="6" t="s">
        <v>3498</v>
      </c>
      <c r="B44" s="7">
        <v>46121</v>
      </c>
      <c r="C44" s="7">
        <v>46127</v>
      </c>
      <c r="D44" s="6">
        <v>3271</v>
      </c>
      <c r="E44" s="6">
        <v>336</v>
      </c>
      <c r="F44" s="21">
        <v>4</v>
      </c>
      <c r="G44" s="15">
        <v>7</v>
      </c>
      <c r="H44" s="15">
        <v>81683</v>
      </c>
      <c r="I44" s="6" t="s">
        <v>543</v>
      </c>
      <c r="J44" s="27">
        <v>22671370</v>
      </c>
      <c r="K44" s="15" t="s">
        <v>1770</v>
      </c>
      <c r="L44" s="13" t="s">
        <v>1777</v>
      </c>
      <c r="M44" s="17">
        <v>139900</v>
      </c>
      <c r="N44" s="62">
        <v>0.6</v>
      </c>
      <c r="O44" s="12">
        <f t="shared" si="0"/>
        <v>55960</v>
      </c>
      <c r="P44" s="6" t="s">
        <v>3499</v>
      </c>
    </row>
    <row r="45" spans="1:16" x14ac:dyDescent="0.25">
      <c r="A45" s="6" t="s">
        <v>3498</v>
      </c>
      <c r="B45" s="7">
        <v>46121</v>
      </c>
      <c r="C45" s="7">
        <v>46127</v>
      </c>
      <c r="D45" s="6">
        <v>3271</v>
      </c>
      <c r="E45" s="6">
        <v>336</v>
      </c>
      <c r="F45" s="21">
        <v>4</v>
      </c>
      <c r="G45" s="15">
        <v>7</v>
      </c>
      <c r="H45" s="15">
        <v>81683</v>
      </c>
      <c r="I45" s="6" t="s">
        <v>543</v>
      </c>
      <c r="J45" s="27">
        <v>22671674</v>
      </c>
      <c r="K45" s="15" t="s">
        <v>1770</v>
      </c>
      <c r="L45" s="13" t="s">
        <v>1778</v>
      </c>
      <c r="M45" s="17">
        <v>139900</v>
      </c>
      <c r="N45" s="62">
        <v>0.6</v>
      </c>
      <c r="O45" s="12">
        <f t="shared" si="0"/>
        <v>55960</v>
      </c>
      <c r="P45" s="6" t="s">
        <v>3499</v>
      </c>
    </row>
    <row r="46" spans="1:16" x14ac:dyDescent="0.25">
      <c r="A46" s="6" t="s">
        <v>3498</v>
      </c>
      <c r="B46" s="7">
        <v>46121</v>
      </c>
      <c r="C46" s="7">
        <v>46127</v>
      </c>
      <c r="D46" s="6">
        <v>3271</v>
      </c>
      <c r="E46" s="6">
        <v>336</v>
      </c>
      <c r="F46" s="21">
        <v>4</v>
      </c>
      <c r="G46" s="15">
        <v>7</v>
      </c>
      <c r="H46" s="15">
        <v>81683</v>
      </c>
      <c r="I46" s="6" t="s">
        <v>543</v>
      </c>
      <c r="J46" s="27">
        <v>83478920</v>
      </c>
      <c r="K46" s="15" t="s">
        <v>1779</v>
      </c>
      <c r="L46" s="13" t="s">
        <v>1780</v>
      </c>
      <c r="M46" s="17">
        <v>139900</v>
      </c>
      <c r="N46" s="62">
        <v>0.6</v>
      </c>
      <c r="O46" s="12">
        <f t="shared" si="0"/>
        <v>55960</v>
      </c>
      <c r="P46" s="6" t="s">
        <v>3499</v>
      </c>
    </row>
    <row r="47" spans="1:16" x14ac:dyDescent="0.25">
      <c r="A47" s="6" t="s">
        <v>3498</v>
      </c>
      <c r="B47" s="7">
        <v>46121</v>
      </c>
      <c r="C47" s="7">
        <v>46127</v>
      </c>
      <c r="D47" s="6">
        <v>3271</v>
      </c>
      <c r="E47" s="6">
        <v>336</v>
      </c>
      <c r="F47" s="21">
        <v>4</v>
      </c>
      <c r="G47" s="15">
        <v>7</v>
      </c>
      <c r="H47" s="15">
        <v>81683</v>
      </c>
      <c r="I47" s="6" t="s">
        <v>543</v>
      </c>
      <c r="J47" s="27">
        <v>83478939</v>
      </c>
      <c r="K47" s="15" t="s">
        <v>1779</v>
      </c>
      <c r="L47" s="13" t="s">
        <v>1781</v>
      </c>
      <c r="M47" s="17">
        <v>139900</v>
      </c>
      <c r="N47" s="62">
        <v>0.6</v>
      </c>
      <c r="O47" s="12">
        <f t="shared" si="0"/>
        <v>55960</v>
      </c>
      <c r="P47" s="6" t="s">
        <v>3499</v>
      </c>
    </row>
    <row r="48" spans="1:16" x14ac:dyDescent="0.25">
      <c r="A48" s="6" t="s">
        <v>3498</v>
      </c>
      <c r="B48" s="7">
        <v>46121</v>
      </c>
      <c r="C48" s="7">
        <v>46127</v>
      </c>
      <c r="D48" s="6">
        <v>3271</v>
      </c>
      <c r="E48" s="6">
        <v>336</v>
      </c>
      <c r="F48" s="21">
        <v>4</v>
      </c>
      <c r="G48" s="15">
        <v>7</v>
      </c>
      <c r="H48" s="15">
        <v>81683</v>
      </c>
      <c r="I48" s="6" t="s">
        <v>543</v>
      </c>
      <c r="J48" s="27">
        <v>83478948</v>
      </c>
      <c r="K48" s="15" t="s">
        <v>1779</v>
      </c>
      <c r="L48" s="13" t="s">
        <v>1782</v>
      </c>
      <c r="M48" s="17">
        <v>139900</v>
      </c>
      <c r="N48" s="62">
        <v>0.6</v>
      </c>
      <c r="O48" s="12">
        <f t="shared" si="0"/>
        <v>55960</v>
      </c>
      <c r="P48" s="6" t="s">
        <v>3499</v>
      </c>
    </row>
    <row r="49" spans="1:16" x14ac:dyDescent="0.25">
      <c r="A49" s="6" t="s">
        <v>3498</v>
      </c>
      <c r="B49" s="7">
        <v>46121</v>
      </c>
      <c r="C49" s="7">
        <v>46127</v>
      </c>
      <c r="D49" s="6">
        <v>3271</v>
      </c>
      <c r="E49" s="6">
        <v>336</v>
      </c>
      <c r="F49" s="21">
        <v>4</v>
      </c>
      <c r="G49" s="15">
        <v>7</v>
      </c>
      <c r="H49" s="15">
        <v>81683</v>
      </c>
      <c r="I49" s="6" t="s">
        <v>543</v>
      </c>
      <c r="J49" s="27">
        <v>83478957</v>
      </c>
      <c r="K49" s="15" t="s">
        <v>1779</v>
      </c>
      <c r="L49" s="13" t="s">
        <v>1783</v>
      </c>
      <c r="M49" s="17">
        <v>139900</v>
      </c>
      <c r="N49" s="62">
        <v>0.6</v>
      </c>
      <c r="O49" s="12">
        <f t="shared" si="0"/>
        <v>55960</v>
      </c>
      <c r="P49" s="6" t="s">
        <v>3499</v>
      </c>
    </row>
    <row r="50" spans="1:16" x14ac:dyDescent="0.25">
      <c r="A50" s="6" t="s">
        <v>3498</v>
      </c>
      <c r="B50" s="7">
        <v>46121</v>
      </c>
      <c r="C50" s="7">
        <v>46127</v>
      </c>
      <c r="D50" s="6">
        <v>3271</v>
      </c>
      <c r="E50" s="6">
        <v>336</v>
      </c>
      <c r="F50" s="21">
        <v>4</v>
      </c>
      <c r="G50" s="15">
        <v>7</v>
      </c>
      <c r="H50" s="15">
        <v>81683</v>
      </c>
      <c r="I50" s="6" t="s">
        <v>543</v>
      </c>
      <c r="J50" s="27">
        <v>88390998</v>
      </c>
      <c r="K50" s="15" t="s">
        <v>1779</v>
      </c>
      <c r="L50" s="13" t="s">
        <v>1784</v>
      </c>
      <c r="M50" s="17">
        <v>139900</v>
      </c>
      <c r="N50" s="62">
        <v>0.6</v>
      </c>
      <c r="O50" s="12">
        <f t="shared" si="0"/>
        <v>55960</v>
      </c>
      <c r="P50" s="6" t="s">
        <v>3499</v>
      </c>
    </row>
    <row r="51" spans="1:16" x14ac:dyDescent="0.25">
      <c r="A51" s="6" t="s">
        <v>3498</v>
      </c>
      <c r="B51" s="7">
        <v>46121</v>
      </c>
      <c r="C51" s="7">
        <v>46127</v>
      </c>
      <c r="D51" s="6">
        <v>3271</v>
      </c>
      <c r="E51" s="6">
        <v>336</v>
      </c>
      <c r="F51" s="21">
        <v>4</v>
      </c>
      <c r="G51" s="15">
        <v>7</v>
      </c>
      <c r="H51" s="15">
        <v>81683</v>
      </c>
      <c r="I51" s="6" t="s">
        <v>543</v>
      </c>
      <c r="J51" s="27">
        <v>88391004</v>
      </c>
      <c r="K51" s="15" t="s">
        <v>1779</v>
      </c>
      <c r="L51" s="13" t="s">
        <v>1785</v>
      </c>
      <c r="M51" s="17">
        <v>139900</v>
      </c>
      <c r="N51" s="62">
        <v>0.6</v>
      </c>
      <c r="O51" s="12">
        <f t="shared" si="0"/>
        <v>55960</v>
      </c>
      <c r="P51" s="6" t="s">
        <v>3499</v>
      </c>
    </row>
    <row r="52" spans="1:16" x14ac:dyDescent="0.25">
      <c r="A52" s="6" t="s">
        <v>3498</v>
      </c>
      <c r="B52" s="7">
        <v>46121</v>
      </c>
      <c r="C52" s="7">
        <v>46127</v>
      </c>
      <c r="D52" s="6">
        <v>3271</v>
      </c>
      <c r="E52" s="6">
        <v>336</v>
      </c>
      <c r="F52" s="21">
        <v>4</v>
      </c>
      <c r="G52" s="15">
        <v>7</v>
      </c>
      <c r="H52" s="15">
        <v>81683</v>
      </c>
      <c r="I52" s="6" t="s">
        <v>543</v>
      </c>
      <c r="J52" s="27">
        <v>88391013</v>
      </c>
      <c r="K52" s="15" t="s">
        <v>1779</v>
      </c>
      <c r="L52" s="13" t="s">
        <v>1786</v>
      </c>
      <c r="M52" s="17">
        <v>139900</v>
      </c>
      <c r="N52" s="62">
        <v>0.6</v>
      </c>
      <c r="O52" s="12">
        <f t="shared" si="0"/>
        <v>55960</v>
      </c>
      <c r="P52" s="6" t="s">
        <v>3499</v>
      </c>
    </row>
    <row r="53" spans="1:16" x14ac:dyDescent="0.25">
      <c r="A53" s="6" t="s">
        <v>3498</v>
      </c>
      <c r="B53" s="7">
        <v>46121</v>
      </c>
      <c r="C53" s="7">
        <v>46127</v>
      </c>
      <c r="D53" s="6">
        <v>3271</v>
      </c>
      <c r="E53" s="6">
        <v>336</v>
      </c>
      <c r="F53" s="21">
        <v>4</v>
      </c>
      <c r="G53" s="15">
        <v>7</v>
      </c>
      <c r="H53" s="15">
        <v>81683</v>
      </c>
      <c r="I53" s="6" t="s">
        <v>543</v>
      </c>
      <c r="J53" s="27">
        <v>88391022</v>
      </c>
      <c r="K53" s="15" t="s">
        <v>1779</v>
      </c>
      <c r="L53" s="13" t="s">
        <v>1787</v>
      </c>
      <c r="M53" s="17">
        <v>139900</v>
      </c>
      <c r="N53" s="62">
        <v>0.6</v>
      </c>
      <c r="O53" s="12">
        <f t="shared" si="0"/>
        <v>55960</v>
      </c>
      <c r="P53" s="6" t="s">
        <v>3499</v>
      </c>
    </row>
    <row r="54" spans="1:16" x14ac:dyDescent="0.25">
      <c r="A54" s="6" t="s">
        <v>3498</v>
      </c>
      <c r="B54" s="7">
        <v>46121</v>
      </c>
      <c r="C54" s="7">
        <v>46127</v>
      </c>
      <c r="D54" s="6">
        <v>3271</v>
      </c>
      <c r="E54" s="6">
        <v>336</v>
      </c>
      <c r="F54" s="21">
        <v>4</v>
      </c>
      <c r="G54" s="15">
        <v>7</v>
      </c>
      <c r="H54" s="15">
        <v>81683</v>
      </c>
      <c r="I54" s="6" t="s">
        <v>543</v>
      </c>
      <c r="J54" s="27">
        <v>24358563</v>
      </c>
      <c r="K54" s="15" t="s">
        <v>1788</v>
      </c>
      <c r="L54" s="13" t="s">
        <v>1789</v>
      </c>
      <c r="M54" s="17">
        <v>139900</v>
      </c>
      <c r="N54" s="62">
        <v>0.6</v>
      </c>
      <c r="O54" s="12">
        <f t="shared" si="0"/>
        <v>55960</v>
      </c>
      <c r="P54" s="6" t="s">
        <v>3499</v>
      </c>
    </row>
    <row r="55" spans="1:16" x14ac:dyDescent="0.25">
      <c r="A55" s="6" t="s">
        <v>3498</v>
      </c>
      <c r="B55" s="7">
        <v>46121</v>
      </c>
      <c r="C55" s="7">
        <v>46127</v>
      </c>
      <c r="D55" s="6">
        <v>3271</v>
      </c>
      <c r="E55" s="6">
        <v>336</v>
      </c>
      <c r="F55" s="21">
        <v>4</v>
      </c>
      <c r="G55" s="15">
        <v>7</v>
      </c>
      <c r="H55" s="15">
        <v>81683</v>
      </c>
      <c r="I55" s="6" t="s">
        <v>543</v>
      </c>
      <c r="J55" s="27">
        <v>24358572</v>
      </c>
      <c r="K55" s="15" t="s">
        <v>1788</v>
      </c>
      <c r="L55" s="13" t="s">
        <v>1790</v>
      </c>
      <c r="M55" s="17">
        <v>139900</v>
      </c>
      <c r="N55" s="62">
        <v>0.6</v>
      </c>
      <c r="O55" s="12">
        <f t="shared" si="0"/>
        <v>55960</v>
      </c>
      <c r="P55" s="6" t="s">
        <v>3499</v>
      </c>
    </row>
    <row r="56" spans="1:16" x14ac:dyDescent="0.25">
      <c r="A56" s="6" t="s">
        <v>3498</v>
      </c>
      <c r="B56" s="7">
        <v>46121</v>
      </c>
      <c r="C56" s="7">
        <v>46127</v>
      </c>
      <c r="D56" s="6">
        <v>3271</v>
      </c>
      <c r="E56" s="6">
        <v>336</v>
      </c>
      <c r="F56" s="21">
        <v>4</v>
      </c>
      <c r="G56" s="15">
        <v>7</v>
      </c>
      <c r="H56" s="15">
        <v>81683</v>
      </c>
      <c r="I56" s="6" t="s">
        <v>543</v>
      </c>
      <c r="J56" s="27">
        <v>24358581</v>
      </c>
      <c r="K56" s="15" t="s">
        <v>1788</v>
      </c>
      <c r="L56" s="13" t="s">
        <v>1791</v>
      </c>
      <c r="M56" s="17">
        <v>139900</v>
      </c>
      <c r="N56" s="62">
        <v>0.6</v>
      </c>
      <c r="O56" s="12">
        <f t="shared" si="0"/>
        <v>55960</v>
      </c>
      <c r="P56" s="6" t="s">
        <v>3499</v>
      </c>
    </row>
    <row r="57" spans="1:16" x14ac:dyDescent="0.25">
      <c r="A57" s="6" t="s">
        <v>3498</v>
      </c>
      <c r="B57" s="7">
        <v>46121</v>
      </c>
      <c r="C57" s="7">
        <v>46127</v>
      </c>
      <c r="D57" s="6">
        <v>3271</v>
      </c>
      <c r="E57" s="6">
        <v>336</v>
      </c>
      <c r="F57" s="21">
        <v>4</v>
      </c>
      <c r="G57" s="15">
        <v>7</v>
      </c>
      <c r="H57" s="15">
        <v>81683</v>
      </c>
      <c r="I57" s="6" t="s">
        <v>543</v>
      </c>
      <c r="J57" s="27">
        <v>24358590</v>
      </c>
      <c r="K57" s="15" t="s">
        <v>1788</v>
      </c>
      <c r="L57" s="13" t="s">
        <v>1792</v>
      </c>
      <c r="M57" s="17">
        <v>139900</v>
      </c>
      <c r="N57" s="62">
        <v>0.6</v>
      </c>
      <c r="O57" s="12">
        <f t="shared" si="0"/>
        <v>55960</v>
      </c>
      <c r="P57" s="6" t="s">
        <v>3499</v>
      </c>
    </row>
    <row r="58" spans="1:16" x14ac:dyDescent="0.25">
      <c r="A58" s="6" t="s">
        <v>3498</v>
      </c>
      <c r="B58" s="7">
        <v>46121</v>
      </c>
      <c r="C58" s="7">
        <v>46127</v>
      </c>
      <c r="D58" s="6">
        <v>3271</v>
      </c>
      <c r="E58" s="6">
        <v>336</v>
      </c>
      <c r="F58" s="21">
        <v>4</v>
      </c>
      <c r="G58" s="15">
        <v>7</v>
      </c>
      <c r="H58" s="15">
        <v>81683</v>
      </c>
      <c r="I58" s="6" t="s">
        <v>543</v>
      </c>
      <c r="J58" s="27">
        <v>24358607</v>
      </c>
      <c r="K58" s="15" t="s">
        <v>1788</v>
      </c>
      <c r="L58" s="13" t="s">
        <v>1793</v>
      </c>
      <c r="M58" s="17">
        <v>139900</v>
      </c>
      <c r="N58" s="62">
        <v>0.6</v>
      </c>
      <c r="O58" s="12">
        <f t="shared" si="0"/>
        <v>55960</v>
      </c>
      <c r="P58" s="6" t="s">
        <v>3499</v>
      </c>
    </row>
    <row r="59" spans="1:16" x14ac:dyDescent="0.25">
      <c r="A59" s="6" t="s">
        <v>3498</v>
      </c>
      <c r="B59" s="7">
        <v>46121</v>
      </c>
      <c r="C59" s="7">
        <v>46127</v>
      </c>
      <c r="D59" s="6">
        <v>3271</v>
      </c>
      <c r="E59" s="6">
        <v>336</v>
      </c>
      <c r="F59" s="21">
        <v>4</v>
      </c>
      <c r="G59" s="15">
        <v>7</v>
      </c>
      <c r="H59" s="15">
        <v>81683</v>
      </c>
      <c r="I59" s="6" t="s">
        <v>543</v>
      </c>
      <c r="J59" s="27">
        <v>24358616</v>
      </c>
      <c r="K59" s="15" t="s">
        <v>1788</v>
      </c>
      <c r="L59" s="13" t="s">
        <v>1794</v>
      </c>
      <c r="M59" s="17">
        <v>139900</v>
      </c>
      <c r="N59" s="62">
        <v>0.6</v>
      </c>
      <c r="O59" s="12">
        <f t="shared" si="0"/>
        <v>55960</v>
      </c>
      <c r="P59" s="6" t="s">
        <v>3499</v>
      </c>
    </row>
    <row r="60" spans="1:16" x14ac:dyDescent="0.25">
      <c r="A60" s="6" t="s">
        <v>3498</v>
      </c>
      <c r="B60" s="7">
        <v>46121</v>
      </c>
      <c r="C60" s="7">
        <v>46127</v>
      </c>
      <c r="D60" s="6">
        <v>3271</v>
      </c>
      <c r="E60" s="6">
        <v>336</v>
      </c>
      <c r="F60" s="21">
        <v>4</v>
      </c>
      <c r="G60" s="15">
        <v>7</v>
      </c>
      <c r="H60" s="15">
        <v>81683</v>
      </c>
      <c r="I60" s="6" t="s">
        <v>543</v>
      </c>
      <c r="J60" s="27">
        <v>24358625</v>
      </c>
      <c r="K60" s="15" t="s">
        <v>1788</v>
      </c>
      <c r="L60" s="13" t="s">
        <v>1795</v>
      </c>
      <c r="M60" s="17">
        <v>139900</v>
      </c>
      <c r="N60" s="62">
        <v>0.6</v>
      </c>
      <c r="O60" s="12">
        <f t="shared" si="0"/>
        <v>55960</v>
      </c>
      <c r="P60" s="6" t="s">
        <v>3499</v>
      </c>
    </row>
    <row r="61" spans="1:16" x14ac:dyDescent="0.25">
      <c r="A61" s="6" t="s">
        <v>3498</v>
      </c>
      <c r="B61" s="7">
        <v>46121</v>
      </c>
      <c r="C61" s="7">
        <v>46127</v>
      </c>
      <c r="D61" s="6">
        <v>3271</v>
      </c>
      <c r="E61" s="6">
        <v>336</v>
      </c>
      <c r="F61" s="21">
        <v>4</v>
      </c>
      <c r="G61" s="15">
        <v>7</v>
      </c>
      <c r="H61" s="15">
        <v>81683</v>
      </c>
      <c r="I61" s="6" t="s">
        <v>543</v>
      </c>
      <c r="J61" s="27">
        <v>24358634</v>
      </c>
      <c r="K61" s="15" t="s">
        <v>1788</v>
      </c>
      <c r="L61" s="13" t="s">
        <v>1796</v>
      </c>
      <c r="M61" s="17">
        <v>139900</v>
      </c>
      <c r="N61" s="62">
        <v>0.6</v>
      </c>
      <c r="O61" s="12">
        <f t="shared" si="0"/>
        <v>55960</v>
      </c>
      <c r="P61" s="6" t="s">
        <v>3499</v>
      </c>
    </row>
    <row r="62" spans="1:16" x14ac:dyDescent="0.25">
      <c r="A62" s="6" t="s">
        <v>3498</v>
      </c>
      <c r="B62" s="7">
        <v>46121</v>
      </c>
      <c r="C62" s="7">
        <v>46127</v>
      </c>
      <c r="D62" s="6">
        <v>3271</v>
      </c>
      <c r="E62" s="6">
        <v>336</v>
      </c>
      <c r="F62" s="21">
        <v>4</v>
      </c>
      <c r="G62" s="15">
        <v>7</v>
      </c>
      <c r="H62" s="15">
        <v>81683</v>
      </c>
      <c r="I62" s="6" t="s">
        <v>543</v>
      </c>
      <c r="J62" s="27">
        <v>24358643</v>
      </c>
      <c r="K62" s="15" t="s">
        <v>1788</v>
      </c>
      <c r="L62" s="13" t="s">
        <v>1797</v>
      </c>
      <c r="M62" s="17">
        <v>139900</v>
      </c>
      <c r="N62" s="62">
        <v>0.6</v>
      </c>
      <c r="O62" s="12">
        <f t="shared" si="0"/>
        <v>55960</v>
      </c>
      <c r="P62" s="6" t="s">
        <v>3499</v>
      </c>
    </row>
    <row r="63" spans="1:16" x14ac:dyDescent="0.25">
      <c r="A63" s="6" t="s">
        <v>3498</v>
      </c>
      <c r="B63" s="7">
        <v>46121</v>
      </c>
      <c r="C63" s="7">
        <v>46127</v>
      </c>
      <c r="D63" s="6">
        <v>3271</v>
      </c>
      <c r="E63" s="6">
        <v>336</v>
      </c>
      <c r="F63" s="21">
        <v>4</v>
      </c>
      <c r="G63" s="15">
        <v>7</v>
      </c>
      <c r="H63" s="15">
        <v>81683</v>
      </c>
      <c r="I63" s="6" t="s">
        <v>543</v>
      </c>
      <c r="J63" s="27">
        <v>24358652</v>
      </c>
      <c r="K63" s="15" t="s">
        <v>1788</v>
      </c>
      <c r="L63" s="13" t="s">
        <v>1798</v>
      </c>
      <c r="M63" s="17">
        <v>139900</v>
      </c>
      <c r="N63" s="62">
        <v>0.6</v>
      </c>
      <c r="O63" s="12">
        <f t="shared" si="0"/>
        <v>55960</v>
      </c>
      <c r="P63" s="6" t="s">
        <v>3499</v>
      </c>
    </row>
    <row r="64" spans="1:16" x14ac:dyDescent="0.25">
      <c r="A64" s="6" t="s">
        <v>3498</v>
      </c>
      <c r="B64" s="7">
        <v>46121</v>
      </c>
      <c r="C64" s="7">
        <v>46127</v>
      </c>
      <c r="D64" s="6">
        <v>3271</v>
      </c>
      <c r="E64" s="6">
        <v>336</v>
      </c>
      <c r="F64" s="21">
        <v>4</v>
      </c>
      <c r="G64" s="15">
        <v>7</v>
      </c>
      <c r="H64" s="15">
        <v>81683</v>
      </c>
      <c r="I64" s="6" t="s">
        <v>543</v>
      </c>
      <c r="J64" s="27">
        <v>24358661</v>
      </c>
      <c r="K64" s="15" t="s">
        <v>1788</v>
      </c>
      <c r="L64" s="13" t="s">
        <v>1799</v>
      </c>
      <c r="M64" s="17">
        <v>139900</v>
      </c>
      <c r="N64" s="62">
        <v>0.6</v>
      </c>
      <c r="O64" s="12">
        <f t="shared" si="0"/>
        <v>55960</v>
      </c>
      <c r="P64" s="6" t="s">
        <v>3499</v>
      </c>
    </row>
    <row r="65" spans="1:16" x14ac:dyDescent="0.25">
      <c r="A65" s="6" t="s">
        <v>3498</v>
      </c>
      <c r="B65" s="7">
        <v>46121</v>
      </c>
      <c r="C65" s="7">
        <v>46127</v>
      </c>
      <c r="D65" s="6">
        <v>3271</v>
      </c>
      <c r="E65" s="6">
        <v>336</v>
      </c>
      <c r="F65" s="21">
        <v>4</v>
      </c>
      <c r="G65" s="15">
        <v>7</v>
      </c>
      <c r="H65" s="15">
        <v>81683</v>
      </c>
      <c r="I65" s="6" t="s">
        <v>543</v>
      </c>
      <c r="J65" s="27">
        <v>24358670</v>
      </c>
      <c r="K65" s="15" t="s">
        <v>1788</v>
      </c>
      <c r="L65" s="13" t="s">
        <v>1800</v>
      </c>
      <c r="M65" s="17">
        <v>139900</v>
      </c>
      <c r="N65" s="62">
        <v>0.6</v>
      </c>
      <c r="O65" s="12">
        <f t="shared" si="0"/>
        <v>55960</v>
      </c>
      <c r="P65" s="6" t="s">
        <v>3499</v>
      </c>
    </row>
    <row r="66" spans="1:16" x14ac:dyDescent="0.25">
      <c r="A66" s="6" t="s">
        <v>3498</v>
      </c>
      <c r="B66" s="7">
        <v>46121</v>
      </c>
      <c r="C66" s="7">
        <v>46127</v>
      </c>
      <c r="D66" s="6">
        <v>3271</v>
      </c>
      <c r="E66" s="6">
        <v>336</v>
      </c>
      <c r="F66" s="21">
        <v>4</v>
      </c>
      <c r="G66" s="15">
        <v>7</v>
      </c>
      <c r="H66" s="15">
        <v>81683</v>
      </c>
      <c r="I66" s="6" t="s">
        <v>543</v>
      </c>
      <c r="J66" s="27">
        <v>24358689</v>
      </c>
      <c r="K66" s="15" t="s">
        <v>1788</v>
      </c>
      <c r="L66" s="13" t="s">
        <v>1801</v>
      </c>
      <c r="M66" s="17">
        <v>139900</v>
      </c>
      <c r="N66" s="62">
        <v>0.6</v>
      </c>
      <c r="O66" s="12">
        <f t="shared" si="0"/>
        <v>55960</v>
      </c>
      <c r="P66" s="6" t="s">
        <v>3499</v>
      </c>
    </row>
    <row r="67" spans="1:16" x14ac:dyDescent="0.25">
      <c r="A67" s="6" t="s">
        <v>3498</v>
      </c>
      <c r="B67" s="7">
        <v>46121</v>
      </c>
      <c r="C67" s="7">
        <v>46127</v>
      </c>
      <c r="D67" s="6">
        <v>3271</v>
      </c>
      <c r="E67" s="6">
        <v>336</v>
      </c>
      <c r="F67" s="21">
        <v>4</v>
      </c>
      <c r="G67" s="15">
        <v>7</v>
      </c>
      <c r="H67" s="15">
        <v>81683</v>
      </c>
      <c r="I67" s="6" t="s">
        <v>543</v>
      </c>
      <c r="J67" s="27">
        <v>24358714</v>
      </c>
      <c r="K67" s="15" t="s">
        <v>1788</v>
      </c>
      <c r="L67" s="13" t="s">
        <v>1802</v>
      </c>
      <c r="M67" s="17">
        <v>139900</v>
      </c>
      <c r="N67" s="62">
        <v>0.6</v>
      </c>
      <c r="O67" s="12">
        <f t="shared" ref="O67:O130" si="1">M67-((60*M67)/100)</f>
        <v>55960</v>
      </c>
      <c r="P67" s="6" t="s">
        <v>3499</v>
      </c>
    </row>
    <row r="68" spans="1:16" x14ac:dyDescent="0.25">
      <c r="A68" s="6" t="s">
        <v>3498</v>
      </c>
      <c r="B68" s="7">
        <v>46121</v>
      </c>
      <c r="C68" s="7">
        <v>46127</v>
      </c>
      <c r="D68" s="6">
        <v>3271</v>
      </c>
      <c r="E68" s="6">
        <v>336</v>
      </c>
      <c r="F68" s="21">
        <v>4</v>
      </c>
      <c r="G68" s="15">
        <v>7</v>
      </c>
      <c r="H68" s="15">
        <v>81683</v>
      </c>
      <c r="I68" s="6" t="s">
        <v>543</v>
      </c>
      <c r="J68" s="27">
        <v>24358723</v>
      </c>
      <c r="K68" s="15" t="s">
        <v>1788</v>
      </c>
      <c r="L68" s="13" t="s">
        <v>1803</v>
      </c>
      <c r="M68" s="17">
        <v>139900</v>
      </c>
      <c r="N68" s="62">
        <v>0.6</v>
      </c>
      <c r="O68" s="12">
        <f t="shared" si="1"/>
        <v>55960</v>
      </c>
      <c r="P68" s="6" t="s">
        <v>3499</v>
      </c>
    </row>
    <row r="69" spans="1:16" x14ac:dyDescent="0.25">
      <c r="A69" s="6" t="s">
        <v>3498</v>
      </c>
      <c r="B69" s="7">
        <v>46121</v>
      </c>
      <c r="C69" s="7">
        <v>46127</v>
      </c>
      <c r="D69" s="6">
        <v>3271</v>
      </c>
      <c r="E69" s="6">
        <v>336</v>
      </c>
      <c r="F69" s="21">
        <v>4</v>
      </c>
      <c r="G69" s="15">
        <v>7</v>
      </c>
      <c r="H69" s="15">
        <v>81683</v>
      </c>
      <c r="I69" s="6" t="s">
        <v>543</v>
      </c>
      <c r="J69" s="27">
        <v>24358732</v>
      </c>
      <c r="K69" s="15" t="s">
        <v>1788</v>
      </c>
      <c r="L69" s="13" t="s">
        <v>1804</v>
      </c>
      <c r="M69" s="17">
        <v>139900</v>
      </c>
      <c r="N69" s="62">
        <v>0.6</v>
      </c>
      <c r="O69" s="12">
        <f t="shared" si="1"/>
        <v>55960</v>
      </c>
      <c r="P69" s="6" t="s">
        <v>3499</v>
      </c>
    </row>
    <row r="70" spans="1:16" x14ac:dyDescent="0.25">
      <c r="A70" s="6" t="s">
        <v>3498</v>
      </c>
      <c r="B70" s="7">
        <v>46121</v>
      </c>
      <c r="C70" s="7">
        <v>46127</v>
      </c>
      <c r="D70" s="6">
        <v>3271</v>
      </c>
      <c r="E70" s="6">
        <v>336</v>
      </c>
      <c r="F70" s="21">
        <v>4</v>
      </c>
      <c r="G70" s="15">
        <v>7</v>
      </c>
      <c r="H70" s="15">
        <v>81683</v>
      </c>
      <c r="I70" s="6" t="s">
        <v>543</v>
      </c>
      <c r="J70" s="27">
        <v>15199663</v>
      </c>
      <c r="K70" s="15" t="s">
        <v>949</v>
      </c>
      <c r="L70" s="13" t="s">
        <v>1805</v>
      </c>
      <c r="M70" s="17">
        <v>139900</v>
      </c>
      <c r="N70" s="62">
        <v>0.6</v>
      </c>
      <c r="O70" s="12">
        <f t="shared" si="1"/>
        <v>55960</v>
      </c>
      <c r="P70" s="6" t="s">
        <v>3499</v>
      </c>
    </row>
    <row r="71" spans="1:16" x14ac:dyDescent="0.25">
      <c r="A71" s="6" t="s">
        <v>3498</v>
      </c>
      <c r="B71" s="7">
        <v>46121</v>
      </c>
      <c r="C71" s="7">
        <v>46127</v>
      </c>
      <c r="D71" s="6">
        <v>3271</v>
      </c>
      <c r="E71" s="6">
        <v>336</v>
      </c>
      <c r="F71" s="21">
        <v>4</v>
      </c>
      <c r="G71" s="15">
        <v>7</v>
      </c>
      <c r="H71" s="15">
        <v>81683</v>
      </c>
      <c r="I71" s="6" t="s">
        <v>543</v>
      </c>
      <c r="J71" s="27">
        <v>15199672</v>
      </c>
      <c r="K71" s="15" t="s">
        <v>949</v>
      </c>
      <c r="L71" s="13" t="s">
        <v>1806</v>
      </c>
      <c r="M71" s="17">
        <v>139900</v>
      </c>
      <c r="N71" s="62">
        <v>0.6</v>
      </c>
      <c r="O71" s="12">
        <f t="shared" si="1"/>
        <v>55960</v>
      </c>
      <c r="P71" s="6" t="s">
        <v>3499</v>
      </c>
    </row>
    <row r="72" spans="1:16" x14ac:dyDescent="0.25">
      <c r="A72" s="6" t="s">
        <v>3498</v>
      </c>
      <c r="B72" s="7">
        <v>46121</v>
      </c>
      <c r="C72" s="7">
        <v>46127</v>
      </c>
      <c r="D72" s="6">
        <v>3271</v>
      </c>
      <c r="E72" s="6">
        <v>336</v>
      </c>
      <c r="F72" s="21">
        <v>4</v>
      </c>
      <c r="G72" s="15">
        <v>7</v>
      </c>
      <c r="H72" s="15">
        <v>81683</v>
      </c>
      <c r="I72" s="6" t="s">
        <v>543</v>
      </c>
      <c r="J72" s="27">
        <v>15199681</v>
      </c>
      <c r="K72" s="15" t="s">
        <v>949</v>
      </c>
      <c r="L72" s="13" t="s">
        <v>1807</v>
      </c>
      <c r="M72" s="17">
        <v>139900</v>
      </c>
      <c r="N72" s="62">
        <v>0.6</v>
      </c>
      <c r="O72" s="12">
        <f t="shared" si="1"/>
        <v>55960</v>
      </c>
      <c r="P72" s="6" t="s">
        <v>3499</v>
      </c>
    </row>
    <row r="73" spans="1:16" x14ac:dyDescent="0.25">
      <c r="A73" s="6" t="s">
        <v>3498</v>
      </c>
      <c r="B73" s="7">
        <v>46121</v>
      </c>
      <c r="C73" s="7">
        <v>46127</v>
      </c>
      <c r="D73" s="6">
        <v>3271</v>
      </c>
      <c r="E73" s="6">
        <v>336</v>
      </c>
      <c r="F73" s="21">
        <v>4</v>
      </c>
      <c r="G73" s="15">
        <v>7</v>
      </c>
      <c r="H73" s="15">
        <v>81683</v>
      </c>
      <c r="I73" s="6" t="s">
        <v>543</v>
      </c>
      <c r="J73" s="27">
        <v>15199690</v>
      </c>
      <c r="K73" s="15" t="s">
        <v>949</v>
      </c>
      <c r="L73" s="13" t="s">
        <v>1808</v>
      </c>
      <c r="M73" s="17">
        <v>139900</v>
      </c>
      <c r="N73" s="62">
        <v>0.6</v>
      </c>
      <c r="O73" s="12">
        <f t="shared" si="1"/>
        <v>55960</v>
      </c>
      <c r="P73" s="6" t="s">
        <v>3499</v>
      </c>
    </row>
    <row r="74" spans="1:16" x14ac:dyDescent="0.25">
      <c r="A74" s="6" t="s">
        <v>3498</v>
      </c>
      <c r="B74" s="7">
        <v>46121</v>
      </c>
      <c r="C74" s="7">
        <v>46127</v>
      </c>
      <c r="D74" s="6">
        <v>3271</v>
      </c>
      <c r="E74" s="6">
        <v>336</v>
      </c>
      <c r="F74" s="21">
        <v>4</v>
      </c>
      <c r="G74" s="15">
        <v>7</v>
      </c>
      <c r="H74" s="15">
        <v>81683</v>
      </c>
      <c r="I74" s="6" t="s">
        <v>543</v>
      </c>
      <c r="J74" s="27">
        <v>15199985</v>
      </c>
      <c r="K74" s="15" t="s">
        <v>949</v>
      </c>
      <c r="L74" s="13" t="s">
        <v>1809</v>
      </c>
      <c r="M74" s="17">
        <v>139900</v>
      </c>
      <c r="N74" s="62">
        <v>0.6</v>
      </c>
      <c r="O74" s="12">
        <f t="shared" si="1"/>
        <v>55960</v>
      </c>
      <c r="P74" s="6" t="s">
        <v>3499</v>
      </c>
    </row>
    <row r="75" spans="1:16" x14ac:dyDescent="0.25">
      <c r="A75" s="6" t="s">
        <v>3498</v>
      </c>
      <c r="B75" s="7">
        <v>46121</v>
      </c>
      <c r="C75" s="7">
        <v>46127</v>
      </c>
      <c r="D75" s="6">
        <v>3271</v>
      </c>
      <c r="E75" s="6">
        <v>336</v>
      </c>
      <c r="F75" s="21">
        <v>4</v>
      </c>
      <c r="G75" s="15">
        <v>7</v>
      </c>
      <c r="H75" s="15">
        <v>81683</v>
      </c>
      <c r="I75" s="6" t="s">
        <v>543</v>
      </c>
      <c r="J75" s="27">
        <v>15199994</v>
      </c>
      <c r="K75" s="15" t="s">
        <v>949</v>
      </c>
      <c r="L75" s="13" t="s">
        <v>1810</v>
      </c>
      <c r="M75" s="17">
        <v>139900</v>
      </c>
      <c r="N75" s="62">
        <v>0.6</v>
      </c>
      <c r="O75" s="12">
        <f t="shared" si="1"/>
        <v>55960</v>
      </c>
      <c r="P75" s="6" t="s">
        <v>3499</v>
      </c>
    </row>
    <row r="76" spans="1:16" x14ac:dyDescent="0.25">
      <c r="A76" s="6" t="s">
        <v>3498</v>
      </c>
      <c r="B76" s="7">
        <v>46121</v>
      </c>
      <c r="C76" s="7">
        <v>46127</v>
      </c>
      <c r="D76" s="6">
        <v>3271</v>
      </c>
      <c r="E76" s="6">
        <v>336</v>
      </c>
      <c r="F76" s="21">
        <v>4</v>
      </c>
      <c r="G76" s="15">
        <v>7</v>
      </c>
      <c r="H76" s="15">
        <v>81683</v>
      </c>
      <c r="I76" s="6" t="s">
        <v>543</v>
      </c>
      <c r="J76" s="27">
        <v>15200007</v>
      </c>
      <c r="K76" s="15" t="s">
        <v>949</v>
      </c>
      <c r="L76" s="13" t="s">
        <v>1811</v>
      </c>
      <c r="M76" s="17">
        <v>139900</v>
      </c>
      <c r="N76" s="62">
        <v>0.6</v>
      </c>
      <c r="O76" s="12">
        <f t="shared" si="1"/>
        <v>55960</v>
      </c>
      <c r="P76" s="6" t="s">
        <v>3499</v>
      </c>
    </row>
    <row r="77" spans="1:16" x14ac:dyDescent="0.25">
      <c r="A77" s="6" t="s">
        <v>3498</v>
      </c>
      <c r="B77" s="7">
        <v>46121</v>
      </c>
      <c r="C77" s="7">
        <v>46127</v>
      </c>
      <c r="D77" s="6">
        <v>3271</v>
      </c>
      <c r="E77" s="6">
        <v>336</v>
      </c>
      <c r="F77" s="21">
        <v>4</v>
      </c>
      <c r="G77" s="15">
        <v>7</v>
      </c>
      <c r="H77" s="15">
        <v>81683</v>
      </c>
      <c r="I77" s="6" t="s">
        <v>543</v>
      </c>
      <c r="J77" s="27">
        <v>15200016</v>
      </c>
      <c r="K77" s="15" t="s">
        <v>949</v>
      </c>
      <c r="L77" s="13" t="s">
        <v>1812</v>
      </c>
      <c r="M77" s="17">
        <v>139900</v>
      </c>
      <c r="N77" s="62">
        <v>0.6</v>
      </c>
      <c r="O77" s="12">
        <f t="shared" si="1"/>
        <v>55960</v>
      </c>
      <c r="P77" s="6" t="s">
        <v>3499</v>
      </c>
    </row>
    <row r="78" spans="1:16" x14ac:dyDescent="0.25">
      <c r="A78" s="6" t="s">
        <v>3498</v>
      </c>
      <c r="B78" s="7">
        <v>46121</v>
      </c>
      <c r="C78" s="7">
        <v>46127</v>
      </c>
      <c r="D78" s="6">
        <v>3271</v>
      </c>
      <c r="E78" s="6">
        <v>336</v>
      </c>
      <c r="F78" s="21">
        <v>4</v>
      </c>
      <c r="G78" s="15">
        <v>7</v>
      </c>
      <c r="H78" s="15">
        <v>81683</v>
      </c>
      <c r="I78" s="6" t="s">
        <v>543</v>
      </c>
      <c r="J78" s="27">
        <v>14913883</v>
      </c>
      <c r="K78" s="15" t="s">
        <v>1813</v>
      </c>
      <c r="L78" s="13" t="s">
        <v>1814</v>
      </c>
      <c r="M78" s="17">
        <v>139900</v>
      </c>
      <c r="N78" s="62">
        <v>0.6</v>
      </c>
      <c r="O78" s="12">
        <f t="shared" si="1"/>
        <v>55960</v>
      </c>
      <c r="P78" s="6" t="s">
        <v>3499</v>
      </c>
    </row>
    <row r="79" spans="1:16" x14ac:dyDescent="0.25">
      <c r="A79" s="6" t="s">
        <v>3498</v>
      </c>
      <c r="B79" s="7">
        <v>46121</v>
      </c>
      <c r="C79" s="7">
        <v>46127</v>
      </c>
      <c r="D79" s="6">
        <v>3271</v>
      </c>
      <c r="E79" s="6">
        <v>336</v>
      </c>
      <c r="F79" s="21">
        <v>4</v>
      </c>
      <c r="G79" s="15">
        <v>7</v>
      </c>
      <c r="H79" s="15">
        <v>81683</v>
      </c>
      <c r="I79" s="6" t="s">
        <v>543</v>
      </c>
      <c r="J79" s="27">
        <v>14913892</v>
      </c>
      <c r="K79" s="15" t="s">
        <v>1813</v>
      </c>
      <c r="L79" s="13" t="s">
        <v>1815</v>
      </c>
      <c r="M79" s="17">
        <v>139900</v>
      </c>
      <c r="N79" s="62">
        <v>0.6</v>
      </c>
      <c r="O79" s="12">
        <f t="shared" si="1"/>
        <v>55960</v>
      </c>
      <c r="P79" s="6" t="s">
        <v>3499</v>
      </c>
    </row>
    <row r="80" spans="1:16" x14ac:dyDescent="0.25">
      <c r="A80" s="6" t="s">
        <v>3498</v>
      </c>
      <c r="B80" s="7">
        <v>46121</v>
      </c>
      <c r="C80" s="7">
        <v>46127</v>
      </c>
      <c r="D80" s="6">
        <v>3271</v>
      </c>
      <c r="E80" s="6">
        <v>336</v>
      </c>
      <c r="F80" s="21">
        <v>4</v>
      </c>
      <c r="G80" s="15">
        <v>7</v>
      </c>
      <c r="H80" s="15">
        <v>81683</v>
      </c>
      <c r="I80" s="6" t="s">
        <v>543</v>
      </c>
      <c r="J80" s="27">
        <v>14913909</v>
      </c>
      <c r="K80" s="15" t="s">
        <v>1813</v>
      </c>
      <c r="L80" s="13" t="s">
        <v>1816</v>
      </c>
      <c r="M80" s="17">
        <v>139900</v>
      </c>
      <c r="N80" s="62">
        <v>0.6</v>
      </c>
      <c r="O80" s="12">
        <f t="shared" si="1"/>
        <v>55960</v>
      </c>
      <c r="P80" s="6" t="s">
        <v>3499</v>
      </c>
    </row>
    <row r="81" spans="1:16" x14ac:dyDescent="0.25">
      <c r="A81" s="6" t="s">
        <v>3498</v>
      </c>
      <c r="B81" s="7">
        <v>46121</v>
      </c>
      <c r="C81" s="7">
        <v>46127</v>
      </c>
      <c r="D81" s="6">
        <v>3271</v>
      </c>
      <c r="E81" s="6">
        <v>336</v>
      </c>
      <c r="F81" s="21">
        <v>4</v>
      </c>
      <c r="G81" s="15">
        <v>7</v>
      </c>
      <c r="H81" s="15">
        <v>81683</v>
      </c>
      <c r="I81" s="6" t="s">
        <v>543</v>
      </c>
      <c r="J81" s="27">
        <v>14913918</v>
      </c>
      <c r="K81" s="15" t="s">
        <v>1813</v>
      </c>
      <c r="L81" s="13" t="s">
        <v>1817</v>
      </c>
      <c r="M81" s="17">
        <v>139900</v>
      </c>
      <c r="N81" s="62">
        <v>0.6</v>
      </c>
      <c r="O81" s="12">
        <f t="shared" si="1"/>
        <v>55960</v>
      </c>
      <c r="P81" s="6" t="s">
        <v>3499</v>
      </c>
    </row>
    <row r="82" spans="1:16" x14ac:dyDescent="0.25">
      <c r="A82" s="6" t="s">
        <v>3498</v>
      </c>
      <c r="B82" s="7">
        <v>46121</v>
      </c>
      <c r="C82" s="7">
        <v>46127</v>
      </c>
      <c r="D82" s="6">
        <v>3271</v>
      </c>
      <c r="E82" s="6">
        <v>336</v>
      </c>
      <c r="F82" s="21">
        <v>4</v>
      </c>
      <c r="G82" s="15">
        <v>7</v>
      </c>
      <c r="H82" s="15">
        <v>81683</v>
      </c>
      <c r="I82" s="6" t="s">
        <v>543</v>
      </c>
      <c r="J82" s="27">
        <v>14913927</v>
      </c>
      <c r="K82" s="15" t="s">
        <v>1813</v>
      </c>
      <c r="L82" s="13" t="s">
        <v>1818</v>
      </c>
      <c r="M82" s="17">
        <v>139900</v>
      </c>
      <c r="N82" s="62">
        <v>0.6</v>
      </c>
      <c r="O82" s="12">
        <f t="shared" si="1"/>
        <v>55960</v>
      </c>
      <c r="P82" s="6" t="s">
        <v>3499</v>
      </c>
    </row>
    <row r="83" spans="1:16" x14ac:dyDescent="0.25">
      <c r="A83" s="6" t="s">
        <v>3498</v>
      </c>
      <c r="B83" s="7">
        <v>46121</v>
      </c>
      <c r="C83" s="7">
        <v>46127</v>
      </c>
      <c r="D83" s="6">
        <v>3271</v>
      </c>
      <c r="E83" s="6">
        <v>336</v>
      </c>
      <c r="F83" s="21">
        <v>4</v>
      </c>
      <c r="G83" s="15">
        <v>7</v>
      </c>
      <c r="H83" s="15">
        <v>81683</v>
      </c>
      <c r="I83" s="6" t="s">
        <v>543</v>
      </c>
      <c r="J83" s="27">
        <v>14913936</v>
      </c>
      <c r="K83" s="15" t="s">
        <v>1813</v>
      </c>
      <c r="L83" s="13" t="s">
        <v>1819</v>
      </c>
      <c r="M83" s="17">
        <v>139900</v>
      </c>
      <c r="N83" s="62">
        <v>0.6</v>
      </c>
      <c r="O83" s="12">
        <f t="shared" si="1"/>
        <v>55960</v>
      </c>
      <c r="P83" s="6" t="s">
        <v>3499</v>
      </c>
    </row>
    <row r="84" spans="1:16" x14ac:dyDescent="0.25">
      <c r="A84" s="6" t="s">
        <v>3498</v>
      </c>
      <c r="B84" s="7">
        <v>46121</v>
      </c>
      <c r="C84" s="7">
        <v>46127</v>
      </c>
      <c r="D84" s="6">
        <v>3271</v>
      </c>
      <c r="E84" s="6">
        <v>336</v>
      </c>
      <c r="F84" s="21">
        <v>4</v>
      </c>
      <c r="G84" s="15">
        <v>7</v>
      </c>
      <c r="H84" s="15">
        <v>81683</v>
      </c>
      <c r="I84" s="6" t="s">
        <v>543</v>
      </c>
      <c r="J84" s="27">
        <v>14913945</v>
      </c>
      <c r="K84" s="15" t="s">
        <v>1813</v>
      </c>
      <c r="L84" s="13" t="s">
        <v>1820</v>
      </c>
      <c r="M84" s="17">
        <v>139900</v>
      </c>
      <c r="N84" s="62">
        <v>0.6</v>
      </c>
      <c r="O84" s="12">
        <f t="shared" si="1"/>
        <v>55960</v>
      </c>
      <c r="P84" s="6" t="s">
        <v>3499</v>
      </c>
    </row>
    <row r="85" spans="1:16" x14ac:dyDescent="0.25">
      <c r="A85" s="6" t="s">
        <v>3498</v>
      </c>
      <c r="B85" s="7">
        <v>46121</v>
      </c>
      <c r="C85" s="7">
        <v>46127</v>
      </c>
      <c r="D85" s="6">
        <v>3271</v>
      </c>
      <c r="E85" s="6">
        <v>336</v>
      </c>
      <c r="F85" s="21">
        <v>4</v>
      </c>
      <c r="G85" s="15">
        <v>7</v>
      </c>
      <c r="H85" s="15">
        <v>81683</v>
      </c>
      <c r="I85" s="6" t="s">
        <v>543</v>
      </c>
      <c r="J85" s="27">
        <v>14913954</v>
      </c>
      <c r="K85" s="15" t="s">
        <v>1813</v>
      </c>
      <c r="L85" s="13" t="s">
        <v>1821</v>
      </c>
      <c r="M85" s="17">
        <v>139900</v>
      </c>
      <c r="N85" s="62">
        <v>0.6</v>
      </c>
      <c r="O85" s="12">
        <f t="shared" si="1"/>
        <v>55960</v>
      </c>
      <c r="P85" s="6" t="s">
        <v>3499</v>
      </c>
    </row>
    <row r="86" spans="1:16" x14ac:dyDescent="0.25">
      <c r="A86" s="6" t="s">
        <v>3498</v>
      </c>
      <c r="B86" s="7">
        <v>46121</v>
      </c>
      <c r="C86" s="7">
        <v>46127</v>
      </c>
      <c r="D86" s="6">
        <v>3271</v>
      </c>
      <c r="E86" s="6">
        <v>336</v>
      </c>
      <c r="F86" s="21">
        <v>4</v>
      </c>
      <c r="G86" s="15">
        <v>7</v>
      </c>
      <c r="H86" s="15">
        <v>81683</v>
      </c>
      <c r="I86" s="6" t="s">
        <v>543</v>
      </c>
      <c r="J86" s="27">
        <v>14913963</v>
      </c>
      <c r="K86" s="15" t="s">
        <v>1813</v>
      </c>
      <c r="L86" s="13" t="s">
        <v>1822</v>
      </c>
      <c r="M86" s="17">
        <v>139900</v>
      </c>
      <c r="N86" s="62">
        <v>0.6</v>
      </c>
      <c r="O86" s="12">
        <f t="shared" si="1"/>
        <v>55960</v>
      </c>
      <c r="P86" s="6" t="s">
        <v>3499</v>
      </c>
    </row>
    <row r="87" spans="1:16" x14ac:dyDescent="0.25">
      <c r="A87" s="6" t="s">
        <v>3498</v>
      </c>
      <c r="B87" s="7">
        <v>46121</v>
      </c>
      <c r="C87" s="7">
        <v>46127</v>
      </c>
      <c r="D87" s="6">
        <v>3271</v>
      </c>
      <c r="E87" s="6">
        <v>336</v>
      </c>
      <c r="F87" s="21">
        <v>4</v>
      </c>
      <c r="G87" s="15">
        <v>7</v>
      </c>
      <c r="H87" s="15">
        <v>81683</v>
      </c>
      <c r="I87" s="6" t="s">
        <v>543</v>
      </c>
      <c r="J87" s="27">
        <v>14913972</v>
      </c>
      <c r="K87" s="15" t="s">
        <v>1813</v>
      </c>
      <c r="L87" s="13" t="s">
        <v>1823</v>
      </c>
      <c r="M87" s="17">
        <v>139900</v>
      </c>
      <c r="N87" s="62">
        <v>0.6</v>
      </c>
      <c r="O87" s="12">
        <f t="shared" si="1"/>
        <v>55960</v>
      </c>
      <c r="P87" s="6" t="s">
        <v>3499</v>
      </c>
    </row>
    <row r="88" spans="1:16" x14ac:dyDescent="0.25">
      <c r="A88" s="6" t="s">
        <v>3498</v>
      </c>
      <c r="B88" s="7">
        <v>46121</v>
      </c>
      <c r="C88" s="7">
        <v>46127</v>
      </c>
      <c r="D88" s="6">
        <v>3271</v>
      </c>
      <c r="E88" s="6">
        <v>336</v>
      </c>
      <c r="F88" s="21">
        <v>4</v>
      </c>
      <c r="G88" s="15">
        <v>7</v>
      </c>
      <c r="H88" s="15">
        <v>81683</v>
      </c>
      <c r="I88" s="6" t="s">
        <v>543</v>
      </c>
      <c r="J88" s="27">
        <v>14913981</v>
      </c>
      <c r="K88" s="15" t="s">
        <v>1813</v>
      </c>
      <c r="L88" s="13" t="s">
        <v>1824</v>
      </c>
      <c r="M88" s="17">
        <v>139900</v>
      </c>
      <c r="N88" s="62">
        <v>0.6</v>
      </c>
      <c r="O88" s="12">
        <f t="shared" si="1"/>
        <v>55960</v>
      </c>
      <c r="P88" s="6" t="s">
        <v>3499</v>
      </c>
    </row>
    <row r="89" spans="1:16" x14ac:dyDescent="0.25">
      <c r="A89" s="6" t="s">
        <v>3498</v>
      </c>
      <c r="B89" s="7">
        <v>46121</v>
      </c>
      <c r="C89" s="7">
        <v>46127</v>
      </c>
      <c r="D89" s="6">
        <v>3271</v>
      </c>
      <c r="E89" s="6">
        <v>336</v>
      </c>
      <c r="F89" s="21">
        <v>4</v>
      </c>
      <c r="G89" s="15">
        <v>7</v>
      </c>
      <c r="H89" s="15">
        <v>81683</v>
      </c>
      <c r="I89" s="6" t="s">
        <v>543</v>
      </c>
      <c r="J89" s="27">
        <v>14913990</v>
      </c>
      <c r="K89" s="15" t="s">
        <v>1813</v>
      </c>
      <c r="L89" s="13" t="s">
        <v>1825</v>
      </c>
      <c r="M89" s="17">
        <v>139900</v>
      </c>
      <c r="N89" s="62">
        <v>0.6</v>
      </c>
      <c r="O89" s="12">
        <f t="shared" si="1"/>
        <v>55960</v>
      </c>
      <c r="P89" s="6" t="s">
        <v>3499</v>
      </c>
    </row>
    <row r="90" spans="1:16" x14ac:dyDescent="0.25">
      <c r="A90" s="6" t="s">
        <v>3498</v>
      </c>
      <c r="B90" s="7">
        <v>46121</v>
      </c>
      <c r="C90" s="7">
        <v>46127</v>
      </c>
      <c r="D90" s="6">
        <v>3271</v>
      </c>
      <c r="E90" s="6">
        <v>336</v>
      </c>
      <c r="F90" s="21">
        <v>4</v>
      </c>
      <c r="G90" s="15">
        <v>7</v>
      </c>
      <c r="H90" s="15">
        <v>81683</v>
      </c>
      <c r="I90" s="6" t="s">
        <v>543</v>
      </c>
      <c r="J90" s="27">
        <v>24358741</v>
      </c>
      <c r="K90" s="15" t="s">
        <v>1826</v>
      </c>
      <c r="L90" s="13" t="s">
        <v>1827</v>
      </c>
      <c r="M90" s="17">
        <v>139900</v>
      </c>
      <c r="N90" s="62">
        <v>0.6</v>
      </c>
      <c r="O90" s="12">
        <f t="shared" si="1"/>
        <v>55960</v>
      </c>
      <c r="P90" s="6" t="s">
        <v>3499</v>
      </c>
    </row>
    <row r="91" spans="1:16" x14ac:dyDescent="0.25">
      <c r="A91" s="6" t="s">
        <v>3498</v>
      </c>
      <c r="B91" s="7">
        <v>46121</v>
      </c>
      <c r="C91" s="7">
        <v>46127</v>
      </c>
      <c r="D91" s="6">
        <v>3271</v>
      </c>
      <c r="E91" s="6">
        <v>336</v>
      </c>
      <c r="F91" s="21">
        <v>4</v>
      </c>
      <c r="G91" s="15">
        <v>7</v>
      </c>
      <c r="H91" s="15">
        <v>81683</v>
      </c>
      <c r="I91" s="6" t="s">
        <v>543</v>
      </c>
      <c r="J91" s="27">
        <v>24358750</v>
      </c>
      <c r="K91" s="15" t="s">
        <v>1826</v>
      </c>
      <c r="L91" s="13" t="s">
        <v>1828</v>
      </c>
      <c r="M91" s="17">
        <v>139900</v>
      </c>
      <c r="N91" s="62">
        <v>0.6</v>
      </c>
      <c r="O91" s="12">
        <f t="shared" si="1"/>
        <v>55960</v>
      </c>
      <c r="P91" s="6" t="s">
        <v>3499</v>
      </c>
    </row>
    <row r="92" spans="1:16" x14ac:dyDescent="0.25">
      <c r="A92" s="6" t="s">
        <v>3498</v>
      </c>
      <c r="B92" s="7">
        <v>46121</v>
      </c>
      <c r="C92" s="7">
        <v>46127</v>
      </c>
      <c r="D92" s="6">
        <v>3271</v>
      </c>
      <c r="E92" s="6">
        <v>336</v>
      </c>
      <c r="F92" s="21">
        <v>4</v>
      </c>
      <c r="G92" s="15">
        <v>7</v>
      </c>
      <c r="H92" s="15">
        <v>81683</v>
      </c>
      <c r="I92" s="6" t="s">
        <v>543</v>
      </c>
      <c r="J92" s="27">
        <v>24358769</v>
      </c>
      <c r="K92" s="15" t="s">
        <v>1826</v>
      </c>
      <c r="L92" s="13" t="s">
        <v>1829</v>
      </c>
      <c r="M92" s="17">
        <v>139900</v>
      </c>
      <c r="N92" s="62">
        <v>0.6</v>
      </c>
      <c r="O92" s="12">
        <f t="shared" si="1"/>
        <v>55960</v>
      </c>
      <c r="P92" s="6" t="s">
        <v>3499</v>
      </c>
    </row>
    <row r="93" spans="1:16" x14ac:dyDescent="0.25">
      <c r="A93" s="6" t="s">
        <v>3498</v>
      </c>
      <c r="B93" s="7">
        <v>46121</v>
      </c>
      <c r="C93" s="7">
        <v>46127</v>
      </c>
      <c r="D93" s="6">
        <v>3271</v>
      </c>
      <c r="E93" s="6">
        <v>336</v>
      </c>
      <c r="F93" s="21">
        <v>4</v>
      </c>
      <c r="G93" s="15">
        <v>7</v>
      </c>
      <c r="H93" s="15">
        <v>81683</v>
      </c>
      <c r="I93" s="6" t="s">
        <v>543</v>
      </c>
      <c r="J93" s="27">
        <v>24358778</v>
      </c>
      <c r="K93" s="15" t="s">
        <v>1826</v>
      </c>
      <c r="L93" s="13" t="s">
        <v>1830</v>
      </c>
      <c r="M93" s="17">
        <v>139900</v>
      </c>
      <c r="N93" s="62">
        <v>0.6</v>
      </c>
      <c r="O93" s="12">
        <f t="shared" si="1"/>
        <v>55960</v>
      </c>
      <c r="P93" s="6" t="s">
        <v>3499</v>
      </c>
    </row>
    <row r="94" spans="1:16" x14ac:dyDescent="0.25">
      <c r="A94" s="6" t="s">
        <v>3498</v>
      </c>
      <c r="B94" s="7">
        <v>46121</v>
      </c>
      <c r="C94" s="7">
        <v>46127</v>
      </c>
      <c r="D94" s="6">
        <v>3271</v>
      </c>
      <c r="E94" s="6">
        <v>336</v>
      </c>
      <c r="F94" s="21">
        <v>4</v>
      </c>
      <c r="G94" s="15">
        <v>7</v>
      </c>
      <c r="H94" s="15">
        <v>81683</v>
      </c>
      <c r="I94" s="6" t="s">
        <v>543</v>
      </c>
      <c r="J94" s="27">
        <v>24358787</v>
      </c>
      <c r="K94" s="15" t="s">
        <v>1826</v>
      </c>
      <c r="L94" s="13" t="s">
        <v>1831</v>
      </c>
      <c r="M94" s="17">
        <v>139900</v>
      </c>
      <c r="N94" s="62">
        <v>0.6</v>
      </c>
      <c r="O94" s="12">
        <f t="shared" si="1"/>
        <v>55960</v>
      </c>
      <c r="P94" s="6" t="s">
        <v>3499</v>
      </c>
    </row>
    <row r="95" spans="1:16" x14ac:dyDescent="0.25">
      <c r="A95" s="6" t="s">
        <v>3498</v>
      </c>
      <c r="B95" s="7">
        <v>46121</v>
      </c>
      <c r="C95" s="7">
        <v>46127</v>
      </c>
      <c r="D95" s="6">
        <v>3271</v>
      </c>
      <c r="E95" s="6">
        <v>336</v>
      </c>
      <c r="F95" s="21">
        <v>4</v>
      </c>
      <c r="G95" s="15">
        <v>7</v>
      </c>
      <c r="H95" s="15">
        <v>81683</v>
      </c>
      <c r="I95" s="6" t="s">
        <v>543</v>
      </c>
      <c r="J95" s="27">
        <v>24358796</v>
      </c>
      <c r="K95" s="15" t="s">
        <v>1826</v>
      </c>
      <c r="L95" s="13" t="s">
        <v>1832</v>
      </c>
      <c r="M95" s="17">
        <v>139900</v>
      </c>
      <c r="N95" s="62">
        <v>0.6</v>
      </c>
      <c r="O95" s="12">
        <f t="shared" si="1"/>
        <v>55960</v>
      </c>
      <c r="P95" s="6" t="s">
        <v>3499</v>
      </c>
    </row>
    <row r="96" spans="1:16" x14ac:dyDescent="0.25">
      <c r="A96" s="6" t="s">
        <v>3498</v>
      </c>
      <c r="B96" s="7">
        <v>46121</v>
      </c>
      <c r="C96" s="7">
        <v>46127</v>
      </c>
      <c r="D96" s="6">
        <v>3271</v>
      </c>
      <c r="E96" s="6">
        <v>336</v>
      </c>
      <c r="F96" s="21">
        <v>4</v>
      </c>
      <c r="G96" s="15">
        <v>7</v>
      </c>
      <c r="H96" s="15">
        <v>81683</v>
      </c>
      <c r="I96" s="6" t="s">
        <v>543</v>
      </c>
      <c r="J96" s="27">
        <v>24358803</v>
      </c>
      <c r="K96" s="15" t="s">
        <v>1826</v>
      </c>
      <c r="L96" s="13" t="s">
        <v>1833</v>
      </c>
      <c r="M96" s="17">
        <v>139900</v>
      </c>
      <c r="N96" s="62">
        <v>0.6</v>
      </c>
      <c r="O96" s="12">
        <f t="shared" si="1"/>
        <v>55960</v>
      </c>
      <c r="P96" s="6" t="s">
        <v>3499</v>
      </c>
    </row>
    <row r="97" spans="1:16" x14ac:dyDescent="0.25">
      <c r="A97" s="6" t="s">
        <v>3498</v>
      </c>
      <c r="B97" s="7">
        <v>46121</v>
      </c>
      <c r="C97" s="7">
        <v>46127</v>
      </c>
      <c r="D97" s="6">
        <v>3271</v>
      </c>
      <c r="E97" s="6">
        <v>336</v>
      </c>
      <c r="F97" s="21">
        <v>4</v>
      </c>
      <c r="G97" s="15">
        <v>7</v>
      </c>
      <c r="H97" s="15">
        <v>81683</v>
      </c>
      <c r="I97" s="6" t="s">
        <v>543</v>
      </c>
      <c r="J97" s="27">
        <v>24358812</v>
      </c>
      <c r="K97" s="15" t="s">
        <v>1826</v>
      </c>
      <c r="L97" s="13" t="s">
        <v>1834</v>
      </c>
      <c r="M97" s="17">
        <v>139900</v>
      </c>
      <c r="N97" s="62">
        <v>0.6</v>
      </c>
      <c r="O97" s="12">
        <f t="shared" si="1"/>
        <v>55960</v>
      </c>
      <c r="P97" s="6" t="s">
        <v>3499</v>
      </c>
    </row>
    <row r="98" spans="1:16" x14ac:dyDescent="0.25">
      <c r="A98" s="6" t="s">
        <v>3498</v>
      </c>
      <c r="B98" s="7">
        <v>46121</v>
      </c>
      <c r="C98" s="7">
        <v>46127</v>
      </c>
      <c r="D98" s="6">
        <v>3271</v>
      </c>
      <c r="E98" s="6">
        <v>336</v>
      </c>
      <c r="F98" s="21">
        <v>4</v>
      </c>
      <c r="G98" s="15">
        <v>7</v>
      </c>
      <c r="H98" s="15">
        <v>81683</v>
      </c>
      <c r="I98" s="6" t="s">
        <v>543</v>
      </c>
      <c r="J98" s="27">
        <v>24358821</v>
      </c>
      <c r="K98" s="15" t="s">
        <v>1826</v>
      </c>
      <c r="L98" s="13" t="s">
        <v>1835</v>
      </c>
      <c r="M98" s="17">
        <v>139900</v>
      </c>
      <c r="N98" s="62">
        <v>0.6</v>
      </c>
      <c r="O98" s="12">
        <f t="shared" si="1"/>
        <v>55960</v>
      </c>
      <c r="P98" s="6" t="s">
        <v>3499</v>
      </c>
    </row>
    <row r="99" spans="1:16" x14ac:dyDescent="0.25">
      <c r="A99" s="6" t="s">
        <v>3498</v>
      </c>
      <c r="B99" s="7">
        <v>46121</v>
      </c>
      <c r="C99" s="7">
        <v>46127</v>
      </c>
      <c r="D99" s="6">
        <v>3271</v>
      </c>
      <c r="E99" s="6">
        <v>336</v>
      </c>
      <c r="F99" s="21">
        <v>4</v>
      </c>
      <c r="G99" s="15">
        <v>7</v>
      </c>
      <c r="H99" s="15">
        <v>81683</v>
      </c>
      <c r="I99" s="6" t="s">
        <v>543</v>
      </c>
      <c r="J99" s="27">
        <v>24358830</v>
      </c>
      <c r="K99" s="15" t="s">
        <v>1826</v>
      </c>
      <c r="L99" s="13" t="s">
        <v>1836</v>
      </c>
      <c r="M99" s="17">
        <v>139900</v>
      </c>
      <c r="N99" s="62">
        <v>0.6</v>
      </c>
      <c r="O99" s="12">
        <f t="shared" si="1"/>
        <v>55960</v>
      </c>
      <c r="P99" s="6" t="s">
        <v>3499</v>
      </c>
    </row>
    <row r="100" spans="1:16" x14ac:dyDescent="0.25">
      <c r="A100" s="6" t="s">
        <v>3498</v>
      </c>
      <c r="B100" s="7">
        <v>46121</v>
      </c>
      <c r="C100" s="7">
        <v>46127</v>
      </c>
      <c r="D100" s="6">
        <v>3271</v>
      </c>
      <c r="E100" s="6">
        <v>336</v>
      </c>
      <c r="F100" s="21">
        <v>4</v>
      </c>
      <c r="G100" s="15">
        <v>7</v>
      </c>
      <c r="H100" s="15">
        <v>81683</v>
      </c>
      <c r="I100" s="6" t="s">
        <v>543</v>
      </c>
      <c r="J100" s="27">
        <v>24358849</v>
      </c>
      <c r="K100" s="15" t="s">
        <v>1826</v>
      </c>
      <c r="L100" s="13" t="s">
        <v>1837</v>
      </c>
      <c r="M100" s="17">
        <v>139900</v>
      </c>
      <c r="N100" s="62">
        <v>0.6</v>
      </c>
      <c r="O100" s="12">
        <f t="shared" si="1"/>
        <v>55960</v>
      </c>
      <c r="P100" s="6" t="s">
        <v>3499</v>
      </c>
    </row>
    <row r="101" spans="1:16" x14ac:dyDescent="0.25">
      <c r="A101" s="6" t="s">
        <v>3498</v>
      </c>
      <c r="B101" s="7">
        <v>46121</v>
      </c>
      <c r="C101" s="7">
        <v>46127</v>
      </c>
      <c r="D101" s="6">
        <v>3271</v>
      </c>
      <c r="E101" s="6">
        <v>336</v>
      </c>
      <c r="F101" s="21">
        <v>4</v>
      </c>
      <c r="G101" s="15">
        <v>7</v>
      </c>
      <c r="H101" s="15">
        <v>81683</v>
      </c>
      <c r="I101" s="6" t="s">
        <v>543</v>
      </c>
      <c r="J101" s="27">
        <v>24358858</v>
      </c>
      <c r="K101" s="15" t="s">
        <v>1826</v>
      </c>
      <c r="L101" s="13" t="s">
        <v>1838</v>
      </c>
      <c r="M101" s="17">
        <v>139900</v>
      </c>
      <c r="N101" s="62">
        <v>0.6</v>
      </c>
      <c r="O101" s="12">
        <f t="shared" si="1"/>
        <v>55960</v>
      </c>
      <c r="P101" s="6" t="s">
        <v>3499</v>
      </c>
    </row>
    <row r="102" spans="1:16" x14ac:dyDescent="0.25">
      <c r="A102" s="6" t="s">
        <v>3498</v>
      </c>
      <c r="B102" s="7">
        <v>46121</v>
      </c>
      <c r="C102" s="7">
        <v>46127</v>
      </c>
      <c r="D102" s="6">
        <v>3271</v>
      </c>
      <c r="E102" s="6">
        <v>336</v>
      </c>
      <c r="F102" s="21">
        <v>4</v>
      </c>
      <c r="G102" s="15">
        <v>7</v>
      </c>
      <c r="H102" s="15">
        <v>81683</v>
      </c>
      <c r="I102" s="6" t="s">
        <v>543</v>
      </c>
      <c r="J102" s="27">
        <v>24358867</v>
      </c>
      <c r="K102" s="15" t="s">
        <v>1839</v>
      </c>
      <c r="L102" s="13" t="s">
        <v>1840</v>
      </c>
      <c r="M102" s="17">
        <v>139900</v>
      </c>
      <c r="N102" s="62">
        <v>0.6</v>
      </c>
      <c r="O102" s="12">
        <f t="shared" si="1"/>
        <v>55960</v>
      </c>
      <c r="P102" s="6" t="s">
        <v>3499</v>
      </c>
    </row>
    <row r="103" spans="1:16" x14ac:dyDescent="0.25">
      <c r="A103" s="6" t="s">
        <v>3498</v>
      </c>
      <c r="B103" s="7">
        <v>46121</v>
      </c>
      <c r="C103" s="7">
        <v>46127</v>
      </c>
      <c r="D103" s="6">
        <v>3271</v>
      </c>
      <c r="E103" s="6">
        <v>336</v>
      </c>
      <c r="F103" s="21">
        <v>4</v>
      </c>
      <c r="G103" s="15">
        <v>7</v>
      </c>
      <c r="H103" s="15">
        <v>81683</v>
      </c>
      <c r="I103" s="6" t="s">
        <v>543</v>
      </c>
      <c r="J103" s="27">
        <v>24358876</v>
      </c>
      <c r="K103" s="15" t="s">
        <v>1839</v>
      </c>
      <c r="L103" s="13" t="s">
        <v>1841</v>
      </c>
      <c r="M103" s="17">
        <v>139900</v>
      </c>
      <c r="N103" s="62">
        <v>0.6</v>
      </c>
      <c r="O103" s="12">
        <f t="shared" si="1"/>
        <v>55960</v>
      </c>
      <c r="P103" s="6" t="s">
        <v>3499</v>
      </c>
    </row>
    <row r="104" spans="1:16" x14ac:dyDescent="0.25">
      <c r="A104" s="6" t="s">
        <v>3498</v>
      </c>
      <c r="B104" s="7">
        <v>46121</v>
      </c>
      <c r="C104" s="7">
        <v>46127</v>
      </c>
      <c r="D104" s="6">
        <v>3271</v>
      </c>
      <c r="E104" s="6">
        <v>336</v>
      </c>
      <c r="F104" s="21">
        <v>4</v>
      </c>
      <c r="G104" s="15">
        <v>7</v>
      </c>
      <c r="H104" s="15">
        <v>81683</v>
      </c>
      <c r="I104" s="6" t="s">
        <v>543</v>
      </c>
      <c r="J104" s="27">
        <v>24358885</v>
      </c>
      <c r="K104" s="15" t="s">
        <v>1839</v>
      </c>
      <c r="L104" s="13" t="s">
        <v>1842</v>
      </c>
      <c r="M104" s="17">
        <v>139900</v>
      </c>
      <c r="N104" s="62">
        <v>0.6</v>
      </c>
      <c r="O104" s="12">
        <f t="shared" si="1"/>
        <v>55960</v>
      </c>
      <c r="P104" s="6" t="s">
        <v>3499</v>
      </c>
    </row>
    <row r="105" spans="1:16" x14ac:dyDescent="0.25">
      <c r="A105" s="6" t="s">
        <v>3498</v>
      </c>
      <c r="B105" s="7">
        <v>46121</v>
      </c>
      <c r="C105" s="7">
        <v>46127</v>
      </c>
      <c r="D105" s="6">
        <v>3271</v>
      </c>
      <c r="E105" s="6">
        <v>336</v>
      </c>
      <c r="F105" s="21">
        <v>4</v>
      </c>
      <c r="G105" s="15">
        <v>7</v>
      </c>
      <c r="H105" s="15">
        <v>81683</v>
      </c>
      <c r="I105" s="6" t="s">
        <v>543</v>
      </c>
      <c r="J105" s="27">
        <v>24358894</v>
      </c>
      <c r="K105" s="15" t="s">
        <v>1839</v>
      </c>
      <c r="L105" s="13" t="s">
        <v>1843</v>
      </c>
      <c r="M105" s="17">
        <v>139900</v>
      </c>
      <c r="N105" s="62">
        <v>0.6</v>
      </c>
      <c r="O105" s="12">
        <f t="shared" si="1"/>
        <v>55960</v>
      </c>
      <c r="P105" s="6" t="s">
        <v>3499</v>
      </c>
    </row>
    <row r="106" spans="1:16" x14ac:dyDescent="0.25">
      <c r="A106" s="6" t="s">
        <v>3498</v>
      </c>
      <c r="B106" s="7">
        <v>46121</v>
      </c>
      <c r="C106" s="7">
        <v>46127</v>
      </c>
      <c r="D106" s="6">
        <v>3271</v>
      </c>
      <c r="E106" s="6">
        <v>336</v>
      </c>
      <c r="F106" s="21">
        <v>4</v>
      </c>
      <c r="G106" s="15">
        <v>7</v>
      </c>
      <c r="H106" s="15">
        <v>81683</v>
      </c>
      <c r="I106" s="6" t="s">
        <v>543</v>
      </c>
      <c r="J106" s="27">
        <v>24358901</v>
      </c>
      <c r="K106" s="15" t="s">
        <v>1839</v>
      </c>
      <c r="L106" s="13" t="s">
        <v>1844</v>
      </c>
      <c r="M106" s="17">
        <v>139900</v>
      </c>
      <c r="N106" s="62">
        <v>0.6</v>
      </c>
      <c r="O106" s="12">
        <f t="shared" si="1"/>
        <v>55960</v>
      </c>
      <c r="P106" s="6" t="s">
        <v>3499</v>
      </c>
    </row>
    <row r="107" spans="1:16" x14ac:dyDescent="0.25">
      <c r="A107" s="6" t="s">
        <v>3498</v>
      </c>
      <c r="B107" s="7">
        <v>46121</v>
      </c>
      <c r="C107" s="7">
        <v>46127</v>
      </c>
      <c r="D107" s="6">
        <v>3271</v>
      </c>
      <c r="E107" s="6">
        <v>336</v>
      </c>
      <c r="F107" s="21">
        <v>4</v>
      </c>
      <c r="G107" s="15">
        <v>7</v>
      </c>
      <c r="H107" s="15">
        <v>81683</v>
      </c>
      <c r="I107" s="6" t="s">
        <v>543</v>
      </c>
      <c r="J107" s="27">
        <v>24359035</v>
      </c>
      <c r="K107" s="15" t="s">
        <v>1839</v>
      </c>
      <c r="L107" s="13" t="s">
        <v>1845</v>
      </c>
      <c r="M107" s="17">
        <v>139900</v>
      </c>
      <c r="N107" s="62">
        <v>0.6</v>
      </c>
      <c r="O107" s="12">
        <f t="shared" si="1"/>
        <v>55960</v>
      </c>
      <c r="P107" s="6" t="s">
        <v>3499</v>
      </c>
    </row>
    <row r="108" spans="1:16" x14ac:dyDescent="0.25">
      <c r="A108" s="6" t="s">
        <v>3498</v>
      </c>
      <c r="B108" s="7">
        <v>46121</v>
      </c>
      <c r="C108" s="7">
        <v>46127</v>
      </c>
      <c r="D108" s="6">
        <v>3271</v>
      </c>
      <c r="E108" s="6">
        <v>336</v>
      </c>
      <c r="F108" s="21">
        <v>4</v>
      </c>
      <c r="G108" s="15">
        <v>7</v>
      </c>
      <c r="H108" s="15">
        <v>81683</v>
      </c>
      <c r="I108" s="6" t="s">
        <v>543</v>
      </c>
      <c r="J108" s="27">
        <v>24359044</v>
      </c>
      <c r="K108" s="15" t="s">
        <v>1839</v>
      </c>
      <c r="L108" s="13" t="s">
        <v>1846</v>
      </c>
      <c r="M108" s="17">
        <v>139900</v>
      </c>
      <c r="N108" s="62">
        <v>0.6</v>
      </c>
      <c r="O108" s="12">
        <f t="shared" si="1"/>
        <v>55960</v>
      </c>
      <c r="P108" s="6" t="s">
        <v>3499</v>
      </c>
    </row>
    <row r="109" spans="1:16" x14ac:dyDescent="0.25">
      <c r="A109" s="6" t="s">
        <v>3498</v>
      </c>
      <c r="B109" s="7">
        <v>46121</v>
      </c>
      <c r="C109" s="7">
        <v>46127</v>
      </c>
      <c r="D109" s="6">
        <v>3271</v>
      </c>
      <c r="E109" s="6">
        <v>336</v>
      </c>
      <c r="F109" s="21">
        <v>4</v>
      </c>
      <c r="G109" s="15">
        <v>7</v>
      </c>
      <c r="H109" s="15">
        <v>81683</v>
      </c>
      <c r="I109" s="6" t="s">
        <v>543</v>
      </c>
      <c r="J109" s="27">
        <v>24359053</v>
      </c>
      <c r="K109" s="15" t="s">
        <v>1839</v>
      </c>
      <c r="L109" s="13" t="s">
        <v>1847</v>
      </c>
      <c r="M109" s="17">
        <v>139900</v>
      </c>
      <c r="N109" s="62">
        <v>0.6</v>
      </c>
      <c r="O109" s="12">
        <f t="shared" si="1"/>
        <v>55960</v>
      </c>
      <c r="P109" s="6" t="s">
        <v>3499</v>
      </c>
    </row>
    <row r="110" spans="1:16" x14ac:dyDescent="0.25">
      <c r="A110" s="6" t="s">
        <v>3498</v>
      </c>
      <c r="B110" s="7">
        <v>46121</v>
      </c>
      <c r="C110" s="7">
        <v>46127</v>
      </c>
      <c r="D110" s="6">
        <v>3271</v>
      </c>
      <c r="E110" s="6">
        <v>336</v>
      </c>
      <c r="F110" s="21">
        <v>4</v>
      </c>
      <c r="G110" s="15">
        <v>7</v>
      </c>
      <c r="H110" s="15">
        <v>81683</v>
      </c>
      <c r="I110" s="6" t="s">
        <v>543</v>
      </c>
      <c r="J110" s="27">
        <v>24359062</v>
      </c>
      <c r="K110" s="15" t="s">
        <v>1839</v>
      </c>
      <c r="L110" s="13" t="s">
        <v>1848</v>
      </c>
      <c r="M110" s="17">
        <v>139900</v>
      </c>
      <c r="N110" s="62">
        <v>0.6</v>
      </c>
      <c r="O110" s="12">
        <f t="shared" si="1"/>
        <v>55960</v>
      </c>
      <c r="P110" s="6" t="s">
        <v>3499</v>
      </c>
    </row>
    <row r="111" spans="1:16" x14ac:dyDescent="0.25">
      <c r="A111" s="6" t="s">
        <v>3498</v>
      </c>
      <c r="B111" s="7">
        <v>46121</v>
      </c>
      <c r="C111" s="7">
        <v>46127</v>
      </c>
      <c r="D111" s="6">
        <v>3271</v>
      </c>
      <c r="E111" s="6">
        <v>336</v>
      </c>
      <c r="F111" s="21">
        <v>4</v>
      </c>
      <c r="G111" s="15">
        <v>7</v>
      </c>
      <c r="H111" s="15">
        <v>81683</v>
      </c>
      <c r="I111" s="6" t="s">
        <v>543</v>
      </c>
      <c r="J111" s="27">
        <v>24359071</v>
      </c>
      <c r="K111" s="15" t="s">
        <v>1839</v>
      </c>
      <c r="L111" s="13" t="s">
        <v>1849</v>
      </c>
      <c r="M111" s="17">
        <v>139900</v>
      </c>
      <c r="N111" s="62">
        <v>0.6</v>
      </c>
      <c r="O111" s="12">
        <f t="shared" si="1"/>
        <v>55960</v>
      </c>
      <c r="P111" s="6" t="s">
        <v>3499</v>
      </c>
    </row>
    <row r="112" spans="1:16" x14ac:dyDescent="0.25">
      <c r="A112" s="6" t="s">
        <v>3498</v>
      </c>
      <c r="B112" s="7">
        <v>46121</v>
      </c>
      <c r="C112" s="7">
        <v>46127</v>
      </c>
      <c r="D112" s="6">
        <v>3271</v>
      </c>
      <c r="E112" s="6">
        <v>336</v>
      </c>
      <c r="F112" s="21">
        <v>4</v>
      </c>
      <c r="G112" s="15">
        <v>7</v>
      </c>
      <c r="H112" s="15">
        <v>81683</v>
      </c>
      <c r="I112" s="6" t="s">
        <v>543</v>
      </c>
      <c r="J112" s="27">
        <v>24359080</v>
      </c>
      <c r="K112" s="15" t="s">
        <v>1839</v>
      </c>
      <c r="L112" s="13" t="s">
        <v>1850</v>
      </c>
      <c r="M112" s="17">
        <v>139900</v>
      </c>
      <c r="N112" s="62">
        <v>0.6</v>
      </c>
      <c r="O112" s="12">
        <f t="shared" si="1"/>
        <v>55960</v>
      </c>
      <c r="P112" s="6" t="s">
        <v>3499</v>
      </c>
    </row>
    <row r="113" spans="1:16" x14ac:dyDescent="0.25">
      <c r="A113" s="6" t="s">
        <v>3498</v>
      </c>
      <c r="B113" s="7">
        <v>46121</v>
      </c>
      <c r="C113" s="7">
        <v>46127</v>
      </c>
      <c r="D113" s="6">
        <v>3271</v>
      </c>
      <c r="E113" s="6">
        <v>336</v>
      </c>
      <c r="F113" s="21">
        <v>4</v>
      </c>
      <c r="G113" s="15">
        <v>7</v>
      </c>
      <c r="H113" s="15">
        <v>81683</v>
      </c>
      <c r="I113" s="6" t="s">
        <v>543</v>
      </c>
      <c r="J113" s="27">
        <v>24359099</v>
      </c>
      <c r="K113" s="15" t="s">
        <v>1839</v>
      </c>
      <c r="L113" s="13" t="s">
        <v>1851</v>
      </c>
      <c r="M113" s="17">
        <v>139900</v>
      </c>
      <c r="N113" s="62">
        <v>0.6</v>
      </c>
      <c r="O113" s="12">
        <f t="shared" si="1"/>
        <v>55960</v>
      </c>
      <c r="P113" s="6" t="s">
        <v>3499</v>
      </c>
    </row>
    <row r="114" spans="1:16" x14ac:dyDescent="0.25">
      <c r="A114" s="6" t="s">
        <v>3498</v>
      </c>
      <c r="B114" s="7">
        <v>46121</v>
      </c>
      <c r="C114" s="7">
        <v>46127</v>
      </c>
      <c r="D114" s="6">
        <v>3271</v>
      </c>
      <c r="E114" s="6">
        <v>336</v>
      </c>
      <c r="F114" s="21">
        <v>4</v>
      </c>
      <c r="G114" s="15">
        <v>7</v>
      </c>
      <c r="H114" s="15">
        <v>81683</v>
      </c>
      <c r="I114" s="6" t="s">
        <v>543</v>
      </c>
      <c r="J114" s="27">
        <v>50096369</v>
      </c>
      <c r="K114" s="15" t="s">
        <v>1852</v>
      </c>
      <c r="L114" s="13" t="s">
        <v>1853</v>
      </c>
      <c r="M114" s="17">
        <v>139900</v>
      </c>
      <c r="N114" s="62">
        <v>0.6</v>
      </c>
      <c r="O114" s="12">
        <f t="shared" si="1"/>
        <v>55960</v>
      </c>
      <c r="P114" s="6" t="s">
        <v>3499</v>
      </c>
    </row>
    <row r="115" spans="1:16" x14ac:dyDescent="0.25">
      <c r="A115" s="6" t="s">
        <v>3498</v>
      </c>
      <c r="B115" s="7">
        <v>46121</v>
      </c>
      <c r="C115" s="7">
        <v>46127</v>
      </c>
      <c r="D115" s="6">
        <v>3271</v>
      </c>
      <c r="E115" s="6">
        <v>336</v>
      </c>
      <c r="F115" s="21">
        <v>4</v>
      </c>
      <c r="G115" s="15">
        <v>7</v>
      </c>
      <c r="H115" s="15">
        <v>81683</v>
      </c>
      <c r="I115" s="6" t="s">
        <v>543</v>
      </c>
      <c r="J115" s="27">
        <v>50096378</v>
      </c>
      <c r="K115" s="15" t="s">
        <v>1852</v>
      </c>
      <c r="L115" s="13" t="s">
        <v>1854</v>
      </c>
      <c r="M115" s="17">
        <v>139900</v>
      </c>
      <c r="N115" s="62">
        <v>0.6</v>
      </c>
      <c r="O115" s="12">
        <f t="shared" si="1"/>
        <v>55960</v>
      </c>
      <c r="P115" s="6" t="s">
        <v>3499</v>
      </c>
    </row>
    <row r="116" spans="1:16" x14ac:dyDescent="0.25">
      <c r="A116" s="6" t="s">
        <v>3498</v>
      </c>
      <c r="B116" s="7">
        <v>46121</v>
      </c>
      <c r="C116" s="7">
        <v>46127</v>
      </c>
      <c r="D116" s="6">
        <v>3271</v>
      </c>
      <c r="E116" s="6">
        <v>336</v>
      </c>
      <c r="F116" s="21">
        <v>4</v>
      </c>
      <c r="G116" s="15">
        <v>7</v>
      </c>
      <c r="H116" s="15">
        <v>81683</v>
      </c>
      <c r="I116" s="6" t="s">
        <v>543</v>
      </c>
      <c r="J116" s="27">
        <v>50096387</v>
      </c>
      <c r="K116" s="15" t="s">
        <v>1852</v>
      </c>
      <c r="L116" s="13" t="s">
        <v>1855</v>
      </c>
      <c r="M116" s="17">
        <v>139900</v>
      </c>
      <c r="N116" s="62">
        <v>0.6</v>
      </c>
      <c r="O116" s="12">
        <f t="shared" si="1"/>
        <v>55960</v>
      </c>
      <c r="P116" s="6" t="s">
        <v>3499</v>
      </c>
    </row>
    <row r="117" spans="1:16" x14ac:dyDescent="0.25">
      <c r="A117" s="6" t="s">
        <v>3498</v>
      </c>
      <c r="B117" s="7">
        <v>46121</v>
      </c>
      <c r="C117" s="7">
        <v>46127</v>
      </c>
      <c r="D117" s="6">
        <v>3271</v>
      </c>
      <c r="E117" s="6">
        <v>336</v>
      </c>
      <c r="F117" s="21">
        <v>4</v>
      </c>
      <c r="G117" s="15">
        <v>7</v>
      </c>
      <c r="H117" s="15">
        <v>81683</v>
      </c>
      <c r="I117" s="6" t="s">
        <v>543</v>
      </c>
      <c r="J117" s="27">
        <v>50096396</v>
      </c>
      <c r="K117" s="15" t="s">
        <v>1852</v>
      </c>
      <c r="L117" s="13" t="s">
        <v>1856</v>
      </c>
      <c r="M117" s="17">
        <v>139900</v>
      </c>
      <c r="N117" s="62">
        <v>0.6</v>
      </c>
      <c r="O117" s="12">
        <f t="shared" si="1"/>
        <v>55960</v>
      </c>
      <c r="P117" s="6" t="s">
        <v>3499</v>
      </c>
    </row>
    <row r="118" spans="1:16" x14ac:dyDescent="0.25">
      <c r="A118" s="6" t="s">
        <v>3498</v>
      </c>
      <c r="B118" s="7">
        <v>46121</v>
      </c>
      <c r="C118" s="7">
        <v>46127</v>
      </c>
      <c r="D118" s="6">
        <v>3271</v>
      </c>
      <c r="E118" s="6">
        <v>336</v>
      </c>
      <c r="F118" s="21">
        <v>4</v>
      </c>
      <c r="G118" s="15">
        <v>7</v>
      </c>
      <c r="H118" s="15">
        <v>81683</v>
      </c>
      <c r="I118" s="6" t="s">
        <v>543</v>
      </c>
      <c r="J118" s="27">
        <v>50096403</v>
      </c>
      <c r="K118" s="15" t="s">
        <v>1852</v>
      </c>
      <c r="L118" s="13" t="s">
        <v>1857</v>
      </c>
      <c r="M118" s="17">
        <v>139900</v>
      </c>
      <c r="N118" s="62">
        <v>0.6</v>
      </c>
      <c r="O118" s="12">
        <f t="shared" si="1"/>
        <v>55960</v>
      </c>
      <c r="P118" s="6" t="s">
        <v>3499</v>
      </c>
    </row>
    <row r="119" spans="1:16" x14ac:dyDescent="0.25">
      <c r="A119" s="6" t="s">
        <v>3498</v>
      </c>
      <c r="B119" s="7">
        <v>46121</v>
      </c>
      <c r="C119" s="7">
        <v>46127</v>
      </c>
      <c r="D119" s="6">
        <v>3271</v>
      </c>
      <c r="E119" s="6">
        <v>336</v>
      </c>
      <c r="F119" s="21">
        <v>4</v>
      </c>
      <c r="G119" s="15">
        <v>7</v>
      </c>
      <c r="H119" s="15">
        <v>81683</v>
      </c>
      <c r="I119" s="6" t="s">
        <v>543</v>
      </c>
      <c r="J119" s="27">
        <v>50096412</v>
      </c>
      <c r="K119" s="15" t="s">
        <v>1852</v>
      </c>
      <c r="L119" s="13" t="s">
        <v>1858</v>
      </c>
      <c r="M119" s="17">
        <v>139900</v>
      </c>
      <c r="N119" s="62">
        <v>0.6</v>
      </c>
      <c r="O119" s="12">
        <f t="shared" si="1"/>
        <v>55960</v>
      </c>
      <c r="P119" s="6" t="s">
        <v>3499</v>
      </c>
    </row>
    <row r="120" spans="1:16" x14ac:dyDescent="0.25">
      <c r="A120" s="6" t="s">
        <v>3498</v>
      </c>
      <c r="B120" s="7">
        <v>46121</v>
      </c>
      <c r="C120" s="7">
        <v>46127</v>
      </c>
      <c r="D120" s="6">
        <v>3271</v>
      </c>
      <c r="E120" s="6">
        <v>336</v>
      </c>
      <c r="F120" s="21">
        <v>4</v>
      </c>
      <c r="G120" s="15">
        <v>7</v>
      </c>
      <c r="H120" s="15">
        <v>81683</v>
      </c>
      <c r="I120" s="6" t="s">
        <v>543</v>
      </c>
      <c r="J120" s="27">
        <v>50096421</v>
      </c>
      <c r="K120" s="15" t="s">
        <v>1852</v>
      </c>
      <c r="L120" s="13" t="s">
        <v>1859</v>
      </c>
      <c r="M120" s="17">
        <v>139900</v>
      </c>
      <c r="N120" s="62">
        <v>0.6</v>
      </c>
      <c r="O120" s="12">
        <f t="shared" si="1"/>
        <v>55960</v>
      </c>
      <c r="P120" s="6" t="s">
        <v>3499</v>
      </c>
    </row>
    <row r="121" spans="1:16" x14ac:dyDescent="0.25">
      <c r="A121" s="6" t="s">
        <v>3498</v>
      </c>
      <c r="B121" s="7">
        <v>46121</v>
      </c>
      <c r="C121" s="7">
        <v>46127</v>
      </c>
      <c r="D121" s="6">
        <v>3271</v>
      </c>
      <c r="E121" s="6">
        <v>336</v>
      </c>
      <c r="F121" s="21">
        <v>4</v>
      </c>
      <c r="G121" s="15">
        <v>7</v>
      </c>
      <c r="H121" s="15">
        <v>81683</v>
      </c>
      <c r="I121" s="6" t="s">
        <v>543</v>
      </c>
      <c r="J121" s="27">
        <v>50096430</v>
      </c>
      <c r="K121" s="15" t="s">
        <v>1852</v>
      </c>
      <c r="L121" s="13" t="s">
        <v>1860</v>
      </c>
      <c r="M121" s="17">
        <v>139900</v>
      </c>
      <c r="N121" s="62">
        <v>0.6</v>
      </c>
      <c r="O121" s="12">
        <f t="shared" si="1"/>
        <v>55960</v>
      </c>
      <c r="P121" s="6" t="s">
        <v>3499</v>
      </c>
    </row>
    <row r="122" spans="1:16" x14ac:dyDescent="0.25">
      <c r="A122" s="6" t="s">
        <v>3498</v>
      </c>
      <c r="B122" s="7">
        <v>46121</v>
      </c>
      <c r="C122" s="7">
        <v>46127</v>
      </c>
      <c r="D122" s="6">
        <v>3271</v>
      </c>
      <c r="E122" s="6">
        <v>336</v>
      </c>
      <c r="F122" s="21">
        <v>4</v>
      </c>
      <c r="G122" s="15">
        <v>7</v>
      </c>
      <c r="H122" s="15">
        <v>81683</v>
      </c>
      <c r="I122" s="6" t="s">
        <v>543</v>
      </c>
      <c r="J122" s="27">
        <v>50096449</v>
      </c>
      <c r="K122" s="15" t="s">
        <v>1852</v>
      </c>
      <c r="L122" s="13" t="s">
        <v>1861</v>
      </c>
      <c r="M122" s="17">
        <v>139900</v>
      </c>
      <c r="N122" s="62">
        <v>0.6</v>
      </c>
      <c r="O122" s="12">
        <f t="shared" si="1"/>
        <v>55960</v>
      </c>
      <c r="P122" s="6" t="s">
        <v>3499</v>
      </c>
    </row>
    <row r="123" spans="1:16" x14ac:dyDescent="0.25">
      <c r="A123" s="6" t="s">
        <v>3498</v>
      </c>
      <c r="B123" s="7">
        <v>46121</v>
      </c>
      <c r="C123" s="7">
        <v>46127</v>
      </c>
      <c r="D123" s="6">
        <v>3271</v>
      </c>
      <c r="E123" s="6">
        <v>336</v>
      </c>
      <c r="F123" s="21">
        <v>4</v>
      </c>
      <c r="G123" s="15">
        <v>7</v>
      </c>
      <c r="H123" s="15">
        <v>81683</v>
      </c>
      <c r="I123" s="6" t="s">
        <v>543</v>
      </c>
      <c r="J123" s="27">
        <v>50096458</v>
      </c>
      <c r="K123" s="15" t="s">
        <v>1852</v>
      </c>
      <c r="L123" s="13" t="s">
        <v>1862</v>
      </c>
      <c r="M123" s="17">
        <v>139900</v>
      </c>
      <c r="N123" s="62">
        <v>0.6</v>
      </c>
      <c r="O123" s="12">
        <f t="shared" si="1"/>
        <v>55960</v>
      </c>
      <c r="P123" s="6" t="s">
        <v>3499</v>
      </c>
    </row>
    <row r="124" spans="1:16" x14ac:dyDescent="0.25">
      <c r="A124" s="6" t="s">
        <v>3498</v>
      </c>
      <c r="B124" s="7">
        <v>46121</v>
      </c>
      <c r="C124" s="7">
        <v>46127</v>
      </c>
      <c r="D124" s="6">
        <v>3271</v>
      </c>
      <c r="E124" s="6">
        <v>336</v>
      </c>
      <c r="F124" s="21">
        <v>4</v>
      </c>
      <c r="G124" s="15">
        <v>7</v>
      </c>
      <c r="H124" s="15">
        <v>81683</v>
      </c>
      <c r="I124" s="6" t="s">
        <v>543</v>
      </c>
      <c r="J124" s="27">
        <v>50096467</v>
      </c>
      <c r="K124" s="15" t="s">
        <v>1852</v>
      </c>
      <c r="L124" s="13" t="s">
        <v>1863</v>
      </c>
      <c r="M124" s="17">
        <v>139900</v>
      </c>
      <c r="N124" s="62">
        <v>0.6</v>
      </c>
      <c r="O124" s="12">
        <f t="shared" si="1"/>
        <v>55960</v>
      </c>
      <c r="P124" s="6" t="s">
        <v>3499</v>
      </c>
    </row>
    <row r="125" spans="1:16" x14ac:dyDescent="0.25">
      <c r="A125" s="6" t="s">
        <v>3498</v>
      </c>
      <c r="B125" s="7">
        <v>46121</v>
      </c>
      <c r="C125" s="7">
        <v>46127</v>
      </c>
      <c r="D125" s="6">
        <v>3271</v>
      </c>
      <c r="E125" s="6">
        <v>336</v>
      </c>
      <c r="F125" s="21">
        <v>4</v>
      </c>
      <c r="G125" s="15">
        <v>7</v>
      </c>
      <c r="H125" s="15">
        <v>81683</v>
      </c>
      <c r="I125" s="6" t="s">
        <v>543</v>
      </c>
      <c r="J125" s="27">
        <v>50096476</v>
      </c>
      <c r="K125" s="15" t="s">
        <v>1852</v>
      </c>
      <c r="L125" s="13" t="s">
        <v>1864</v>
      </c>
      <c r="M125" s="17">
        <v>139900</v>
      </c>
      <c r="N125" s="62">
        <v>0.6</v>
      </c>
      <c r="O125" s="12">
        <f t="shared" si="1"/>
        <v>55960</v>
      </c>
      <c r="P125" s="6" t="s">
        <v>3499</v>
      </c>
    </row>
    <row r="126" spans="1:16" x14ac:dyDescent="0.25">
      <c r="A126" s="6" t="s">
        <v>3498</v>
      </c>
      <c r="B126" s="7">
        <v>46121</v>
      </c>
      <c r="C126" s="7">
        <v>46127</v>
      </c>
      <c r="D126" s="6">
        <v>3271</v>
      </c>
      <c r="E126" s="6">
        <v>336</v>
      </c>
      <c r="F126" s="21">
        <v>4</v>
      </c>
      <c r="G126" s="15">
        <v>7</v>
      </c>
      <c r="H126" s="15">
        <v>81683</v>
      </c>
      <c r="I126" s="6" t="s">
        <v>543</v>
      </c>
      <c r="J126" s="27">
        <v>50096485</v>
      </c>
      <c r="K126" s="15" t="s">
        <v>1865</v>
      </c>
      <c r="L126" s="13" t="s">
        <v>1866</v>
      </c>
      <c r="M126" s="17">
        <v>139900</v>
      </c>
      <c r="N126" s="62">
        <v>0.6</v>
      </c>
      <c r="O126" s="12">
        <f t="shared" si="1"/>
        <v>55960</v>
      </c>
      <c r="P126" s="6" t="s">
        <v>3499</v>
      </c>
    </row>
    <row r="127" spans="1:16" x14ac:dyDescent="0.25">
      <c r="A127" s="6" t="s">
        <v>3498</v>
      </c>
      <c r="B127" s="7">
        <v>46121</v>
      </c>
      <c r="C127" s="7">
        <v>46127</v>
      </c>
      <c r="D127" s="6">
        <v>3271</v>
      </c>
      <c r="E127" s="6">
        <v>336</v>
      </c>
      <c r="F127" s="21">
        <v>4</v>
      </c>
      <c r="G127" s="15">
        <v>7</v>
      </c>
      <c r="H127" s="15">
        <v>81683</v>
      </c>
      <c r="I127" s="6" t="s">
        <v>543</v>
      </c>
      <c r="J127" s="27">
        <v>50096494</v>
      </c>
      <c r="K127" s="15" t="s">
        <v>1865</v>
      </c>
      <c r="L127" s="13" t="s">
        <v>1867</v>
      </c>
      <c r="M127" s="17">
        <v>139900</v>
      </c>
      <c r="N127" s="62">
        <v>0.6</v>
      </c>
      <c r="O127" s="12">
        <f t="shared" si="1"/>
        <v>55960</v>
      </c>
      <c r="P127" s="6" t="s">
        <v>3499</v>
      </c>
    </row>
    <row r="128" spans="1:16" x14ac:dyDescent="0.25">
      <c r="A128" s="6" t="s">
        <v>3498</v>
      </c>
      <c r="B128" s="7">
        <v>46121</v>
      </c>
      <c r="C128" s="7">
        <v>46127</v>
      </c>
      <c r="D128" s="6">
        <v>3271</v>
      </c>
      <c r="E128" s="6">
        <v>336</v>
      </c>
      <c r="F128" s="21">
        <v>4</v>
      </c>
      <c r="G128" s="15">
        <v>7</v>
      </c>
      <c r="H128" s="15">
        <v>81683</v>
      </c>
      <c r="I128" s="6" t="s">
        <v>543</v>
      </c>
      <c r="J128" s="27">
        <v>50096501</v>
      </c>
      <c r="K128" s="15" t="s">
        <v>1865</v>
      </c>
      <c r="L128" s="13" t="s">
        <v>1868</v>
      </c>
      <c r="M128" s="17">
        <v>139900</v>
      </c>
      <c r="N128" s="62">
        <v>0.6</v>
      </c>
      <c r="O128" s="12">
        <f t="shared" si="1"/>
        <v>55960</v>
      </c>
      <c r="P128" s="6" t="s">
        <v>3499</v>
      </c>
    </row>
    <row r="129" spans="1:16" x14ac:dyDescent="0.25">
      <c r="A129" s="6" t="s">
        <v>3498</v>
      </c>
      <c r="B129" s="7">
        <v>46121</v>
      </c>
      <c r="C129" s="7">
        <v>46127</v>
      </c>
      <c r="D129" s="6">
        <v>3271</v>
      </c>
      <c r="E129" s="6">
        <v>336</v>
      </c>
      <c r="F129" s="21">
        <v>4</v>
      </c>
      <c r="G129" s="15">
        <v>7</v>
      </c>
      <c r="H129" s="15">
        <v>81683</v>
      </c>
      <c r="I129" s="6" t="s">
        <v>543</v>
      </c>
      <c r="J129" s="27">
        <v>50096510</v>
      </c>
      <c r="K129" s="15" t="s">
        <v>1865</v>
      </c>
      <c r="L129" s="13" t="s">
        <v>1869</v>
      </c>
      <c r="M129" s="17">
        <v>139900</v>
      </c>
      <c r="N129" s="62">
        <v>0.6</v>
      </c>
      <c r="O129" s="12">
        <f t="shared" si="1"/>
        <v>55960</v>
      </c>
      <c r="P129" s="6" t="s">
        <v>3499</v>
      </c>
    </row>
    <row r="130" spans="1:16" x14ac:dyDescent="0.25">
      <c r="A130" s="6" t="s">
        <v>3498</v>
      </c>
      <c r="B130" s="7">
        <v>46121</v>
      </c>
      <c r="C130" s="7">
        <v>46127</v>
      </c>
      <c r="D130" s="6">
        <v>3271</v>
      </c>
      <c r="E130" s="6">
        <v>336</v>
      </c>
      <c r="F130" s="21">
        <v>4</v>
      </c>
      <c r="G130" s="15">
        <v>7</v>
      </c>
      <c r="H130" s="15">
        <v>81683</v>
      </c>
      <c r="I130" s="6" t="s">
        <v>543</v>
      </c>
      <c r="J130" s="27">
        <v>50096529</v>
      </c>
      <c r="K130" s="15" t="s">
        <v>1865</v>
      </c>
      <c r="L130" s="13" t="s">
        <v>1870</v>
      </c>
      <c r="M130" s="17">
        <v>139900</v>
      </c>
      <c r="N130" s="62">
        <v>0.6</v>
      </c>
      <c r="O130" s="12">
        <f t="shared" si="1"/>
        <v>55960</v>
      </c>
      <c r="P130" s="6" t="s">
        <v>3499</v>
      </c>
    </row>
    <row r="131" spans="1:16" x14ac:dyDescent="0.25">
      <c r="A131" s="6" t="s">
        <v>3498</v>
      </c>
      <c r="B131" s="7">
        <v>46121</v>
      </c>
      <c r="C131" s="7">
        <v>46127</v>
      </c>
      <c r="D131" s="6">
        <v>3271</v>
      </c>
      <c r="E131" s="6">
        <v>336</v>
      </c>
      <c r="F131" s="21">
        <v>4</v>
      </c>
      <c r="G131" s="15">
        <v>7</v>
      </c>
      <c r="H131" s="15">
        <v>81683</v>
      </c>
      <c r="I131" s="6" t="s">
        <v>543</v>
      </c>
      <c r="J131" s="27">
        <v>50096538</v>
      </c>
      <c r="K131" s="15" t="s">
        <v>1865</v>
      </c>
      <c r="L131" s="13" t="s">
        <v>1871</v>
      </c>
      <c r="M131" s="17">
        <v>139900</v>
      </c>
      <c r="N131" s="62">
        <v>0.6</v>
      </c>
      <c r="O131" s="12">
        <f t="shared" ref="O131:O194" si="2">M131-((60*M131)/100)</f>
        <v>55960</v>
      </c>
      <c r="P131" s="6" t="s">
        <v>3499</v>
      </c>
    </row>
    <row r="132" spans="1:16" x14ac:dyDescent="0.25">
      <c r="A132" s="6" t="s">
        <v>3498</v>
      </c>
      <c r="B132" s="7">
        <v>46121</v>
      </c>
      <c r="C132" s="7">
        <v>46127</v>
      </c>
      <c r="D132" s="6">
        <v>3271</v>
      </c>
      <c r="E132" s="6">
        <v>336</v>
      </c>
      <c r="F132" s="21">
        <v>4</v>
      </c>
      <c r="G132" s="15">
        <v>7</v>
      </c>
      <c r="H132" s="15">
        <v>81683</v>
      </c>
      <c r="I132" s="6" t="s">
        <v>543</v>
      </c>
      <c r="J132" s="27">
        <v>50096547</v>
      </c>
      <c r="K132" s="15" t="s">
        <v>1865</v>
      </c>
      <c r="L132" s="13" t="s">
        <v>1872</v>
      </c>
      <c r="M132" s="17">
        <v>139900</v>
      </c>
      <c r="N132" s="62">
        <v>0.6</v>
      </c>
      <c r="O132" s="12">
        <f t="shared" si="2"/>
        <v>55960</v>
      </c>
      <c r="P132" s="6" t="s">
        <v>3499</v>
      </c>
    </row>
    <row r="133" spans="1:16" x14ac:dyDescent="0.25">
      <c r="A133" s="6" t="s">
        <v>3498</v>
      </c>
      <c r="B133" s="7">
        <v>46121</v>
      </c>
      <c r="C133" s="7">
        <v>46127</v>
      </c>
      <c r="D133" s="6">
        <v>3271</v>
      </c>
      <c r="E133" s="6">
        <v>336</v>
      </c>
      <c r="F133" s="21">
        <v>4</v>
      </c>
      <c r="G133" s="15">
        <v>7</v>
      </c>
      <c r="H133" s="15">
        <v>81683</v>
      </c>
      <c r="I133" s="6" t="s">
        <v>543</v>
      </c>
      <c r="J133" s="27">
        <v>50096556</v>
      </c>
      <c r="K133" s="15" t="s">
        <v>1865</v>
      </c>
      <c r="L133" s="13" t="s">
        <v>1873</v>
      </c>
      <c r="M133" s="17">
        <v>139900</v>
      </c>
      <c r="N133" s="62">
        <v>0.6</v>
      </c>
      <c r="O133" s="12">
        <f t="shared" si="2"/>
        <v>55960</v>
      </c>
      <c r="P133" s="6" t="s">
        <v>3499</v>
      </c>
    </row>
    <row r="134" spans="1:16" x14ac:dyDescent="0.25">
      <c r="A134" s="6" t="s">
        <v>3498</v>
      </c>
      <c r="B134" s="7">
        <v>46121</v>
      </c>
      <c r="C134" s="7">
        <v>46127</v>
      </c>
      <c r="D134" s="6">
        <v>3271</v>
      </c>
      <c r="E134" s="6">
        <v>336</v>
      </c>
      <c r="F134" s="21">
        <v>4</v>
      </c>
      <c r="G134" s="15">
        <v>7</v>
      </c>
      <c r="H134" s="15">
        <v>81683</v>
      </c>
      <c r="I134" s="6" t="s">
        <v>543</v>
      </c>
      <c r="J134" s="27">
        <v>50096565</v>
      </c>
      <c r="K134" s="15" t="s">
        <v>1865</v>
      </c>
      <c r="L134" s="13" t="s">
        <v>1874</v>
      </c>
      <c r="M134" s="17">
        <v>139900</v>
      </c>
      <c r="N134" s="62">
        <v>0.6</v>
      </c>
      <c r="O134" s="12">
        <f t="shared" si="2"/>
        <v>55960</v>
      </c>
      <c r="P134" s="6" t="s">
        <v>3499</v>
      </c>
    </row>
    <row r="135" spans="1:16" x14ac:dyDescent="0.25">
      <c r="A135" s="6" t="s">
        <v>3498</v>
      </c>
      <c r="B135" s="7">
        <v>46121</v>
      </c>
      <c r="C135" s="7">
        <v>46127</v>
      </c>
      <c r="D135" s="6">
        <v>3271</v>
      </c>
      <c r="E135" s="6">
        <v>336</v>
      </c>
      <c r="F135" s="21">
        <v>4</v>
      </c>
      <c r="G135" s="15">
        <v>7</v>
      </c>
      <c r="H135" s="15">
        <v>81683</v>
      </c>
      <c r="I135" s="6" t="s">
        <v>543</v>
      </c>
      <c r="J135" s="27">
        <v>50096574</v>
      </c>
      <c r="K135" s="15" t="s">
        <v>1865</v>
      </c>
      <c r="L135" s="13" t="s">
        <v>1875</v>
      </c>
      <c r="M135" s="17">
        <v>139900</v>
      </c>
      <c r="N135" s="62">
        <v>0.6</v>
      </c>
      <c r="O135" s="12">
        <f t="shared" si="2"/>
        <v>55960</v>
      </c>
      <c r="P135" s="6" t="s">
        <v>3499</v>
      </c>
    </row>
    <row r="136" spans="1:16" x14ac:dyDescent="0.25">
      <c r="A136" s="6" t="s">
        <v>3498</v>
      </c>
      <c r="B136" s="7">
        <v>46121</v>
      </c>
      <c r="C136" s="7">
        <v>46127</v>
      </c>
      <c r="D136" s="6">
        <v>3271</v>
      </c>
      <c r="E136" s="6">
        <v>336</v>
      </c>
      <c r="F136" s="21">
        <v>4</v>
      </c>
      <c r="G136" s="15">
        <v>7</v>
      </c>
      <c r="H136" s="15">
        <v>81683</v>
      </c>
      <c r="I136" s="6" t="s">
        <v>543</v>
      </c>
      <c r="J136" s="27">
        <v>50096583</v>
      </c>
      <c r="K136" s="15" t="s">
        <v>1865</v>
      </c>
      <c r="L136" s="13" t="s">
        <v>1876</v>
      </c>
      <c r="M136" s="17">
        <v>139900</v>
      </c>
      <c r="N136" s="62">
        <v>0.6</v>
      </c>
      <c r="O136" s="12">
        <f t="shared" si="2"/>
        <v>55960</v>
      </c>
      <c r="P136" s="6" t="s">
        <v>3499</v>
      </c>
    </row>
    <row r="137" spans="1:16" x14ac:dyDescent="0.25">
      <c r="A137" s="6" t="s">
        <v>3498</v>
      </c>
      <c r="B137" s="7">
        <v>46121</v>
      </c>
      <c r="C137" s="7">
        <v>46127</v>
      </c>
      <c r="D137" s="6">
        <v>3271</v>
      </c>
      <c r="E137" s="6">
        <v>336</v>
      </c>
      <c r="F137" s="21">
        <v>4</v>
      </c>
      <c r="G137" s="15">
        <v>7</v>
      </c>
      <c r="H137" s="15">
        <v>81683</v>
      </c>
      <c r="I137" s="6" t="s">
        <v>543</v>
      </c>
      <c r="J137" s="27">
        <v>50096592</v>
      </c>
      <c r="K137" s="15" t="s">
        <v>1865</v>
      </c>
      <c r="L137" s="13" t="s">
        <v>1877</v>
      </c>
      <c r="M137" s="17">
        <v>139900</v>
      </c>
      <c r="N137" s="62">
        <v>0.6</v>
      </c>
      <c r="O137" s="12">
        <f t="shared" si="2"/>
        <v>55960</v>
      </c>
      <c r="P137" s="6" t="s">
        <v>3499</v>
      </c>
    </row>
    <row r="138" spans="1:16" x14ac:dyDescent="0.25">
      <c r="A138" s="6" t="s">
        <v>3498</v>
      </c>
      <c r="B138" s="7">
        <v>46121</v>
      </c>
      <c r="C138" s="7">
        <v>46127</v>
      </c>
      <c r="D138" s="6">
        <v>3271</v>
      </c>
      <c r="E138" s="6">
        <v>336</v>
      </c>
      <c r="F138" s="21">
        <v>4</v>
      </c>
      <c r="G138" s="15">
        <v>7</v>
      </c>
      <c r="H138" s="15">
        <v>81683</v>
      </c>
      <c r="I138" s="6" t="s">
        <v>543</v>
      </c>
      <c r="J138" s="27">
        <v>16839497</v>
      </c>
      <c r="K138" s="15" t="s">
        <v>1238</v>
      </c>
      <c r="L138" s="13" t="s">
        <v>1878</v>
      </c>
      <c r="M138" s="17">
        <v>139900</v>
      </c>
      <c r="N138" s="62">
        <v>0.6</v>
      </c>
      <c r="O138" s="12">
        <f t="shared" si="2"/>
        <v>55960</v>
      </c>
      <c r="P138" s="6" t="s">
        <v>3499</v>
      </c>
    </row>
    <row r="139" spans="1:16" x14ac:dyDescent="0.25">
      <c r="A139" s="6" t="s">
        <v>3498</v>
      </c>
      <c r="B139" s="7">
        <v>46121</v>
      </c>
      <c r="C139" s="7">
        <v>46127</v>
      </c>
      <c r="D139" s="6">
        <v>3271</v>
      </c>
      <c r="E139" s="6">
        <v>336</v>
      </c>
      <c r="F139" s="21">
        <v>4</v>
      </c>
      <c r="G139" s="15">
        <v>7</v>
      </c>
      <c r="H139" s="15">
        <v>81683</v>
      </c>
      <c r="I139" s="6" t="s">
        <v>543</v>
      </c>
      <c r="J139" s="27">
        <v>16839504</v>
      </c>
      <c r="K139" s="15" t="s">
        <v>1238</v>
      </c>
      <c r="L139" s="13" t="s">
        <v>1879</v>
      </c>
      <c r="M139" s="17">
        <v>139900</v>
      </c>
      <c r="N139" s="62">
        <v>0.6</v>
      </c>
      <c r="O139" s="12">
        <f t="shared" si="2"/>
        <v>55960</v>
      </c>
      <c r="P139" s="6" t="s">
        <v>3499</v>
      </c>
    </row>
    <row r="140" spans="1:16" x14ac:dyDescent="0.25">
      <c r="A140" s="6" t="s">
        <v>3498</v>
      </c>
      <c r="B140" s="7">
        <v>46121</v>
      </c>
      <c r="C140" s="7">
        <v>46127</v>
      </c>
      <c r="D140" s="6">
        <v>3271</v>
      </c>
      <c r="E140" s="6">
        <v>336</v>
      </c>
      <c r="F140" s="21">
        <v>4</v>
      </c>
      <c r="G140" s="15">
        <v>7</v>
      </c>
      <c r="H140" s="15">
        <v>81683</v>
      </c>
      <c r="I140" s="6" t="s">
        <v>543</v>
      </c>
      <c r="J140" s="27">
        <v>16839513</v>
      </c>
      <c r="K140" s="15" t="s">
        <v>1238</v>
      </c>
      <c r="L140" s="13" t="s">
        <v>1880</v>
      </c>
      <c r="M140" s="17">
        <v>139900</v>
      </c>
      <c r="N140" s="62">
        <v>0.6</v>
      </c>
      <c r="O140" s="12">
        <f t="shared" si="2"/>
        <v>55960</v>
      </c>
      <c r="P140" s="6" t="s">
        <v>3499</v>
      </c>
    </row>
    <row r="141" spans="1:16" x14ac:dyDescent="0.25">
      <c r="A141" s="6" t="s">
        <v>3498</v>
      </c>
      <c r="B141" s="7">
        <v>46121</v>
      </c>
      <c r="C141" s="7">
        <v>46127</v>
      </c>
      <c r="D141" s="6">
        <v>3271</v>
      </c>
      <c r="E141" s="6">
        <v>336</v>
      </c>
      <c r="F141" s="21">
        <v>4</v>
      </c>
      <c r="G141" s="15">
        <v>7</v>
      </c>
      <c r="H141" s="15">
        <v>81683</v>
      </c>
      <c r="I141" s="6" t="s">
        <v>543</v>
      </c>
      <c r="J141" s="27">
        <v>16839522</v>
      </c>
      <c r="K141" s="15" t="s">
        <v>1238</v>
      </c>
      <c r="L141" s="13" t="s">
        <v>1881</v>
      </c>
      <c r="M141" s="17">
        <v>139900</v>
      </c>
      <c r="N141" s="62">
        <v>0.6</v>
      </c>
      <c r="O141" s="12">
        <f t="shared" si="2"/>
        <v>55960</v>
      </c>
      <c r="P141" s="6" t="s">
        <v>3499</v>
      </c>
    </row>
    <row r="142" spans="1:16" x14ac:dyDescent="0.25">
      <c r="A142" s="6" t="s">
        <v>3498</v>
      </c>
      <c r="B142" s="7">
        <v>46121</v>
      </c>
      <c r="C142" s="7">
        <v>46127</v>
      </c>
      <c r="D142" s="6">
        <v>3271</v>
      </c>
      <c r="E142" s="6">
        <v>336</v>
      </c>
      <c r="F142" s="21">
        <v>4</v>
      </c>
      <c r="G142" s="15">
        <v>7</v>
      </c>
      <c r="H142" s="15">
        <v>81683</v>
      </c>
      <c r="I142" s="6" t="s">
        <v>543</v>
      </c>
      <c r="J142" s="27">
        <v>16839531</v>
      </c>
      <c r="K142" s="15" t="s">
        <v>1238</v>
      </c>
      <c r="L142" s="13" t="s">
        <v>1882</v>
      </c>
      <c r="M142" s="17">
        <v>139900</v>
      </c>
      <c r="N142" s="62">
        <v>0.6</v>
      </c>
      <c r="O142" s="12">
        <f t="shared" si="2"/>
        <v>55960</v>
      </c>
      <c r="P142" s="6" t="s">
        <v>3499</v>
      </c>
    </row>
    <row r="143" spans="1:16" x14ac:dyDescent="0.25">
      <c r="A143" s="6" t="s">
        <v>3498</v>
      </c>
      <c r="B143" s="7">
        <v>46121</v>
      </c>
      <c r="C143" s="7">
        <v>46127</v>
      </c>
      <c r="D143" s="6">
        <v>3271</v>
      </c>
      <c r="E143" s="6">
        <v>336</v>
      </c>
      <c r="F143" s="21">
        <v>4</v>
      </c>
      <c r="G143" s="15">
        <v>7</v>
      </c>
      <c r="H143" s="15">
        <v>81683</v>
      </c>
      <c r="I143" s="6" t="s">
        <v>543</v>
      </c>
      <c r="J143" s="27">
        <v>16839540</v>
      </c>
      <c r="K143" s="15" t="s">
        <v>1238</v>
      </c>
      <c r="L143" s="13" t="s">
        <v>1883</v>
      </c>
      <c r="M143" s="17">
        <v>139900</v>
      </c>
      <c r="N143" s="62">
        <v>0.6</v>
      </c>
      <c r="O143" s="12">
        <f t="shared" si="2"/>
        <v>55960</v>
      </c>
      <c r="P143" s="6" t="s">
        <v>3499</v>
      </c>
    </row>
    <row r="144" spans="1:16" x14ac:dyDescent="0.25">
      <c r="A144" s="6" t="s">
        <v>3498</v>
      </c>
      <c r="B144" s="7">
        <v>46121</v>
      </c>
      <c r="C144" s="7">
        <v>46127</v>
      </c>
      <c r="D144" s="6">
        <v>3271</v>
      </c>
      <c r="E144" s="6">
        <v>336</v>
      </c>
      <c r="F144" s="21">
        <v>4</v>
      </c>
      <c r="G144" s="15">
        <v>7</v>
      </c>
      <c r="H144" s="15">
        <v>81683</v>
      </c>
      <c r="I144" s="6" t="s">
        <v>543</v>
      </c>
      <c r="J144" s="27">
        <v>16839559</v>
      </c>
      <c r="K144" s="15" t="s">
        <v>1238</v>
      </c>
      <c r="L144" s="13" t="s">
        <v>1884</v>
      </c>
      <c r="M144" s="17">
        <v>139900</v>
      </c>
      <c r="N144" s="62">
        <v>0.6</v>
      </c>
      <c r="O144" s="12">
        <f t="shared" si="2"/>
        <v>55960</v>
      </c>
      <c r="P144" s="6" t="s">
        <v>3499</v>
      </c>
    </row>
    <row r="145" spans="1:16" x14ac:dyDescent="0.25">
      <c r="A145" s="6" t="s">
        <v>3498</v>
      </c>
      <c r="B145" s="7">
        <v>46121</v>
      </c>
      <c r="C145" s="7">
        <v>46127</v>
      </c>
      <c r="D145" s="6">
        <v>3271</v>
      </c>
      <c r="E145" s="6">
        <v>336</v>
      </c>
      <c r="F145" s="21">
        <v>4</v>
      </c>
      <c r="G145" s="15">
        <v>7</v>
      </c>
      <c r="H145" s="15">
        <v>81683</v>
      </c>
      <c r="I145" s="6" t="s">
        <v>543</v>
      </c>
      <c r="J145" s="27">
        <v>16839568</v>
      </c>
      <c r="K145" s="15" t="s">
        <v>1238</v>
      </c>
      <c r="L145" s="13" t="s">
        <v>1885</v>
      </c>
      <c r="M145" s="17">
        <v>139900</v>
      </c>
      <c r="N145" s="62">
        <v>0.6</v>
      </c>
      <c r="O145" s="12">
        <f t="shared" si="2"/>
        <v>55960</v>
      </c>
      <c r="P145" s="6" t="s">
        <v>3499</v>
      </c>
    </row>
    <row r="146" spans="1:16" x14ac:dyDescent="0.25">
      <c r="A146" s="6" t="s">
        <v>3498</v>
      </c>
      <c r="B146" s="7">
        <v>46121</v>
      </c>
      <c r="C146" s="7">
        <v>46127</v>
      </c>
      <c r="D146" s="6">
        <v>3271</v>
      </c>
      <c r="E146" s="6">
        <v>336</v>
      </c>
      <c r="F146" s="21">
        <v>4</v>
      </c>
      <c r="G146" s="15">
        <v>7</v>
      </c>
      <c r="H146" s="15">
        <v>81683</v>
      </c>
      <c r="I146" s="6" t="s">
        <v>543</v>
      </c>
      <c r="J146" s="27">
        <v>16839577</v>
      </c>
      <c r="K146" s="15" t="s">
        <v>1238</v>
      </c>
      <c r="L146" s="13" t="s">
        <v>1886</v>
      </c>
      <c r="M146" s="17">
        <v>139900</v>
      </c>
      <c r="N146" s="62">
        <v>0.6</v>
      </c>
      <c r="O146" s="12">
        <f t="shared" si="2"/>
        <v>55960</v>
      </c>
      <c r="P146" s="6" t="s">
        <v>3499</v>
      </c>
    </row>
    <row r="147" spans="1:16" x14ac:dyDescent="0.25">
      <c r="A147" s="6" t="s">
        <v>3498</v>
      </c>
      <c r="B147" s="7">
        <v>46121</v>
      </c>
      <c r="C147" s="7">
        <v>46127</v>
      </c>
      <c r="D147" s="6">
        <v>3271</v>
      </c>
      <c r="E147" s="6">
        <v>336</v>
      </c>
      <c r="F147" s="21">
        <v>4</v>
      </c>
      <c r="G147" s="15">
        <v>7</v>
      </c>
      <c r="H147" s="15">
        <v>81683</v>
      </c>
      <c r="I147" s="6" t="s">
        <v>543</v>
      </c>
      <c r="J147" s="27">
        <v>16839586</v>
      </c>
      <c r="K147" s="15" t="s">
        <v>1238</v>
      </c>
      <c r="L147" s="13" t="s">
        <v>1887</v>
      </c>
      <c r="M147" s="17">
        <v>139900</v>
      </c>
      <c r="N147" s="62">
        <v>0.6</v>
      </c>
      <c r="O147" s="12">
        <f t="shared" si="2"/>
        <v>55960</v>
      </c>
      <c r="P147" s="6" t="s">
        <v>3499</v>
      </c>
    </row>
    <row r="148" spans="1:16" x14ac:dyDescent="0.25">
      <c r="A148" s="6" t="s">
        <v>3498</v>
      </c>
      <c r="B148" s="7">
        <v>46121</v>
      </c>
      <c r="C148" s="7">
        <v>46127</v>
      </c>
      <c r="D148" s="6">
        <v>3271</v>
      </c>
      <c r="E148" s="6">
        <v>336</v>
      </c>
      <c r="F148" s="21">
        <v>4</v>
      </c>
      <c r="G148" s="15">
        <v>7</v>
      </c>
      <c r="H148" s="15">
        <v>81683</v>
      </c>
      <c r="I148" s="6" t="s">
        <v>543</v>
      </c>
      <c r="J148" s="27">
        <v>16839595</v>
      </c>
      <c r="K148" s="15" t="s">
        <v>1238</v>
      </c>
      <c r="L148" s="13" t="s">
        <v>1888</v>
      </c>
      <c r="M148" s="17">
        <v>139900</v>
      </c>
      <c r="N148" s="62">
        <v>0.6</v>
      </c>
      <c r="O148" s="12">
        <f t="shared" si="2"/>
        <v>55960</v>
      </c>
      <c r="P148" s="6" t="s">
        <v>3499</v>
      </c>
    </row>
    <row r="149" spans="1:16" x14ac:dyDescent="0.25">
      <c r="A149" s="6" t="s">
        <v>3498</v>
      </c>
      <c r="B149" s="7">
        <v>46121</v>
      </c>
      <c r="C149" s="7">
        <v>46127</v>
      </c>
      <c r="D149" s="6">
        <v>3271</v>
      </c>
      <c r="E149" s="6">
        <v>336</v>
      </c>
      <c r="F149" s="21">
        <v>4</v>
      </c>
      <c r="G149" s="15">
        <v>7</v>
      </c>
      <c r="H149" s="15">
        <v>81683</v>
      </c>
      <c r="I149" s="6" t="s">
        <v>543</v>
      </c>
      <c r="J149" s="27">
        <v>16839602</v>
      </c>
      <c r="K149" s="15" t="s">
        <v>1238</v>
      </c>
      <c r="L149" s="13" t="s">
        <v>1889</v>
      </c>
      <c r="M149" s="17">
        <v>139900</v>
      </c>
      <c r="N149" s="62">
        <v>0.6</v>
      </c>
      <c r="O149" s="12">
        <f t="shared" si="2"/>
        <v>55960</v>
      </c>
      <c r="P149" s="6" t="s">
        <v>3499</v>
      </c>
    </row>
    <row r="150" spans="1:16" x14ac:dyDescent="0.25">
      <c r="A150" s="6" t="s">
        <v>3498</v>
      </c>
      <c r="B150" s="7">
        <v>46121</v>
      </c>
      <c r="C150" s="7">
        <v>46127</v>
      </c>
      <c r="D150" s="6">
        <v>3271</v>
      </c>
      <c r="E150" s="6">
        <v>336</v>
      </c>
      <c r="F150" s="21">
        <v>4</v>
      </c>
      <c r="G150" s="15">
        <v>4</v>
      </c>
      <c r="H150" s="15">
        <v>81683</v>
      </c>
      <c r="I150" s="6" t="s">
        <v>543</v>
      </c>
      <c r="J150" s="27">
        <v>50130231</v>
      </c>
      <c r="K150" s="15" t="s">
        <v>1890</v>
      </c>
      <c r="L150" s="13" t="s">
        <v>1891</v>
      </c>
      <c r="M150" s="17">
        <v>169900</v>
      </c>
      <c r="N150" s="62">
        <v>0.6</v>
      </c>
      <c r="O150" s="12">
        <f t="shared" si="2"/>
        <v>67960</v>
      </c>
      <c r="P150" s="6" t="s">
        <v>3499</v>
      </c>
    </row>
    <row r="151" spans="1:16" x14ac:dyDescent="0.25">
      <c r="A151" s="6" t="s">
        <v>3498</v>
      </c>
      <c r="B151" s="7">
        <v>46121</v>
      </c>
      <c r="C151" s="7">
        <v>46127</v>
      </c>
      <c r="D151" s="6">
        <v>3271</v>
      </c>
      <c r="E151" s="6">
        <v>336</v>
      </c>
      <c r="F151" s="21">
        <v>4</v>
      </c>
      <c r="G151" s="15">
        <v>4</v>
      </c>
      <c r="H151" s="15">
        <v>81683</v>
      </c>
      <c r="I151" s="6" t="s">
        <v>543</v>
      </c>
      <c r="J151" s="27">
        <v>50130240</v>
      </c>
      <c r="K151" s="15" t="s">
        <v>1890</v>
      </c>
      <c r="L151" s="13" t="s">
        <v>1891</v>
      </c>
      <c r="M151" s="17">
        <v>169900</v>
      </c>
      <c r="N151" s="62">
        <v>0.6</v>
      </c>
      <c r="O151" s="12">
        <f t="shared" si="2"/>
        <v>67960</v>
      </c>
      <c r="P151" s="6" t="s">
        <v>3499</v>
      </c>
    </row>
    <row r="152" spans="1:16" x14ac:dyDescent="0.25">
      <c r="A152" s="6" t="s">
        <v>3498</v>
      </c>
      <c r="B152" s="7">
        <v>46121</v>
      </c>
      <c r="C152" s="7">
        <v>46127</v>
      </c>
      <c r="D152" s="6">
        <v>3271</v>
      </c>
      <c r="E152" s="6">
        <v>336</v>
      </c>
      <c r="F152" s="21">
        <v>4</v>
      </c>
      <c r="G152" s="15">
        <v>4</v>
      </c>
      <c r="H152" s="15">
        <v>81683</v>
      </c>
      <c r="I152" s="6" t="s">
        <v>543</v>
      </c>
      <c r="J152" s="27">
        <v>50130259</v>
      </c>
      <c r="K152" s="15" t="s">
        <v>1890</v>
      </c>
      <c r="L152" s="13" t="s">
        <v>1892</v>
      </c>
      <c r="M152" s="17">
        <v>169900</v>
      </c>
      <c r="N152" s="62">
        <v>0.6</v>
      </c>
      <c r="O152" s="12">
        <f t="shared" si="2"/>
        <v>67960</v>
      </c>
      <c r="P152" s="6" t="s">
        <v>3499</v>
      </c>
    </row>
    <row r="153" spans="1:16" x14ac:dyDescent="0.25">
      <c r="A153" s="6" t="s">
        <v>3498</v>
      </c>
      <c r="B153" s="7">
        <v>46121</v>
      </c>
      <c r="C153" s="7">
        <v>46127</v>
      </c>
      <c r="D153" s="6">
        <v>3271</v>
      </c>
      <c r="E153" s="6">
        <v>336</v>
      </c>
      <c r="F153" s="21">
        <v>4</v>
      </c>
      <c r="G153" s="15">
        <v>4</v>
      </c>
      <c r="H153" s="15">
        <v>81683</v>
      </c>
      <c r="I153" s="6" t="s">
        <v>543</v>
      </c>
      <c r="J153" s="27">
        <v>50130268</v>
      </c>
      <c r="K153" s="15" t="s">
        <v>1890</v>
      </c>
      <c r="L153" s="13" t="s">
        <v>1893</v>
      </c>
      <c r="M153" s="17">
        <v>169900</v>
      </c>
      <c r="N153" s="62">
        <v>0.6</v>
      </c>
      <c r="O153" s="12">
        <f t="shared" si="2"/>
        <v>67960</v>
      </c>
      <c r="P153" s="6" t="s">
        <v>3499</v>
      </c>
    </row>
    <row r="154" spans="1:16" x14ac:dyDescent="0.25">
      <c r="A154" s="6" t="s">
        <v>3498</v>
      </c>
      <c r="B154" s="7">
        <v>46121</v>
      </c>
      <c r="C154" s="7">
        <v>46127</v>
      </c>
      <c r="D154" s="6">
        <v>3271</v>
      </c>
      <c r="E154" s="6">
        <v>336</v>
      </c>
      <c r="F154" s="21">
        <v>4</v>
      </c>
      <c r="G154" s="15">
        <v>4</v>
      </c>
      <c r="H154" s="15">
        <v>81683</v>
      </c>
      <c r="I154" s="6" t="s">
        <v>543</v>
      </c>
      <c r="J154" s="27">
        <v>50130277</v>
      </c>
      <c r="K154" s="15" t="s">
        <v>1890</v>
      </c>
      <c r="L154" s="13" t="s">
        <v>1894</v>
      </c>
      <c r="M154" s="17">
        <v>169900</v>
      </c>
      <c r="N154" s="62">
        <v>0.6</v>
      </c>
      <c r="O154" s="12">
        <f t="shared" si="2"/>
        <v>67960</v>
      </c>
      <c r="P154" s="6" t="s">
        <v>3499</v>
      </c>
    </row>
    <row r="155" spans="1:16" x14ac:dyDescent="0.25">
      <c r="A155" s="6" t="s">
        <v>3498</v>
      </c>
      <c r="B155" s="7">
        <v>46121</v>
      </c>
      <c r="C155" s="7">
        <v>46127</v>
      </c>
      <c r="D155" s="6">
        <v>3271</v>
      </c>
      <c r="E155" s="6">
        <v>336</v>
      </c>
      <c r="F155" s="21">
        <v>4</v>
      </c>
      <c r="G155" s="15">
        <v>4</v>
      </c>
      <c r="H155" s="15">
        <v>81683</v>
      </c>
      <c r="I155" s="6" t="s">
        <v>543</v>
      </c>
      <c r="J155" s="27">
        <v>50130286</v>
      </c>
      <c r="K155" s="15" t="s">
        <v>1890</v>
      </c>
      <c r="L155" s="13" t="s">
        <v>1895</v>
      </c>
      <c r="M155" s="17">
        <v>169900</v>
      </c>
      <c r="N155" s="62">
        <v>0.6</v>
      </c>
      <c r="O155" s="12">
        <f t="shared" si="2"/>
        <v>67960</v>
      </c>
      <c r="P155" s="6" t="s">
        <v>3499</v>
      </c>
    </row>
    <row r="156" spans="1:16" x14ac:dyDescent="0.25">
      <c r="A156" s="6" t="s">
        <v>3498</v>
      </c>
      <c r="B156" s="7">
        <v>46121</v>
      </c>
      <c r="C156" s="7">
        <v>46127</v>
      </c>
      <c r="D156" s="6">
        <v>3271</v>
      </c>
      <c r="E156" s="6">
        <v>336</v>
      </c>
      <c r="F156" s="21">
        <v>4</v>
      </c>
      <c r="G156" s="15">
        <v>4</v>
      </c>
      <c r="H156" s="15">
        <v>81683</v>
      </c>
      <c r="I156" s="6" t="s">
        <v>543</v>
      </c>
      <c r="J156" s="27">
        <v>50130295</v>
      </c>
      <c r="K156" s="15" t="s">
        <v>1890</v>
      </c>
      <c r="L156" s="13" t="s">
        <v>1896</v>
      </c>
      <c r="M156" s="17">
        <v>169900</v>
      </c>
      <c r="N156" s="62">
        <v>0.6</v>
      </c>
      <c r="O156" s="12">
        <f t="shared" si="2"/>
        <v>67960</v>
      </c>
      <c r="P156" s="6" t="s">
        <v>3499</v>
      </c>
    </row>
    <row r="157" spans="1:16" x14ac:dyDescent="0.25">
      <c r="A157" s="6" t="s">
        <v>3498</v>
      </c>
      <c r="B157" s="7">
        <v>46121</v>
      </c>
      <c r="C157" s="7">
        <v>46127</v>
      </c>
      <c r="D157" s="6">
        <v>3271</v>
      </c>
      <c r="E157" s="6">
        <v>336</v>
      </c>
      <c r="F157" s="21">
        <v>4</v>
      </c>
      <c r="G157" s="15">
        <v>4</v>
      </c>
      <c r="H157" s="15">
        <v>81683</v>
      </c>
      <c r="I157" s="6" t="s">
        <v>543</v>
      </c>
      <c r="J157" s="27">
        <v>50130302</v>
      </c>
      <c r="K157" s="15" t="s">
        <v>1890</v>
      </c>
      <c r="L157" s="13" t="s">
        <v>1897</v>
      </c>
      <c r="M157" s="17">
        <v>169900</v>
      </c>
      <c r="N157" s="62">
        <v>0.6</v>
      </c>
      <c r="O157" s="12">
        <f t="shared" si="2"/>
        <v>67960</v>
      </c>
      <c r="P157" s="6" t="s">
        <v>3499</v>
      </c>
    </row>
    <row r="158" spans="1:16" x14ac:dyDescent="0.25">
      <c r="A158" s="6" t="s">
        <v>3498</v>
      </c>
      <c r="B158" s="7">
        <v>46121</v>
      </c>
      <c r="C158" s="7">
        <v>46127</v>
      </c>
      <c r="D158" s="6">
        <v>3271</v>
      </c>
      <c r="E158" s="6">
        <v>336</v>
      </c>
      <c r="F158" s="21">
        <v>4</v>
      </c>
      <c r="G158" s="15">
        <v>4</v>
      </c>
      <c r="H158" s="15">
        <v>81683</v>
      </c>
      <c r="I158" s="6" t="s">
        <v>543</v>
      </c>
      <c r="J158" s="27">
        <v>50130311</v>
      </c>
      <c r="K158" s="15" t="s">
        <v>1890</v>
      </c>
      <c r="L158" s="13" t="s">
        <v>1898</v>
      </c>
      <c r="M158" s="17">
        <v>169900</v>
      </c>
      <c r="N158" s="62">
        <v>0.6</v>
      </c>
      <c r="O158" s="12">
        <f t="shared" si="2"/>
        <v>67960</v>
      </c>
      <c r="P158" s="6" t="s">
        <v>3499</v>
      </c>
    </row>
    <row r="159" spans="1:16" x14ac:dyDescent="0.25">
      <c r="A159" s="6" t="s">
        <v>3498</v>
      </c>
      <c r="B159" s="7">
        <v>46121</v>
      </c>
      <c r="C159" s="7">
        <v>46127</v>
      </c>
      <c r="D159" s="6">
        <v>3271</v>
      </c>
      <c r="E159" s="6">
        <v>336</v>
      </c>
      <c r="F159" s="21">
        <v>4</v>
      </c>
      <c r="G159" s="15">
        <v>4</v>
      </c>
      <c r="H159" s="15">
        <v>81683</v>
      </c>
      <c r="I159" s="6" t="s">
        <v>543</v>
      </c>
      <c r="J159" s="27">
        <v>50130320</v>
      </c>
      <c r="K159" s="15" t="s">
        <v>1890</v>
      </c>
      <c r="L159" s="13" t="s">
        <v>1899</v>
      </c>
      <c r="M159" s="17">
        <v>169900</v>
      </c>
      <c r="N159" s="62">
        <v>0.6</v>
      </c>
      <c r="O159" s="12">
        <f t="shared" si="2"/>
        <v>67960</v>
      </c>
      <c r="P159" s="6" t="s">
        <v>3499</v>
      </c>
    </row>
    <row r="160" spans="1:16" x14ac:dyDescent="0.25">
      <c r="A160" s="6" t="s">
        <v>3498</v>
      </c>
      <c r="B160" s="7">
        <v>46121</v>
      </c>
      <c r="C160" s="7">
        <v>46127</v>
      </c>
      <c r="D160" s="6">
        <v>3271</v>
      </c>
      <c r="E160" s="6">
        <v>336</v>
      </c>
      <c r="F160" s="21">
        <v>4</v>
      </c>
      <c r="G160" s="15">
        <v>4</v>
      </c>
      <c r="H160" s="15">
        <v>81683</v>
      </c>
      <c r="I160" s="6" t="s">
        <v>543</v>
      </c>
      <c r="J160" s="27">
        <v>50130339</v>
      </c>
      <c r="K160" s="15" t="s">
        <v>1890</v>
      </c>
      <c r="L160" s="13" t="s">
        <v>1900</v>
      </c>
      <c r="M160" s="17">
        <v>169900</v>
      </c>
      <c r="N160" s="62">
        <v>0.6</v>
      </c>
      <c r="O160" s="12">
        <f t="shared" si="2"/>
        <v>67960</v>
      </c>
      <c r="P160" s="6" t="s">
        <v>3499</v>
      </c>
    </row>
    <row r="161" spans="1:16" x14ac:dyDescent="0.25">
      <c r="A161" s="6" t="s">
        <v>3498</v>
      </c>
      <c r="B161" s="7">
        <v>46121</v>
      </c>
      <c r="C161" s="7">
        <v>46127</v>
      </c>
      <c r="D161" s="6">
        <v>3271</v>
      </c>
      <c r="E161" s="6">
        <v>336</v>
      </c>
      <c r="F161" s="21">
        <v>4</v>
      </c>
      <c r="G161" s="15">
        <v>4</v>
      </c>
      <c r="H161" s="15">
        <v>81683</v>
      </c>
      <c r="I161" s="6" t="s">
        <v>543</v>
      </c>
      <c r="J161" s="27">
        <v>50130348</v>
      </c>
      <c r="K161" s="15" t="s">
        <v>1890</v>
      </c>
      <c r="L161" s="13" t="s">
        <v>1901</v>
      </c>
      <c r="M161" s="17">
        <v>169900</v>
      </c>
      <c r="N161" s="62">
        <v>0.6</v>
      </c>
      <c r="O161" s="12">
        <f t="shared" si="2"/>
        <v>67960</v>
      </c>
      <c r="P161" s="6" t="s">
        <v>3499</v>
      </c>
    </row>
    <row r="162" spans="1:16" x14ac:dyDescent="0.25">
      <c r="A162" s="6" t="s">
        <v>3498</v>
      </c>
      <c r="B162" s="7">
        <v>46121</v>
      </c>
      <c r="C162" s="7">
        <v>46127</v>
      </c>
      <c r="D162" s="6">
        <v>3271</v>
      </c>
      <c r="E162" s="6">
        <v>336</v>
      </c>
      <c r="F162" s="21">
        <v>4</v>
      </c>
      <c r="G162" s="15">
        <v>4</v>
      </c>
      <c r="H162" s="15">
        <v>81683</v>
      </c>
      <c r="I162" s="6" t="s">
        <v>543</v>
      </c>
      <c r="J162" s="27">
        <v>50130357</v>
      </c>
      <c r="K162" s="15" t="s">
        <v>1890</v>
      </c>
      <c r="L162" s="13" t="s">
        <v>1902</v>
      </c>
      <c r="M162" s="17">
        <v>169900</v>
      </c>
      <c r="N162" s="62">
        <v>0.6</v>
      </c>
      <c r="O162" s="12">
        <f t="shared" si="2"/>
        <v>67960</v>
      </c>
      <c r="P162" s="6" t="s">
        <v>3499</v>
      </c>
    </row>
    <row r="163" spans="1:16" x14ac:dyDescent="0.25">
      <c r="A163" s="6" t="s">
        <v>3498</v>
      </c>
      <c r="B163" s="7">
        <v>46121</v>
      </c>
      <c r="C163" s="7">
        <v>46127</v>
      </c>
      <c r="D163" s="6">
        <v>3271</v>
      </c>
      <c r="E163" s="6">
        <v>336</v>
      </c>
      <c r="F163" s="21">
        <v>4</v>
      </c>
      <c r="G163" s="15">
        <v>4</v>
      </c>
      <c r="H163" s="15">
        <v>81683</v>
      </c>
      <c r="I163" s="6" t="s">
        <v>543</v>
      </c>
      <c r="J163" s="27">
        <v>50130366</v>
      </c>
      <c r="K163" s="15" t="s">
        <v>1890</v>
      </c>
      <c r="L163" s="13" t="s">
        <v>1903</v>
      </c>
      <c r="M163" s="17">
        <v>169900</v>
      </c>
      <c r="N163" s="62">
        <v>0.6</v>
      </c>
      <c r="O163" s="12">
        <f t="shared" si="2"/>
        <v>67960</v>
      </c>
      <c r="P163" s="6" t="s">
        <v>3499</v>
      </c>
    </row>
    <row r="164" spans="1:16" x14ac:dyDescent="0.25">
      <c r="A164" s="6" t="s">
        <v>3498</v>
      </c>
      <c r="B164" s="7">
        <v>46121</v>
      </c>
      <c r="C164" s="7">
        <v>46127</v>
      </c>
      <c r="D164" s="6">
        <v>3271</v>
      </c>
      <c r="E164" s="6">
        <v>336</v>
      </c>
      <c r="F164" s="21">
        <v>4</v>
      </c>
      <c r="G164" s="15">
        <v>4</v>
      </c>
      <c r="H164" s="15">
        <v>81683</v>
      </c>
      <c r="I164" s="6" t="s">
        <v>543</v>
      </c>
      <c r="J164" s="27">
        <v>50130375</v>
      </c>
      <c r="K164" s="15" t="s">
        <v>1890</v>
      </c>
      <c r="L164" s="13" t="s">
        <v>1904</v>
      </c>
      <c r="M164" s="17">
        <v>169900</v>
      </c>
      <c r="N164" s="62">
        <v>0.6</v>
      </c>
      <c r="O164" s="12">
        <f t="shared" si="2"/>
        <v>67960</v>
      </c>
      <c r="P164" s="6" t="s">
        <v>3499</v>
      </c>
    </row>
    <row r="165" spans="1:16" x14ac:dyDescent="0.25">
      <c r="A165" s="6" t="s">
        <v>3498</v>
      </c>
      <c r="B165" s="7">
        <v>46121</v>
      </c>
      <c r="C165" s="7">
        <v>46127</v>
      </c>
      <c r="D165" s="6">
        <v>3271</v>
      </c>
      <c r="E165" s="6">
        <v>336</v>
      </c>
      <c r="F165" s="21">
        <v>4</v>
      </c>
      <c r="G165" s="15">
        <v>4</v>
      </c>
      <c r="H165" s="15">
        <v>81683</v>
      </c>
      <c r="I165" s="6" t="s">
        <v>543</v>
      </c>
      <c r="J165" s="27">
        <v>50130384</v>
      </c>
      <c r="K165" s="15" t="s">
        <v>1890</v>
      </c>
      <c r="L165" s="13" t="s">
        <v>1905</v>
      </c>
      <c r="M165" s="17">
        <v>169900</v>
      </c>
      <c r="N165" s="62">
        <v>0.6</v>
      </c>
      <c r="O165" s="12">
        <f t="shared" si="2"/>
        <v>67960</v>
      </c>
      <c r="P165" s="6" t="s">
        <v>3499</v>
      </c>
    </row>
    <row r="166" spans="1:16" x14ac:dyDescent="0.25">
      <c r="A166" s="6" t="s">
        <v>3498</v>
      </c>
      <c r="B166" s="7">
        <v>46121</v>
      </c>
      <c r="C166" s="7">
        <v>46127</v>
      </c>
      <c r="D166" s="6">
        <v>3271</v>
      </c>
      <c r="E166" s="6">
        <v>336</v>
      </c>
      <c r="F166" s="21">
        <v>4</v>
      </c>
      <c r="G166" s="15">
        <v>4</v>
      </c>
      <c r="H166" s="15">
        <v>81676</v>
      </c>
      <c r="I166" s="6" t="s">
        <v>543</v>
      </c>
      <c r="J166" s="27">
        <v>18739789</v>
      </c>
      <c r="K166" s="15" t="s">
        <v>1906</v>
      </c>
      <c r="L166" s="13" t="s">
        <v>1907</v>
      </c>
      <c r="M166" s="17">
        <v>99900</v>
      </c>
      <c r="N166" s="62">
        <v>0.6</v>
      </c>
      <c r="O166" s="12">
        <f t="shared" si="2"/>
        <v>39960</v>
      </c>
      <c r="P166" s="6" t="s">
        <v>3499</v>
      </c>
    </row>
    <row r="167" spans="1:16" x14ac:dyDescent="0.25">
      <c r="A167" s="6" t="s">
        <v>3498</v>
      </c>
      <c r="B167" s="7">
        <v>46121</v>
      </c>
      <c r="C167" s="7">
        <v>46127</v>
      </c>
      <c r="D167" s="6">
        <v>3271</v>
      </c>
      <c r="E167" s="6">
        <v>336</v>
      </c>
      <c r="F167" s="21">
        <v>4</v>
      </c>
      <c r="G167" s="15">
        <v>4</v>
      </c>
      <c r="H167" s="15">
        <v>81676</v>
      </c>
      <c r="I167" s="6" t="s">
        <v>543</v>
      </c>
      <c r="J167" s="27">
        <v>18739798</v>
      </c>
      <c r="K167" s="15" t="s">
        <v>1906</v>
      </c>
      <c r="L167" s="13" t="s">
        <v>1908</v>
      </c>
      <c r="M167" s="17">
        <v>99900</v>
      </c>
      <c r="N167" s="62">
        <v>0.6</v>
      </c>
      <c r="O167" s="12">
        <f t="shared" si="2"/>
        <v>39960</v>
      </c>
      <c r="P167" s="6" t="s">
        <v>3499</v>
      </c>
    </row>
    <row r="168" spans="1:16" x14ac:dyDescent="0.25">
      <c r="A168" s="6" t="s">
        <v>3498</v>
      </c>
      <c r="B168" s="7">
        <v>46121</v>
      </c>
      <c r="C168" s="7">
        <v>46127</v>
      </c>
      <c r="D168" s="6">
        <v>3271</v>
      </c>
      <c r="E168" s="6">
        <v>336</v>
      </c>
      <c r="F168" s="21">
        <v>4</v>
      </c>
      <c r="G168" s="15">
        <v>4</v>
      </c>
      <c r="H168" s="15">
        <v>81676</v>
      </c>
      <c r="I168" s="6" t="s">
        <v>543</v>
      </c>
      <c r="J168" s="27">
        <v>18739805</v>
      </c>
      <c r="K168" s="15" t="s">
        <v>1906</v>
      </c>
      <c r="L168" s="13" t="s">
        <v>1909</v>
      </c>
      <c r="M168" s="17">
        <v>99900</v>
      </c>
      <c r="N168" s="62">
        <v>0.6</v>
      </c>
      <c r="O168" s="12">
        <f t="shared" si="2"/>
        <v>39960</v>
      </c>
      <c r="P168" s="6" t="s">
        <v>3499</v>
      </c>
    </row>
    <row r="169" spans="1:16" x14ac:dyDescent="0.25">
      <c r="A169" s="6" t="s">
        <v>3498</v>
      </c>
      <c r="B169" s="7">
        <v>46121</v>
      </c>
      <c r="C169" s="7">
        <v>46127</v>
      </c>
      <c r="D169" s="6">
        <v>3271</v>
      </c>
      <c r="E169" s="6">
        <v>336</v>
      </c>
      <c r="F169" s="21">
        <v>4</v>
      </c>
      <c r="G169" s="15">
        <v>4</v>
      </c>
      <c r="H169" s="15">
        <v>81676</v>
      </c>
      <c r="I169" s="6" t="s">
        <v>543</v>
      </c>
      <c r="J169" s="27">
        <v>18739814</v>
      </c>
      <c r="K169" s="15" t="s">
        <v>1906</v>
      </c>
      <c r="L169" s="13" t="s">
        <v>1910</v>
      </c>
      <c r="M169" s="17">
        <v>99900</v>
      </c>
      <c r="N169" s="62">
        <v>0.6</v>
      </c>
      <c r="O169" s="12">
        <f t="shared" si="2"/>
        <v>39960</v>
      </c>
      <c r="P169" s="6" t="s">
        <v>3499</v>
      </c>
    </row>
    <row r="170" spans="1:16" x14ac:dyDescent="0.25">
      <c r="A170" s="6" t="s">
        <v>3498</v>
      </c>
      <c r="B170" s="7">
        <v>46121</v>
      </c>
      <c r="C170" s="7">
        <v>46127</v>
      </c>
      <c r="D170" s="6">
        <v>3271</v>
      </c>
      <c r="E170" s="6">
        <v>336</v>
      </c>
      <c r="F170" s="21">
        <v>4</v>
      </c>
      <c r="G170" s="15">
        <v>4</v>
      </c>
      <c r="H170" s="15">
        <v>81676</v>
      </c>
      <c r="I170" s="6" t="s">
        <v>543</v>
      </c>
      <c r="J170" s="27">
        <v>87413376</v>
      </c>
      <c r="K170" s="15" t="s">
        <v>1911</v>
      </c>
      <c r="L170" s="13" t="s">
        <v>1912</v>
      </c>
      <c r="M170" s="17">
        <v>99900</v>
      </c>
      <c r="N170" s="62">
        <v>0.6</v>
      </c>
      <c r="O170" s="12">
        <f t="shared" si="2"/>
        <v>39960</v>
      </c>
      <c r="P170" s="6" t="s">
        <v>3499</v>
      </c>
    </row>
    <row r="171" spans="1:16" x14ac:dyDescent="0.25">
      <c r="A171" s="6" t="s">
        <v>3498</v>
      </c>
      <c r="B171" s="7">
        <v>46121</v>
      </c>
      <c r="C171" s="7">
        <v>46127</v>
      </c>
      <c r="D171" s="6">
        <v>3271</v>
      </c>
      <c r="E171" s="6">
        <v>336</v>
      </c>
      <c r="F171" s="21">
        <v>4</v>
      </c>
      <c r="G171" s="15">
        <v>4</v>
      </c>
      <c r="H171" s="15">
        <v>81676</v>
      </c>
      <c r="I171" s="6" t="s">
        <v>543</v>
      </c>
      <c r="J171" s="27">
        <v>87413385</v>
      </c>
      <c r="K171" s="15" t="s">
        <v>1911</v>
      </c>
      <c r="L171" s="13" t="s">
        <v>1913</v>
      </c>
      <c r="M171" s="17">
        <v>99900</v>
      </c>
      <c r="N171" s="62">
        <v>0.6</v>
      </c>
      <c r="O171" s="12">
        <f t="shared" si="2"/>
        <v>39960</v>
      </c>
      <c r="P171" s="6" t="s">
        <v>3499</v>
      </c>
    </row>
    <row r="172" spans="1:16" x14ac:dyDescent="0.25">
      <c r="A172" s="6" t="s">
        <v>3498</v>
      </c>
      <c r="B172" s="7">
        <v>46121</v>
      </c>
      <c r="C172" s="7">
        <v>46127</v>
      </c>
      <c r="D172" s="6">
        <v>3271</v>
      </c>
      <c r="E172" s="6">
        <v>336</v>
      </c>
      <c r="F172" s="21">
        <v>4</v>
      </c>
      <c r="G172" s="15">
        <v>4</v>
      </c>
      <c r="H172" s="15">
        <v>81676</v>
      </c>
      <c r="I172" s="6" t="s">
        <v>543</v>
      </c>
      <c r="J172" s="27">
        <v>87413394</v>
      </c>
      <c r="K172" s="15" t="s">
        <v>1911</v>
      </c>
      <c r="L172" s="13" t="s">
        <v>1914</v>
      </c>
      <c r="M172" s="17">
        <v>99900</v>
      </c>
      <c r="N172" s="62">
        <v>0.6</v>
      </c>
      <c r="O172" s="12">
        <f t="shared" si="2"/>
        <v>39960</v>
      </c>
      <c r="P172" s="6" t="s">
        <v>3499</v>
      </c>
    </row>
    <row r="173" spans="1:16" x14ac:dyDescent="0.25">
      <c r="A173" s="6" t="s">
        <v>3498</v>
      </c>
      <c r="B173" s="7">
        <v>46121</v>
      </c>
      <c r="C173" s="7">
        <v>46127</v>
      </c>
      <c r="D173" s="6">
        <v>3271</v>
      </c>
      <c r="E173" s="6">
        <v>336</v>
      </c>
      <c r="F173" s="21">
        <v>4</v>
      </c>
      <c r="G173" s="15">
        <v>4</v>
      </c>
      <c r="H173" s="15">
        <v>81676</v>
      </c>
      <c r="I173" s="6" t="s">
        <v>543</v>
      </c>
      <c r="J173" s="27">
        <v>87413401</v>
      </c>
      <c r="K173" s="15" t="s">
        <v>1911</v>
      </c>
      <c r="L173" s="13" t="s">
        <v>1915</v>
      </c>
      <c r="M173" s="17">
        <v>99900</v>
      </c>
      <c r="N173" s="62">
        <v>0.6</v>
      </c>
      <c r="O173" s="12">
        <f t="shared" si="2"/>
        <v>39960</v>
      </c>
      <c r="P173" s="6" t="s">
        <v>3499</v>
      </c>
    </row>
    <row r="174" spans="1:16" x14ac:dyDescent="0.25">
      <c r="A174" s="6" t="s">
        <v>3498</v>
      </c>
      <c r="B174" s="7">
        <v>46121</v>
      </c>
      <c r="C174" s="7">
        <v>46127</v>
      </c>
      <c r="D174" s="6">
        <v>3271</v>
      </c>
      <c r="E174" s="6">
        <v>336</v>
      </c>
      <c r="F174" s="21">
        <v>4</v>
      </c>
      <c r="G174" s="15">
        <v>4</v>
      </c>
      <c r="H174" s="15">
        <v>81676</v>
      </c>
      <c r="I174" s="6" t="s">
        <v>543</v>
      </c>
      <c r="J174" s="27">
        <v>87413410</v>
      </c>
      <c r="K174" s="15" t="s">
        <v>1916</v>
      </c>
      <c r="L174" s="13" t="s">
        <v>1917</v>
      </c>
      <c r="M174" s="17">
        <v>99900</v>
      </c>
      <c r="N174" s="62">
        <v>0.6</v>
      </c>
      <c r="O174" s="12">
        <f t="shared" si="2"/>
        <v>39960</v>
      </c>
      <c r="P174" s="6" t="s">
        <v>3499</v>
      </c>
    </row>
    <row r="175" spans="1:16" x14ac:dyDescent="0.25">
      <c r="A175" s="6" t="s">
        <v>3498</v>
      </c>
      <c r="B175" s="7">
        <v>46121</v>
      </c>
      <c r="C175" s="7">
        <v>46127</v>
      </c>
      <c r="D175" s="6">
        <v>3271</v>
      </c>
      <c r="E175" s="6">
        <v>336</v>
      </c>
      <c r="F175" s="21">
        <v>4</v>
      </c>
      <c r="G175" s="15">
        <v>4</v>
      </c>
      <c r="H175" s="15">
        <v>81676</v>
      </c>
      <c r="I175" s="6" t="s">
        <v>543</v>
      </c>
      <c r="J175" s="27">
        <v>87413429</v>
      </c>
      <c r="K175" s="15" t="s">
        <v>1916</v>
      </c>
      <c r="L175" s="13" t="s">
        <v>1918</v>
      </c>
      <c r="M175" s="17">
        <v>99900</v>
      </c>
      <c r="N175" s="62">
        <v>0.6</v>
      </c>
      <c r="O175" s="12">
        <f t="shared" si="2"/>
        <v>39960</v>
      </c>
      <c r="P175" s="6" t="s">
        <v>3499</v>
      </c>
    </row>
    <row r="176" spans="1:16" x14ac:dyDescent="0.25">
      <c r="A176" s="6" t="s">
        <v>3498</v>
      </c>
      <c r="B176" s="7">
        <v>46121</v>
      </c>
      <c r="C176" s="7">
        <v>46127</v>
      </c>
      <c r="D176" s="6">
        <v>3271</v>
      </c>
      <c r="E176" s="6">
        <v>336</v>
      </c>
      <c r="F176" s="21">
        <v>4</v>
      </c>
      <c r="G176" s="15">
        <v>4</v>
      </c>
      <c r="H176" s="15">
        <v>81676</v>
      </c>
      <c r="I176" s="6" t="s">
        <v>543</v>
      </c>
      <c r="J176" s="27">
        <v>87413438</v>
      </c>
      <c r="K176" s="15" t="s">
        <v>1916</v>
      </c>
      <c r="L176" s="13" t="s">
        <v>1919</v>
      </c>
      <c r="M176" s="17">
        <v>99900</v>
      </c>
      <c r="N176" s="62">
        <v>0.6</v>
      </c>
      <c r="O176" s="12">
        <f t="shared" si="2"/>
        <v>39960</v>
      </c>
      <c r="P176" s="6" t="s">
        <v>3499</v>
      </c>
    </row>
    <row r="177" spans="1:16" x14ac:dyDescent="0.25">
      <c r="A177" s="6" t="s">
        <v>3498</v>
      </c>
      <c r="B177" s="7">
        <v>46121</v>
      </c>
      <c r="C177" s="7">
        <v>46127</v>
      </c>
      <c r="D177" s="6">
        <v>3271</v>
      </c>
      <c r="E177" s="6">
        <v>336</v>
      </c>
      <c r="F177" s="21">
        <v>4</v>
      </c>
      <c r="G177" s="15">
        <v>4</v>
      </c>
      <c r="H177" s="15">
        <v>81676</v>
      </c>
      <c r="I177" s="6" t="s">
        <v>543</v>
      </c>
      <c r="J177" s="27">
        <v>87413447</v>
      </c>
      <c r="K177" s="15" t="s">
        <v>1916</v>
      </c>
      <c r="L177" s="13" t="s">
        <v>1920</v>
      </c>
      <c r="M177" s="17">
        <v>99900</v>
      </c>
      <c r="N177" s="62">
        <v>0.6</v>
      </c>
      <c r="O177" s="12">
        <f t="shared" si="2"/>
        <v>39960</v>
      </c>
      <c r="P177" s="6" t="s">
        <v>3499</v>
      </c>
    </row>
    <row r="178" spans="1:16" x14ac:dyDescent="0.25">
      <c r="A178" s="6" t="s">
        <v>3498</v>
      </c>
      <c r="B178" s="7">
        <v>46121</v>
      </c>
      <c r="C178" s="7">
        <v>46127</v>
      </c>
      <c r="D178" s="6">
        <v>3271</v>
      </c>
      <c r="E178" s="6">
        <v>336</v>
      </c>
      <c r="F178" s="21">
        <v>4</v>
      </c>
      <c r="G178" s="15">
        <v>4</v>
      </c>
      <c r="H178" s="15">
        <v>81676</v>
      </c>
      <c r="I178" s="6" t="s">
        <v>543</v>
      </c>
      <c r="J178" s="27">
        <v>87413456</v>
      </c>
      <c r="K178" s="15" t="s">
        <v>1921</v>
      </c>
      <c r="L178" s="13" t="s">
        <v>1922</v>
      </c>
      <c r="M178" s="17">
        <v>99900</v>
      </c>
      <c r="N178" s="62">
        <v>0.6</v>
      </c>
      <c r="O178" s="12">
        <f t="shared" si="2"/>
        <v>39960</v>
      </c>
      <c r="P178" s="6" t="s">
        <v>3499</v>
      </c>
    </row>
    <row r="179" spans="1:16" x14ac:dyDescent="0.25">
      <c r="A179" s="6" t="s">
        <v>3498</v>
      </c>
      <c r="B179" s="7">
        <v>46121</v>
      </c>
      <c r="C179" s="7">
        <v>46127</v>
      </c>
      <c r="D179" s="6">
        <v>3271</v>
      </c>
      <c r="E179" s="6">
        <v>336</v>
      </c>
      <c r="F179" s="21">
        <v>4</v>
      </c>
      <c r="G179" s="15">
        <v>4</v>
      </c>
      <c r="H179" s="15">
        <v>81676</v>
      </c>
      <c r="I179" s="6" t="s">
        <v>543</v>
      </c>
      <c r="J179" s="27">
        <v>87413465</v>
      </c>
      <c r="K179" s="15" t="s">
        <v>1921</v>
      </c>
      <c r="L179" s="13" t="s">
        <v>1923</v>
      </c>
      <c r="M179" s="17">
        <v>99900</v>
      </c>
      <c r="N179" s="62">
        <v>0.6</v>
      </c>
      <c r="O179" s="12">
        <f t="shared" si="2"/>
        <v>39960</v>
      </c>
      <c r="P179" s="6" t="s">
        <v>3499</v>
      </c>
    </row>
    <row r="180" spans="1:16" x14ac:dyDescent="0.25">
      <c r="A180" s="6" t="s">
        <v>3498</v>
      </c>
      <c r="B180" s="7">
        <v>46121</v>
      </c>
      <c r="C180" s="7">
        <v>46127</v>
      </c>
      <c r="D180" s="6">
        <v>3271</v>
      </c>
      <c r="E180" s="6">
        <v>336</v>
      </c>
      <c r="F180" s="21">
        <v>4</v>
      </c>
      <c r="G180" s="15">
        <v>4</v>
      </c>
      <c r="H180" s="15">
        <v>81676</v>
      </c>
      <c r="I180" s="6" t="s">
        <v>543</v>
      </c>
      <c r="J180" s="27">
        <v>87413474</v>
      </c>
      <c r="K180" s="15" t="s">
        <v>1921</v>
      </c>
      <c r="L180" s="13" t="s">
        <v>1924</v>
      </c>
      <c r="M180" s="17">
        <v>99900</v>
      </c>
      <c r="N180" s="62">
        <v>0.6</v>
      </c>
      <c r="O180" s="12">
        <f t="shared" si="2"/>
        <v>39960</v>
      </c>
      <c r="P180" s="6" t="s">
        <v>3499</v>
      </c>
    </row>
    <row r="181" spans="1:16" x14ac:dyDescent="0.25">
      <c r="A181" s="6" t="s">
        <v>3498</v>
      </c>
      <c r="B181" s="7">
        <v>46121</v>
      </c>
      <c r="C181" s="7">
        <v>46127</v>
      </c>
      <c r="D181" s="6">
        <v>3271</v>
      </c>
      <c r="E181" s="6">
        <v>336</v>
      </c>
      <c r="F181" s="21">
        <v>4</v>
      </c>
      <c r="G181" s="15">
        <v>4</v>
      </c>
      <c r="H181" s="15">
        <v>81676</v>
      </c>
      <c r="I181" s="6" t="s">
        <v>543</v>
      </c>
      <c r="J181" s="27">
        <v>87413483</v>
      </c>
      <c r="K181" s="15" t="s">
        <v>1921</v>
      </c>
      <c r="L181" s="13" t="s">
        <v>1925</v>
      </c>
      <c r="M181" s="17">
        <v>99900</v>
      </c>
      <c r="N181" s="62">
        <v>0.6</v>
      </c>
      <c r="O181" s="12">
        <f t="shared" si="2"/>
        <v>39960</v>
      </c>
      <c r="P181" s="6" t="s">
        <v>3499</v>
      </c>
    </row>
    <row r="182" spans="1:16" x14ac:dyDescent="0.25">
      <c r="A182" s="6" t="s">
        <v>3498</v>
      </c>
      <c r="B182" s="7">
        <v>46121</v>
      </c>
      <c r="C182" s="7">
        <v>46127</v>
      </c>
      <c r="D182" s="6">
        <v>3271</v>
      </c>
      <c r="E182" s="6">
        <v>336</v>
      </c>
      <c r="F182" s="21">
        <v>4</v>
      </c>
      <c r="G182" s="15">
        <v>4</v>
      </c>
      <c r="H182" s="15">
        <v>81676</v>
      </c>
      <c r="I182" s="6" t="s">
        <v>543</v>
      </c>
      <c r="J182" s="27">
        <v>45810113</v>
      </c>
      <c r="K182" s="15" t="s">
        <v>1926</v>
      </c>
      <c r="L182" s="13" t="s">
        <v>1927</v>
      </c>
      <c r="M182" s="17">
        <v>99900</v>
      </c>
      <c r="N182" s="62">
        <v>0.6</v>
      </c>
      <c r="O182" s="12">
        <f t="shared" si="2"/>
        <v>39960</v>
      </c>
      <c r="P182" s="6" t="s">
        <v>3499</v>
      </c>
    </row>
    <row r="183" spans="1:16" x14ac:dyDescent="0.25">
      <c r="A183" s="6" t="s">
        <v>3498</v>
      </c>
      <c r="B183" s="7">
        <v>46121</v>
      </c>
      <c r="C183" s="7">
        <v>46127</v>
      </c>
      <c r="D183" s="6">
        <v>3271</v>
      </c>
      <c r="E183" s="6">
        <v>336</v>
      </c>
      <c r="F183" s="21">
        <v>4</v>
      </c>
      <c r="G183" s="15">
        <v>4</v>
      </c>
      <c r="H183" s="15">
        <v>81676</v>
      </c>
      <c r="I183" s="6" t="s">
        <v>543</v>
      </c>
      <c r="J183" s="27">
        <v>45810122</v>
      </c>
      <c r="K183" s="15" t="s">
        <v>1926</v>
      </c>
      <c r="L183" s="13" t="s">
        <v>1928</v>
      </c>
      <c r="M183" s="17">
        <v>99900</v>
      </c>
      <c r="N183" s="62">
        <v>0.6</v>
      </c>
      <c r="O183" s="12">
        <f t="shared" si="2"/>
        <v>39960</v>
      </c>
      <c r="P183" s="6" t="s">
        <v>3499</v>
      </c>
    </row>
    <row r="184" spans="1:16" x14ac:dyDescent="0.25">
      <c r="A184" s="6" t="s">
        <v>3498</v>
      </c>
      <c r="B184" s="7">
        <v>46121</v>
      </c>
      <c r="C184" s="7">
        <v>46127</v>
      </c>
      <c r="D184" s="6">
        <v>3271</v>
      </c>
      <c r="E184" s="6">
        <v>336</v>
      </c>
      <c r="F184" s="21">
        <v>4</v>
      </c>
      <c r="G184" s="15">
        <v>4</v>
      </c>
      <c r="H184" s="15">
        <v>81676</v>
      </c>
      <c r="I184" s="6" t="s">
        <v>543</v>
      </c>
      <c r="J184" s="27">
        <v>45810131</v>
      </c>
      <c r="K184" s="15" t="s">
        <v>1926</v>
      </c>
      <c r="L184" s="13" t="s">
        <v>1929</v>
      </c>
      <c r="M184" s="17">
        <v>99900</v>
      </c>
      <c r="N184" s="62">
        <v>0.6</v>
      </c>
      <c r="O184" s="12">
        <f t="shared" si="2"/>
        <v>39960</v>
      </c>
      <c r="P184" s="6" t="s">
        <v>3499</v>
      </c>
    </row>
    <row r="185" spans="1:16" x14ac:dyDescent="0.25">
      <c r="A185" s="6" t="s">
        <v>3498</v>
      </c>
      <c r="B185" s="7">
        <v>46121</v>
      </c>
      <c r="C185" s="7">
        <v>46127</v>
      </c>
      <c r="D185" s="6">
        <v>3271</v>
      </c>
      <c r="E185" s="6">
        <v>336</v>
      </c>
      <c r="F185" s="21">
        <v>4</v>
      </c>
      <c r="G185" s="15">
        <v>4</v>
      </c>
      <c r="H185" s="15">
        <v>81676</v>
      </c>
      <c r="I185" s="6" t="s">
        <v>543</v>
      </c>
      <c r="J185" s="27">
        <v>45810140</v>
      </c>
      <c r="K185" s="15" t="s">
        <v>1926</v>
      </c>
      <c r="L185" s="13" t="s">
        <v>1930</v>
      </c>
      <c r="M185" s="17">
        <v>99900</v>
      </c>
      <c r="N185" s="62">
        <v>0.6</v>
      </c>
      <c r="O185" s="12">
        <f t="shared" si="2"/>
        <v>39960</v>
      </c>
      <c r="P185" s="6" t="s">
        <v>3499</v>
      </c>
    </row>
    <row r="186" spans="1:16" x14ac:dyDescent="0.25">
      <c r="A186" s="6" t="s">
        <v>3498</v>
      </c>
      <c r="B186" s="7">
        <v>46121</v>
      </c>
      <c r="C186" s="7">
        <v>46127</v>
      </c>
      <c r="D186" s="6">
        <v>3271</v>
      </c>
      <c r="E186" s="6">
        <v>336</v>
      </c>
      <c r="F186" s="21">
        <v>4</v>
      </c>
      <c r="G186" s="15">
        <v>4</v>
      </c>
      <c r="H186" s="15">
        <v>81676</v>
      </c>
      <c r="I186" s="6" t="s">
        <v>543</v>
      </c>
      <c r="J186" s="27">
        <v>87413296</v>
      </c>
      <c r="K186" s="15" t="s">
        <v>1931</v>
      </c>
      <c r="L186" s="13" t="s">
        <v>1932</v>
      </c>
      <c r="M186" s="17">
        <v>79900</v>
      </c>
      <c r="N186" s="62">
        <v>0.6</v>
      </c>
      <c r="O186" s="12">
        <f t="shared" si="2"/>
        <v>31960</v>
      </c>
      <c r="P186" s="6" t="s">
        <v>3499</v>
      </c>
    </row>
    <row r="187" spans="1:16" x14ac:dyDescent="0.25">
      <c r="A187" s="6" t="s">
        <v>3498</v>
      </c>
      <c r="B187" s="7">
        <v>46121</v>
      </c>
      <c r="C187" s="7">
        <v>46127</v>
      </c>
      <c r="D187" s="6">
        <v>3271</v>
      </c>
      <c r="E187" s="6">
        <v>336</v>
      </c>
      <c r="F187" s="21">
        <v>4</v>
      </c>
      <c r="G187" s="15">
        <v>4</v>
      </c>
      <c r="H187" s="15">
        <v>81676</v>
      </c>
      <c r="I187" s="6" t="s">
        <v>543</v>
      </c>
      <c r="J187" s="27">
        <v>87413303</v>
      </c>
      <c r="K187" s="15" t="s">
        <v>1931</v>
      </c>
      <c r="L187" s="13" t="s">
        <v>1933</v>
      </c>
      <c r="M187" s="17">
        <v>79900</v>
      </c>
      <c r="N187" s="62">
        <v>0.6</v>
      </c>
      <c r="O187" s="12">
        <f t="shared" si="2"/>
        <v>31960</v>
      </c>
      <c r="P187" s="6" t="s">
        <v>3499</v>
      </c>
    </row>
    <row r="188" spans="1:16" x14ac:dyDescent="0.25">
      <c r="A188" s="6" t="s">
        <v>3498</v>
      </c>
      <c r="B188" s="7">
        <v>46121</v>
      </c>
      <c r="C188" s="7">
        <v>46127</v>
      </c>
      <c r="D188" s="6">
        <v>3271</v>
      </c>
      <c r="E188" s="6">
        <v>336</v>
      </c>
      <c r="F188" s="21">
        <v>4</v>
      </c>
      <c r="G188" s="15">
        <v>4</v>
      </c>
      <c r="H188" s="15">
        <v>81676</v>
      </c>
      <c r="I188" s="6" t="s">
        <v>543</v>
      </c>
      <c r="J188" s="27">
        <v>87413312</v>
      </c>
      <c r="K188" s="15" t="s">
        <v>1931</v>
      </c>
      <c r="L188" s="13" t="s">
        <v>1934</v>
      </c>
      <c r="M188" s="17">
        <v>79900</v>
      </c>
      <c r="N188" s="62">
        <v>0.6</v>
      </c>
      <c r="O188" s="12">
        <f t="shared" si="2"/>
        <v>31960</v>
      </c>
      <c r="P188" s="6" t="s">
        <v>3499</v>
      </c>
    </row>
    <row r="189" spans="1:16" x14ac:dyDescent="0.25">
      <c r="A189" s="6" t="s">
        <v>3498</v>
      </c>
      <c r="B189" s="7">
        <v>46121</v>
      </c>
      <c r="C189" s="7">
        <v>46127</v>
      </c>
      <c r="D189" s="6">
        <v>3271</v>
      </c>
      <c r="E189" s="6">
        <v>336</v>
      </c>
      <c r="F189" s="21">
        <v>4</v>
      </c>
      <c r="G189" s="15">
        <v>4</v>
      </c>
      <c r="H189" s="15">
        <v>81676</v>
      </c>
      <c r="I189" s="6" t="s">
        <v>543</v>
      </c>
      <c r="J189" s="27">
        <v>87413321</v>
      </c>
      <c r="K189" s="15" t="s">
        <v>1931</v>
      </c>
      <c r="L189" s="13" t="s">
        <v>1935</v>
      </c>
      <c r="M189" s="17">
        <v>79900</v>
      </c>
      <c r="N189" s="62">
        <v>0.6</v>
      </c>
      <c r="O189" s="12">
        <f t="shared" si="2"/>
        <v>31960</v>
      </c>
      <c r="P189" s="6" t="s">
        <v>3499</v>
      </c>
    </row>
    <row r="190" spans="1:16" x14ac:dyDescent="0.25">
      <c r="A190" s="6" t="s">
        <v>3498</v>
      </c>
      <c r="B190" s="7">
        <v>46121</v>
      </c>
      <c r="C190" s="7">
        <v>46127</v>
      </c>
      <c r="D190" s="6">
        <v>3271</v>
      </c>
      <c r="E190" s="6">
        <v>336</v>
      </c>
      <c r="F190" s="21">
        <v>4</v>
      </c>
      <c r="G190" s="15">
        <v>4</v>
      </c>
      <c r="H190" s="15">
        <v>81676</v>
      </c>
      <c r="I190" s="6" t="s">
        <v>543</v>
      </c>
      <c r="J190" s="27">
        <v>14910117</v>
      </c>
      <c r="K190" s="15" t="s">
        <v>1936</v>
      </c>
      <c r="L190" s="13" t="s">
        <v>1937</v>
      </c>
      <c r="M190" s="17">
        <v>79900</v>
      </c>
      <c r="N190" s="62">
        <v>0.6</v>
      </c>
      <c r="O190" s="12">
        <f t="shared" si="2"/>
        <v>31960</v>
      </c>
      <c r="P190" s="6" t="s">
        <v>3499</v>
      </c>
    </row>
    <row r="191" spans="1:16" x14ac:dyDescent="0.25">
      <c r="A191" s="6" t="s">
        <v>3498</v>
      </c>
      <c r="B191" s="7">
        <v>46121</v>
      </c>
      <c r="C191" s="7">
        <v>46127</v>
      </c>
      <c r="D191" s="6">
        <v>3271</v>
      </c>
      <c r="E191" s="6">
        <v>336</v>
      </c>
      <c r="F191" s="21">
        <v>4</v>
      </c>
      <c r="G191" s="15">
        <v>4</v>
      </c>
      <c r="H191" s="15">
        <v>81676</v>
      </c>
      <c r="I191" s="6" t="s">
        <v>543</v>
      </c>
      <c r="J191" s="27">
        <v>14910126</v>
      </c>
      <c r="K191" s="15" t="s">
        <v>1936</v>
      </c>
      <c r="L191" s="13" t="s">
        <v>1938</v>
      </c>
      <c r="M191" s="17">
        <v>79900</v>
      </c>
      <c r="N191" s="62">
        <v>0.6</v>
      </c>
      <c r="O191" s="12">
        <f t="shared" si="2"/>
        <v>31960</v>
      </c>
      <c r="P191" s="6" t="s">
        <v>3499</v>
      </c>
    </row>
    <row r="192" spans="1:16" x14ac:dyDescent="0.25">
      <c r="A192" s="6" t="s">
        <v>3498</v>
      </c>
      <c r="B192" s="7">
        <v>46121</v>
      </c>
      <c r="C192" s="7">
        <v>46127</v>
      </c>
      <c r="D192" s="6">
        <v>3271</v>
      </c>
      <c r="E192" s="6">
        <v>336</v>
      </c>
      <c r="F192" s="21">
        <v>4</v>
      </c>
      <c r="G192" s="15">
        <v>4</v>
      </c>
      <c r="H192" s="15">
        <v>81676</v>
      </c>
      <c r="I192" s="6" t="s">
        <v>543</v>
      </c>
      <c r="J192" s="27">
        <v>14910135</v>
      </c>
      <c r="K192" s="15" t="s">
        <v>1936</v>
      </c>
      <c r="L192" s="13" t="s">
        <v>1939</v>
      </c>
      <c r="M192" s="17">
        <v>79900</v>
      </c>
      <c r="N192" s="62">
        <v>0.6</v>
      </c>
      <c r="O192" s="12">
        <f t="shared" si="2"/>
        <v>31960</v>
      </c>
      <c r="P192" s="6" t="s">
        <v>3499</v>
      </c>
    </row>
    <row r="193" spans="1:16" x14ac:dyDescent="0.25">
      <c r="A193" s="6" t="s">
        <v>3498</v>
      </c>
      <c r="B193" s="7">
        <v>46121</v>
      </c>
      <c r="C193" s="7">
        <v>46127</v>
      </c>
      <c r="D193" s="6">
        <v>3271</v>
      </c>
      <c r="E193" s="6">
        <v>336</v>
      </c>
      <c r="F193" s="21">
        <v>4</v>
      </c>
      <c r="G193" s="15">
        <v>4</v>
      </c>
      <c r="H193" s="15">
        <v>81676</v>
      </c>
      <c r="I193" s="6" t="s">
        <v>543</v>
      </c>
      <c r="J193" s="27">
        <v>14910144</v>
      </c>
      <c r="K193" s="15" t="s">
        <v>1936</v>
      </c>
      <c r="L193" s="13" t="s">
        <v>1940</v>
      </c>
      <c r="M193" s="17">
        <v>79900</v>
      </c>
      <c r="N193" s="62">
        <v>0.6</v>
      </c>
      <c r="O193" s="12">
        <f t="shared" si="2"/>
        <v>31960</v>
      </c>
      <c r="P193" s="6" t="s">
        <v>3499</v>
      </c>
    </row>
    <row r="194" spans="1:16" x14ac:dyDescent="0.25">
      <c r="A194" s="6" t="s">
        <v>3498</v>
      </c>
      <c r="B194" s="7">
        <v>46121</v>
      </c>
      <c r="C194" s="7">
        <v>46127</v>
      </c>
      <c r="D194" s="6">
        <v>3271</v>
      </c>
      <c r="E194" s="6">
        <v>336</v>
      </c>
      <c r="F194" s="21">
        <v>4</v>
      </c>
      <c r="G194" s="15">
        <v>4</v>
      </c>
      <c r="H194" s="15">
        <v>81676</v>
      </c>
      <c r="I194" s="6" t="s">
        <v>543</v>
      </c>
      <c r="J194" s="27">
        <v>87413330</v>
      </c>
      <c r="K194" s="15" t="s">
        <v>1941</v>
      </c>
      <c r="L194" s="13" t="s">
        <v>1942</v>
      </c>
      <c r="M194" s="17">
        <v>79900</v>
      </c>
      <c r="N194" s="62">
        <v>0.6</v>
      </c>
      <c r="O194" s="12">
        <f t="shared" si="2"/>
        <v>31960</v>
      </c>
      <c r="P194" s="6" t="s">
        <v>3499</v>
      </c>
    </row>
    <row r="195" spans="1:16" x14ac:dyDescent="0.25">
      <c r="A195" s="6" t="s">
        <v>3498</v>
      </c>
      <c r="B195" s="7">
        <v>46121</v>
      </c>
      <c r="C195" s="7">
        <v>46127</v>
      </c>
      <c r="D195" s="6">
        <v>3271</v>
      </c>
      <c r="E195" s="6">
        <v>336</v>
      </c>
      <c r="F195" s="21">
        <v>4</v>
      </c>
      <c r="G195" s="15">
        <v>4</v>
      </c>
      <c r="H195" s="15">
        <v>81676</v>
      </c>
      <c r="I195" s="6" t="s">
        <v>543</v>
      </c>
      <c r="J195" s="27">
        <v>87413349</v>
      </c>
      <c r="K195" s="15" t="s">
        <v>1941</v>
      </c>
      <c r="L195" s="13" t="s">
        <v>1943</v>
      </c>
      <c r="M195" s="17">
        <v>79900</v>
      </c>
      <c r="N195" s="62">
        <v>0.6</v>
      </c>
      <c r="O195" s="12">
        <f t="shared" ref="O195:O225" si="3">M195-((60*M195)/100)</f>
        <v>31960</v>
      </c>
      <c r="P195" s="6" t="s">
        <v>3499</v>
      </c>
    </row>
    <row r="196" spans="1:16" x14ac:dyDescent="0.25">
      <c r="A196" s="6" t="s">
        <v>3498</v>
      </c>
      <c r="B196" s="7">
        <v>46121</v>
      </c>
      <c r="C196" s="7">
        <v>46127</v>
      </c>
      <c r="D196" s="6">
        <v>3271</v>
      </c>
      <c r="E196" s="6">
        <v>336</v>
      </c>
      <c r="F196" s="21">
        <v>4</v>
      </c>
      <c r="G196" s="15">
        <v>4</v>
      </c>
      <c r="H196" s="15">
        <v>81676</v>
      </c>
      <c r="I196" s="6" t="s">
        <v>543</v>
      </c>
      <c r="J196" s="27">
        <v>87413358</v>
      </c>
      <c r="K196" s="15" t="s">
        <v>1941</v>
      </c>
      <c r="L196" s="13" t="s">
        <v>1944</v>
      </c>
      <c r="M196" s="17">
        <v>79900</v>
      </c>
      <c r="N196" s="62">
        <v>0.6</v>
      </c>
      <c r="O196" s="12">
        <f t="shared" si="3"/>
        <v>31960</v>
      </c>
      <c r="P196" s="6" t="s">
        <v>3499</v>
      </c>
    </row>
    <row r="197" spans="1:16" x14ac:dyDescent="0.25">
      <c r="A197" s="6" t="s">
        <v>3498</v>
      </c>
      <c r="B197" s="7">
        <v>46121</v>
      </c>
      <c r="C197" s="7">
        <v>46127</v>
      </c>
      <c r="D197" s="6">
        <v>3271</v>
      </c>
      <c r="E197" s="6">
        <v>336</v>
      </c>
      <c r="F197" s="21">
        <v>4</v>
      </c>
      <c r="G197" s="15">
        <v>4</v>
      </c>
      <c r="H197" s="15">
        <v>81676</v>
      </c>
      <c r="I197" s="6" t="s">
        <v>543</v>
      </c>
      <c r="J197" s="27">
        <v>87413367</v>
      </c>
      <c r="K197" s="15" t="s">
        <v>1941</v>
      </c>
      <c r="L197" s="13" t="s">
        <v>1945</v>
      </c>
      <c r="M197" s="17">
        <v>79900</v>
      </c>
      <c r="N197" s="62">
        <v>0.6</v>
      </c>
      <c r="O197" s="12">
        <f t="shared" si="3"/>
        <v>31960</v>
      </c>
      <c r="P197" s="6" t="s">
        <v>3499</v>
      </c>
    </row>
    <row r="198" spans="1:16" x14ac:dyDescent="0.25">
      <c r="A198" s="6" t="s">
        <v>3498</v>
      </c>
      <c r="B198" s="7">
        <v>46121</v>
      </c>
      <c r="C198" s="7">
        <v>46127</v>
      </c>
      <c r="D198" s="6">
        <v>3271</v>
      </c>
      <c r="E198" s="6">
        <v>336</v>
      </c>
      <c r="F198" s="21">
        <v>4</v>
      </c>
      <c r="G198" s="15">
        <v>4</v>
      </c>
      <c r="H198" s="15">
        <v>81676</v>
      </c>
      <c r="I198" s="6" t="s">
        <v>543</v>
      </c>
      <c r="J198" s="27">
        <v>15441659</v>
      </c>
      <c r="K198" s="15" t="s">
        <v>1946</v>
      </c>
      <c r="L198" s="13" t="s">
        <v>1947</v>
      </c>
      <c r="M198" s="17">
        <v>79900</v>
      </c>
      <c r="N198" s="62">
        <v>0.6</v>
      </c>
      <c r="O198" s="12">
        <f t="shared" si="3"/>
        <v>31960</v>
      </c>
      <c r="P198" s="6" t="s">
        <v>3499</v>
      </c>
    </row>
    <row r="199" spans="1:16" x14ac:dyDescent="0.25">
      <c r="A199" s="6" t="s">
        <v>3498</v>
      </c>
      <c r="B199" s="7">
        <v>46121</v>
      </c>
      <c r="C199" s="7">
        <v>46127</v>
      </c>
      <c r="D199" s="6">
        <v>3271</v>
      </c>
      <c r="E199" s="6">
        <v>336</v>
      </c>
      <c r="F199" s="21">
        <v>4</v>
      </c>
      <c r="G199" s="15">
        <v>4</v>
      </c>
      <c r="H199" s="15">
        <v>81676</v>
      </c>
      <c r="I199" s="6" t="s">
        <v>543</v>
      </c>
      <c r="J199" s="27">
        <v>15441668</v>
      </c>
      <c r="K199" s="15" t="s">
        <v>1946</v>
      </c>
      <c r="L199" s="13" t="s">
        <v>1948</v>
      </c>
      <c r="M199" s="17">
        <v>79900</v>
      </c>
      <c r="N199" s="62">
        <v>0.6</v>
      </c>
      <c r="O199" s="12">
        <f t="shared" si="3"/>
        <v>31960</v>
      </c>
      <c r="P199" s="6" t="s">
        <v>3499</v>
      </c>
    </row>
    <row r="200" spans="1:16" x14ac:dyDescent="0.25">
      <c r="A200" s="6" t="s">
        <v>3498</v>
      </c>
      <c r="B200" s="7">
        <v>46121</v>
      </c>
      <c r="C200" s="7">
        <v>46127</v>
      </c>
      <c r="D200" s="6">
        <v>3271</v>
      </c>
      <c r="E200" s="6">
        <v>336</v>
      </c>
      <c r="F200" s="21">
        <v>4</v>
      </c>
      <c r="G200" s="15">
        <v>4</v>
      </c>
      <c r="H200" s="15">
        <v>81676</v>
      </c>
      <c r="I200" s="6" t="s">
        <v>543</v>
      </c>
      <c r="J200" s="27">
        <v>15441677</v>
      </c>
      <c r="K200" s="15" t="s">
        <v>1946</v>
      </c>
      <c r="L200" s="13" t="s">
        <v>1949</v>
      </c>
      <c r="M200" s="17">
        <v>79900</v>
      </c>
      <c r="N200" s="62">
        <v>0.6</v>
      </c>
      <c r="O200" s="12">
        <f t="shared" si="3"/>
        <v>31960</v>
      </c>
      <c r="P200" s="6" t="s">
        <v>3499</v>
      </c>
    </row>
    <row r="201" spans="1:16" x14ac:dyDescent="0.25">
      <c r="A201" s="6" t="s">
        <v>3498</v>
      </c>
      <c r="B201" s="7">
        <v>46121</v>
      </c>
      <c r="C201" s="7">
        <v>46127</v>
      </c>
      <c r="D201" s="6">
        <v>3271</v>
      </c>
      <c r="E201" s="6">
        <v>336</v>
      </c>
      <c r="F201" s="21">
        <v>4</v>
      </c>
      <c r="G201" s="15">
        <v>4</v>
      </c>
      <c r="H201" s="15">
        <v>81676</v>
      </c>
      <c r="I201" s="6" t="s">
        <v>543</v>
      </c>
      <c r="J201" s="27">
        <v>15441686</v>
      </c>
      <c r="K201" s="15" t="s">
        <v>1946</v>
      </c>
      <c r="L201" s="13" t="s">
        <v>1950</v>
      </c>
      <c r="M201" s="17">
        <v>79900</v>
      </c>
      <c r="N201" s="62">
        <v>0.6</v>
      </c>
      <c r="O201" s="12">
        <f t="shared" si="3"/>
        <v>31960</v>
      </c>
      <c r="P201" s="6" t="s">
        <v>3499</v>
      </c>
    </row>
    <row r="202" spans="1:16" x14ac:dyDescent="0.25">
      <c r="A202" s="6" t="s">
        <v>3498</v>
      </c>
      <c r="B202" s="7">
        <v>46121</v>
      </c>
      <c r="C202" s="7">
        <v>46127</v>
      </c>
      <c r="D202" s="6">
        <v>3271</v>
      </c>
      <c r="E202" s="6">
        <v>336</v>
      </c>
      <c r="F202" s="21">
        <v>4</v>
      </c>
      <c r="G202" s="15">
        <v>4</v>
      </c>
      <c r="H202" s="15">
        <v>81676</v>
      </c>
      <c r="I202" s="6" t="s">
        <v>543</v>
      </c>
      <c r="J202" s="27">
        <v>14910519</v>
      </c>
      <c r="K202" s="15" t="s">
        <v>1951</v>
      </c>
      <c r="L202" s="13" t="s">
        <v>1952</v>
      </c>
      <c r="M202" s="17">
        <v>79900</v>
      </c>
      <c r="N202" s="62">
        <v>0.6</v>
      </c>
      <c r="O202" s="12">
        <f t="shared" si="3"/>
        <v>31960</v>
      </c>
      <c r="P202" s="6" t="s">
        <v>3499</v>
      </c>
    </row>
    <row r="203" spans="1:16" x14ac:dyDescent="0.25">
      <c r="A203" s="6" t="s">
        <v>3498</v>
      </c>
      <c r="B203" s="7">
        <v>46121</v>
      </c>
      <c r="C203" s="7">
        <v>46127</v>
      </c>
      <c r="D203" s="6">
        <v>3271</v>
      </c>
      <c r="E203" s="6">
        <v>336</v>
      </c>
      <c r="F203" s="21">
        <v>4</v>
      </c>
      <c r="G203" s="15">
        <v>4</v>
      </c>
      <c r="H203" s="15">
        <v>81676</v>
      </c>
      <c r="I203" s="6" t="s">
        <v>543</v>
      </c>
      <c r="J203" s="27">
        <v>14910528</v>
      </c>
      <c r="K203" s="15" t="s">
        <v>1951</v>
      </c>
      <c r="L203" s="13" t="s">
        <v>1953</v>
      </c>
      <c r="M203" s="17">
        <v>79900</v>
      </c>
      <c r="N203" s="62">
        <v>0.6</v>
      </c>
      <c r="O203" s="12">
        <f t="shared" si="3"/>
        <v>31960</v>
      </c>
      <c r="P203" s="6" t="s">
        <v>3499</v>
      </c>
    </row>
    <row r="204" spans="1:16" x14ac:dyDescent="0.25">
      <c r="A204" s="6" t="s">
        <v>3498</v>
      </c>
      <c r="B204" s="7">
        <v>46121</v>
      </c>
      <c r="C204" s="7">
        <v>46127</v>
      </c>
      <c r="D204" s="6">
        <v>3271</v>
      </c>
      <c r="E204" s="6">
        <v>336</v>
      </c>
      <c r="F204" s="21">
        <v>4</v>
      </c>
      <c r="G204" s="15">
        <v>4</v>
      </c>
      <c r="H204" s="15">
        <v>81676</v>
      </c>
      <c r="I204" s="6" t="s">
        <v>543</v>
      </c>
      <c r="J204" s="27">
        <v>14910537</v>
      </c>
      <c r="K204" s="15" t="s">
        <v>1951</v>
      </c>
      <c r="L204" s="13" t="s">
        <v>1954</v>
      </c>
      <c r="M204" s="17">
        <v>79900</v>
      </c>
      <c r="N204" s="62">
        <v>0.6</v>
      </c>
      <c r="O204" s="12">
        <f t="shared" si="3"/>
        <v>31960</v>
      </c>
      <c r="P204" s="6" t="s">
        <v>3499</v>
      </c>
    </row>
    <row r="205" spans="1:16" x14ac:dyDescent="0.25">
      <c r="A205" s="6" t="s">
        <v>3498</v>
      </c>
      <c r="B205" s="7">
        <v>46121</v>
      </c>
      <c r="C205" s="7">
        <v>46127</v>
      </c>
      <c r="D205" s="6">
        <v>3271</v>
      </c>
      <c r="E205" s="6">
        <v>336</v>
      </c>
      <c r="F205" s="21">
        <v>4</v>
      </c>
      <c r="G205" s="15">
        <v>4</v>
      </c>
      <c r="H205" s="15">
        <v>81676</v>
      </c>
      <c r="I205" s="6" t="s">
        <v>543</v>
      </c>
      <c r="J205" s="27">
        <v>14910546</v>
      </c>
      <c r="K205" s="15" t="s">
        <v>1951</v>
      </c>
      <c r="L205" s="13" t="s">
        <v>1955</v>
      </c>
      <c r="M205" s="17">
        <v>79900</v>
      </c>
      <c r="N205" s="62">
        <v>0.6</v>
      </c>
      <c r="O205" s="12">
        <f t="shared" si="3"/>
        <v>31960</v>
      </c>
      <c r="P205" s="6" t="s">
        <v>3499</v>
      </c>
    </row>
    <row r="206" spans="1:16" x14ac:dyDescent="0.25">
      <c r="A206" s="6" t="s">
        <v>3498</v>
      </c>
      <c r="B206" s="7">
        <v>46121</v>
      </c>
      <c r="C206" s="7">
        <v>46127</v>
      </c>
      <c r="D206" s="6">
        <v>3271</v>
      </c>
      <c r="E206" s="6">
        <v>336</v>
      </c>
      <c r="F206" s="21">
        <v>4</v>
      </c>
      <c r="G206" s="15">
        <v>4</v>
      </c>
      <c r="H206" s="15">
        <v>81676</v>
      </c>
      <c r="I206" s="6" t="s">
        <v>543</v>
      </c>
      <c r="J206" s="27">
        <v>10610565</v>
      </c>
      <c r="K206" s="15" t="s">
        <v>1956</v>
      </c>
      <c r="L206" s="13" t="s">
        <v>1957</v>
      </c>
      <c r="M206" s="17">
        <v>79900</v>
      </c>
      <c r="N206" s="62">
        <v>0.6</v>
      </c>
      <c r="O206" s="12">
        <f t="shared" si="3"/>
        <v>31960</v>
      </c>
      <c r="P206" s="6" t="s">
        <v>3499</v>
      </c>
    </row>
    <row r="207" spans="1:16" x14ac:dyDescent="0.25">
      <c r="A207" s="6" t="s">
        <v>3498</v>
      </c>
      <c r="B207" s="7">
        <v>46121</v>
      </c>
      <c r="C207" s="7">
        <v>46127</v>
      </c>
      <c r="D207" s="6">
        <v>3271</v>
      </c>
      <c r="E207" s="6">
        <v>336</v>
      </c>
      <c r="F207" s="21">
        <v>4</v>
      </c>
      <c r="G207" s="15">
        <v>4</v>
      </c>
      <c r="H207" s="15">
        <v>81676</v>
      </c>
      <c r="I207" s="6" t="s">
        <v>543</v>
      </c>
      <c r="J207" s="27">
        <v>10610574</v>
      </c>
      <c r="K207" s="15" t="s">
        <v>1956</v>
      </c>
      <c r="L207" s="13" t="s">
        <v>1958</v>
      </c>
      <c r="M207" s="17">
        <v>79900</v>
      </c>
      <c r="N207" s="62">
        <v>0.6</v>
      </c>
      <c r="O207" s="12">
        <f t="shared" si="3"/>
        <v>31960</v>
      </c>
      <c r="P207" s="6" t="s">
        <v>3499</v>
      </c>
    </row>
    <row r="208" spans="1:16" x14ac:dyDescent="0.25">
      <c r="A208" s="6" t="s">
        <v>3498</v>
      </c>
      <c r="B208" s="7">
        <v>46121</v>
      </c>
      <c r="C208" s="7">
        <v>46127</v>
      </c>
      <c r="D208" s="6">
        <v>3271</v>
      </c>
      <c r="E208" s="6">
        <v>336</v>
      </c>
      <c r="F208" s="21">
        <v>4</v>
      </c>
      <c r="G208" s="15">
        <v>4</v>
      </c>
      <c r="H208" s="15">
        <v>81676</v>
      </c>
      <c r="I208" s="6" t="s">
        <v>543</v>
      </c>
      <c r="J208" s="27">
        <v>10610583</v>
      </c>
      <c r="K208" s="15" t="s">
        <v>1956</v>
      </c>
      <c r="L208" s="13" t="s">
        <v>1959</v>
      </c>
      <c r="M208" s="17">
        <v>79900</v>
      </c>
      <c r="N208" s="62">
        <v>0.6</v>
      </c>
      <c r="O208" s="12">
        <f t="shared" si="3"/>
        <v>31960</v>
      </c>
      <c r="P208" s="6" t="s">
        <v>3499</v>
      </c>
    </row>
    <row r="209" spans="1:16" x14ac:dyDescent="0.25">
      <c r="A209" s="6" t="s">
        <v>3498</v>
      </c>
      <c r="B209" s="7">
        <v>46121</v>
      </c>
      <c r="C209" s="7">
        <v>46127</v>
      </c>
      <c r="D209" s="6">
        <v>3271</v>
      </c>
      <c r="E209" s="6">
        <v>336</v>
      </c>
      <c r="F209" s="21">
        <v>4</v>
      </c>
      <c r="G209" s="15">
        <v>4</v>
      </c>
      <c r="H209" s="15">
        <v>81676</v>
      </c>
      <c r="I209" s="6" t="s">
        <v>543</v>
      </c>
      <c r="J209" s="27">
        <v>10610592</v>
      </c>
      <c r="K209" s="15" t="s">
        <v>1956</v>
      </c>
      <c r="L209" s="13" t="s">
        <v>1960</v>
      </c>
      <c r="M209" s="17">
        <v>79900</v>
      </c>
      <c r="N209" s="62">
        <v>0.6</v>
      </c>
      <c r="O209" s="12">
        <f t="shared" si="3"/>
        <v>31960</v>
      </c>
      <c r="P209" s="6" t="s">
        <v>3499</v>
      </c>
    </row>
    <row r="210" spans="1:16" x14ac:dyDescent="0.25">
      <c r="A210" s="6" t="s">
        <v>3498</v>
      </c>
      <c r="B210" s="7">
        <v>46121</v>
      </c>
      <c r="C210" s="7">
        <v>46127</v>
      </c>
      <c r="D210" s="6">
        <v>3271</v>
      </c>
      <c r="E210" s="35">
        <v>336</v>
      </c>
      <c r="F210" s="37">
        <v>4</v>
      </c>
      <c r="G210" s="38">
        <v>7</v>
      </c>
      <c r="H210" s="38">
        <v>81517</v>
      </c>
      <c r="I210" s="6" t="s">
        <v>543</v>
      </c>
      <c r="J210" s="39">
        <v>15441739</v>
      </c>
      <c r="K210" s="38" t="s">
        <v>1218</v>
      </c>
      <c r="L210" s="40" t="s">
        <v>1961</v>
      </c>
      <c r="M210" s="41">
        <v>169900</v>
      </c>
      <c r="N210" s="62">
        <v>0.6</v>
      </c>
      <c r="O210" s="12">
        <f t="shared" si="3"/>
        <v>67960</v>
      </c>
      <c r="P210" s="6" t="s">
        <v>3499</v>
      </c>
    </row>
    <row r="211" spans="1:16" x14ac:dyDescent="0.25">
      <c r="A211" s="6" t="s">
        <v>3498</v>
      </c>
      <c r="B211" s="7">
        <v>46121</v>
      </c>
      <c r="C211" s="7">
        <v>46127</v>
      </c>
      <c r="D211" s="6">
        <v>3271</v>
      </c>
      <c r="E211" s="35">
        <v>336</v>
      </c>
      <c r="F211" s="37">
        <v>4</v>
      </c>
      <c r="G211" s="38">
        <v>7</v>
      </c>
      <c r="H211" s="38">
        <v>81517</v>
      </c>
      <c r="I211" s="6" t="s">
        <v>543</v>
      </c>
      <c r="J211" s="39">
        <v>15441748</v>
      </c>
      <c r="K211" s="38" t="s">
        <v>1218</v>
      </c>
      <c r="L211" s="40" t="s">
        <v>1962</v>
      </c>
      <c r="M211" s="41">
        <v>169900</v>
      </c>
      <c r="N211" s="62">
        <v>0.6</v>
      </c>
      <c r="O211" s="12">
        <f t="shared" si="3"/>
        <v>67960</v>
      </c>
      <c r="P211" s="6" t="s">
        <v>3499</v>
      </c>
    </row>
    <row r="212" spans="1:16" x14ac:dyDescent="0.25">
      <c r="A212" s="6" t="s">
        <v>3498</v>
      </c>
      <c r="B212" s="7">
        <v>46121</v>
      </c>
      <c r="C212" s="7">
        <v>46127</v>
      </c>
      <c r="D212" s="6">
        <v>3271</v>
      </c>
      <c r="E212" s="35">
        <v>336</v>
      </c>
      <c r="F212" s="37">
        <v>4</v>
      </c>
      <c r="G212" s="38">
        <v>7</v>
      </c>
      <c r="H212" s="38">
        <v>81517</v>
      </c>
      <c r="I212" s="6" t="s">
        <v>543</v>
      </c>
      <c r="J212" s="39">
        <v>15441757</v>
      </c>
      <c r="K212" s="38" t="s">
        <v>1218</v>
      </c>
      <c r="L212" s="40" t="s">
        <v>1963</v>
      </c>
      <c r="M212" s="41">
        <v>169900</v>
      </c>
      <c r="N212" s="62">
        <v>0.6</v>
      </c>
      <c r="O212" s="12">
        <f t="shared" si="3"/>
        <v>67960</v>
      </c>
      <c r="P212" s="6" t="s">
        <v>3499</v>
      </c>
    </row>
    <row r="213" spans="1:16" x14ac:dyDescent="0.25">
      <c r="A213" s="6" t="s">
        <v>3498</v>
      </c>
      <c r="B213" s="7">
        <v>46121</v>
      </c>
      <c r="C213" s="7">
        <v>46127</v>
      </c>
      <c r="D213" s="6">
        <v>3271</v>
      </c>
      <c r="E213" s="35">
        <v>336</v>
      </c>
      <c r="F213" s="37">
        <v>4</v>
      </c>
      <c r="G213" s="38">
        <v>7</v>
      </c>
      <c r="H213" s="38">
        <v>81517</v>
      </c>
      <c r="I213" s="6" t="s">
        <v>543</v>
      </c>
      <c r="J213" s="39">
        <v>15441766</v>
      </c>
      <c r="K213" s="38" t="s">
        <v>1218</v>
      </c>
      <c r="L213" s="40" t="s">
        <v>1964</v>
      </c>
      <c r="M213" s="41">
        <v>169900</v>
      </c>
      <c r="N213" s="62">
        <v>0.6</v>
      </c>
      <c r="O213" s="12">
        <f t="shared" si="3"/>
        <v>67960</v>
      </c>
      <c r="P213" s="6" t="s">
        <v>3499</v>
      </c>
    </row>
    <row r="214" spans="1:16" x14ac:dyDescent="0.25">
      <c r="A214" s="6" t="s">
        <v>3498</v>
      </c>
      <c r="B214" s="7">
        <v>46121</v>
      </c>
      <c r="C214" s="7">
        <v>46127</v>
      </c>
      <c r="D214" s="6">
        <v>3271</v>
      </c>
      <c r="E214" s="35">
        <v>336</v>
      </c>
      <c r="F214" s="37">
        <v>4</v>
      </c>
      <c r="G214" s="38">
        <v>7</v>
      </c>
      <c r="H214" s="38">
        <v>81517</v>
      </c>
      <c r="I214" s="6" t="s">
        <v>543</v>
      </c>
      <c r="J214" s="39">
        <v>15442014</v>
      </c>
      <c r="K214" s="38" t="s">
        <v>1218</v>
      </c>
      <c r="L214" s="40" t="s">
        <v>1965</v>
      </c>
      <c r="M214" s="41">
        <v>169900</v>
      </c>
      <c r="N214" s="62">
        <v>0.6</v>
      </c>
      <c r="O214" s="12">
        <f t="shared" si="3"/>
        <v>67960</v>
      </c>
      <c r="P214" s="6" t="s">
        <v>3499</v>
      </c>
    </row>
    <row r="215" spans="1:16" x14ac:dyDescent="0.25">
      <c r="A215" s="6" t="s">
        <v>3498</v>
      </c>
      <c r="B215" s="7">
        <v>46121</v>
      </c>
      <c r="C215" s="7">
        <v>46127</v>
      </c>
      <c r="D215" s="6">
        <v>3271</v>
      </c>
      <c r="E215" s="35">
        <v>336</v>
      </c>
      <c r="F215" s="37">
        <v>4</v>
      </c>
      <c r="G215" s="38">
        <v>7</v>
      </c>
      <c r="H215" s="38">
        <v>81517</v>
      </c>
      <c r="I215" s="6" t="s">
        <v>543</v>
      </c>
      <c r="J215" s="39">
        <v>15442023</v>
      </c>
      <c r="K215" s="38" t="s">
        <v>1218</v>
      </c>
      <c r="L215" s="40" t="s">
        <v>1966</v>
      </c>
      <c r="M215" s="41">
        <v>169900</v>
      </c>
      <c r="N215" s="62">
        <v>0.6</v>
      </c>
      <c r="O215" s="12">
        <f t="shared" si="3"/>
        <v>67960</v>
      </c>
      <c r="P215" s="6" t="s">
        <v>3499</v>
      </c>
    </row>
    <row r="216" spans="1:16" x14ac:dyDescent="0.25">
      <c r="A216" s="6" t="s">
        <v>3498</v>
      </c>
      <c r="B216" s="7">
        <v>46121</v>
      </c>
      <c r="C216" s="7">
        <v>46127</v>
      </c>
      <c r="D216" s="6">
        <v>3271</v>
      </c>
      <c r="E216" s="35">
        <v>336</v>
      </c>
      <c r="F216" s="37">
        <v>4</v>
      </c>
      <c r="G216" s="38">
        <v>7</v>
      </c>
      <c r="H216" s="38">
        <v>81517</v>
      </c>
      <c r="I216" s="6" t="s">
        <v>543</v>
      </c>
      <c r="J216" s="39">
        <v>15442032</v>
      </c>
      <c r="K216" s="38" t="s">
        <v>1218</v>
      </c>
      <c r="L216" s="40" t="s">
        <v>1967</v>
      </c>
      <c r="M216" s="41">
        <v>169900</v>
      </c>
      <c r="N216" s="62">
        <v>0.6</v>
      </c>
      <c r="O216" s="12">
        <f t="shared" si="3"/>
        <v>67960</v>
      </c>
      <c r="P216" s="6" t="s">
        <v>3499</v>
      </c>
    </row>
    <row r="217" spans="1:16" x14ac:dyDescent="0.25">
      <c r="A217" s="6" t="s">
        <v>3498</v>
      </c>
      <c r="B217" s="7">
        <v>46121</v>
      </c>
      <c r="C217" s="7">
        <v>46127</v>
      </c>
      <c r="D217" s="6">
        <v>3271</v>
      </c>
      <c r="E217" s="35">
        <v>336</v>
      </c>
      <c r="F217" s="37">
        <v>4</v>
      </c>
      <c r="G217" s="38">
        <v>7</v>
      </c>
      <c r="H217" s="38">
        <v>81517</v>
      </c>
      <c r="I217" s="6" t="s">
        <v>543</v>
      </c>
      <c r="J217" s="39">
        <v>15442041</v>
      </c>
      <c r="K217" s="38" t="s">
        <v>1218</v>
      </c>
      <c r="L217" s="40" t="s">
        <v>1968</v>
      </c>
      <c r="M217" s="41">
        <v>169900</v>
      </c>
      <c r="N217" s="62">
        <v>0.6</v>
      </c>
      <c r="O217" s="12">
        <f t="shared" si="3"/>
        <v>67960</v>
      </c>
      <c r="P217" s="6" t="s">
        <v>3499</v>
      </c>
    </row>
    <row r="218" spans="1:16" x14ac:dyDescent="0.25">
      <c r="A218" s="6" t="s">
        <v>3498</v>
      </c>
      <c r="B218" s="7">
        <v>46121</v>
      </c>
      <c r="C218" s="7">
        <v>46127</v>
      </c>
      <c r="D218" s="6">
        <v>3271</v>
      </c>
      <c r="E218" s="35">
        <v>336</v>
      </c>
      <c r="F218" s="37">
        <v>4</v>
      </c>
      <c r="G218" s="38">
        <v>7</v>
      </c>
      <c r="H218" s="38">
        <v>81517</v>
      </c>
      <c r="I218" s="6" t="s">
        <v>543</v>
      </c>
      <c r="J218" s="39">
        <v>15442176</v>
      </c>
      <c r="K218" s="38" t="s">
        <v>1218</v>
      </c>
      <c r="L218" s="40" t="s">
        <v>1969</v>
      </c>
      <c r="M218" s="41">
        <v>169900</v>
      </c>
      <c r="N218" s="62">
        <v>0.6</v>
      </c>
      <c r="O218" s="12">
        <f t="shared" si="3"/>
        <v>67960</v>
      </c>
      <c r="P218" s="6" t="s">
        <v>3499</v>
      </c>
    </row>
    <row r="219" spans="1:16" x14ac:dyDescent="0.25">
      <c r="A219" s="6" t="s">
        <v>3498</v>
      </c>
      <c r="B219" s="7">
        <v>46121</v>
      </c>
      <c r="C219" s="7">
        <v>46127</v>
      </c>
      <c r="D219" s="6">
        <v>3271</v>
      </c>
      <c r="E219" s="35">
        <v>336</v>
      </c>
      <c r="F219" s="37">
        <v>4</v>
      </c>
      <c r="G219" s="38">
        <v>7</v>
      </c>
      <c r="H219" s="38">
        <v>81517</v>
      </c>
      <c r="I219" s="6" t="s">
        <v>543</v>
      </c>
      <c r="J219" s="39">
        <v>15442185</v>
      </c>
      <c r="K219" s="38" t="s">
        <v>1218</v>
      </c>
      <c r="L219" s="40" t="s">
        <v>1970</v>
      </c>
      <c r="M219" s="41">
        <v>169900</v>
      </c>
      <c r="N219" s="62">
        <v>0.6</v>
      </c>
      <c r="O219" s="12">
        <f t="shared" si="3"/>
        <v>67960</v>
      </c>
      <c r="P219" s="6" t="s">
        <v>3499</v>
      </c>
    </row>
    <row r="220" spans="1:16" x14ac:dyDescent="0.25">
      <c r="A220" s="6" t="s">
        <v>3498</v>
      </c>
      <c r="B220" s="7">
        <v>46121</v>
      </c>
      <c r="C220" s="7">
        <v>46127</v>
      </c>
      <c r="D220" s="6">
        <v>3271</v>
      </c>
      <c r="E220" s="35">
        <v>336</v>
      </c>
      <c r="F220" s="37">
        <v>4</v>
      </c>
      <c r="G220" s="38">
        <v>7</v>
      </c>
      <c r="H220" s="38">
        <v>81517</v>
      </c>
      <c r="I220" s="6" t="s">
        <v>543</v>
      </c>
      <c r="J220" s="39">
        <v>15442194</v>
      </c>
      <c r="K220" s="38" t="s">
        <v>1218</v>
      </c>
      <c r="L220" s="40" t="s">
        <v>1971</v>
      </c>
      <c r="M220" s="41">
        <v>169900</v>
      </c>
      <c r="N220" s="62">
        <v>0.6</v>
      </c>
      <c r="O220" s="12">
        <f t="shared" si="3"/>
        <v>67960</v>
      </c>
      <c r="P220" s="6" t="s">
        <v>3499</v>
      </c>
    </row>
    <row r="221" spans="1:16" x14ac:dyDescent="0.25">
      <c r="A221" s="6" t="s">
        <v>3498</v>
      </c>
      <c r="B221" s="7">
        <v>46121</v>
      </c>
      <c r="C221" s="7">
        <v>46127</v>
      </c>
      <c r="D221" s="6">
        <v>3271</v>
      </c>
      <c r="E221" s="35">
        <v>336</v>
      </c>
      <c r="F221" s="37">
        <v>4</v>
      </c>
      <c r="G221" s="38">
        <v>7</v>
      </c>
      <c r="H221" s="38">
        <v>81517</v>
      </c>
      <c r="I221" s="6" t="s">
        <v>543</v>
      </c>
      <c r="J221" s="39">
        <v>15442201</v>
      </c>
      <c r="K221" s="38" t="s">
        <v>1218</v>
      </c>
      <c r="L221" s="40" t="s">
        <v>1972</v>
      </c>
      <c r="M221" s="41">
        <v>169900</v>
      </c>
      <c r="N221" s="62">
        <v>0.6</v>
      </c>
      <c r="O221" s="12">
        <f t="shared" si="3"/>
        <v>67960</v>
      </c>
      <c r="P221" s="6" t="s">
        <v>3499</v>
      </c>
    </row>
    <row r="222" spans="1:16" x14ac:dyDescent="0.25">
      <c r="A222" s="6" t="s">
        <v>3498</v>
      </c>
      <c r="B222" s="7">
        <v>46121</v>
      </c>
      <c r="C222" s="7">
        <v>46127</v>
      </c>
      <c r="D222" s="6">
        <v>3271</v>
      </c>
      <c r="E222" s="35">
        <v>336</v>
      </c>
      <c r="F222" s="37">
        <v>4</v>
      </c>
      <c r="G222" s="38">
        <v>7</v>
      </c>
      <c r="H222" s="38">
        <v>81517</v>
      </c>
      <c r="I222" s="6" t="s">
        <v>543</v>
      </c>
      <c r="J222" s="39">
        <v>15442416</v>
      </c>
      <c r="K222" s="38" t="s">
        <v>1218</v>
      </c>
      <c r="L222" s="40" t="s">
        <v>1973</v>
      </c>
      <c r="M222" s="41">
        <v>169900</v>
      </c>
      <c r="N222" s="62">
        <v>0.6</v>
      </c>
      <c r="O222" s="12">
        <f t="shared" si="3"/>
        <v>67960</v>
      </c>
      <c r="P222" s="6" t="s">
        <v>3499</v>
      </c>
    </row>
    <row r="223" spans="1:16" x14ac:dyDescent="0.25">
      <c r="A223" s="6" t="s">
        <v>3498</v>
      </c>
      <c r="B223" s="7">
        <v>46121</v>
      </c>
      <c r="C223" s="7">
        <v>46127</v>
      </c>
      <c r="D223" s="6">
        <v>3271</v>
      </c>
      <c r="E223" s="35">
        <v>336</v>
      </c>
      <c r="F223" s="37">
        <v>4</v>
      </c>
      <c r="G223" s="38">
        <v>7</v>
      </c>
      <c r="H223" s="38">
        <v>81517</v>
      </c>
      <c r="I223" s="6" t="s">
        <v>543</v>
      </c>
      <c r="J223" s="39">
        <v>15442434</v>
      </c>
      <c r="K223" s="38" t="s">
        <v>1218</v>
      </c>
      <c r="L223" s="40" t="s">
        <v>1974</v>
      </c>
      <c r="M223" s="41">
        <v>169900</v>
      </c>
      <c r="N223" s="62">
        <v>0.6</v>
      </c>
      <c r="O223" s="12">
        <f t="shared" si="3"/>
        <v>67960</v>
      </c>
      <c r="P223" s="6" t="s">
        <v>3499</v>
      </c>
    </row>
    <row r="224" spans="1:16" x14ac:dyDescent="0.25">
      <c r="A224" s="6" t="s">
        <v>3498</v>
      </c>
      <c r="B224" s="7">
        <v>46121</v>
      </c>
      <c r="C224" s="7">
        <v>46127</v>
      </c>
      <c r="D224" s="6">
        <v>3271</v>
      </c>
      <c r="E224" s="35">
        <v>336</v>
      </c>
      <c r="F224" s="37">
        <v>4</v>
      </c>
      <c r="G224" s="38">
        <v>7</v>
      </c>
      <c r="H224" s="38">
        <v>81517</v>
      </c>
      <c r="I224" s="6" t="s">
        <v>543</v>
      </c>
      <c r="J224" s="39">
        <v>15442443</v>
      </c>
      <c r="K224" s="38" t="s">
        <v>1218</v>
      </c>
      <c r="L224" s="40" t="s">
        <v>1975</v>
      </c>
      <c r="M224" s="41">
        <v>169900</v>
      </c>
      <c r="N224" s="62">
        <v>0.6</v>
      </c>
      <c r="O224" s="12">
        <f t="shared" si="3"/>
        <v>67960</v>
      </c>
      <c r="P224" s="6" t="s">
        <v>3499</v>
      </c>
    </row>
    <row r="225" spans="1:16" x14ac:dyDescent="0.25">
      <c r="A225" s="6" t="s">
        <v>3498</v>
      </c>
      <c r="B225" s="7">
        <v>46121</v>
      </c>
      <c r="C225" s="7">
        <v>46127</v>
      </c>
      <c r="D225" s="6">
        <v>3271</v>
      </c>
      <c r="E225" s="35">
        <v>336</v>
      </c>
      <c r="F225" s="37">
        <v>4</v>
      </c>
      <c r="G225" s="38">
        <v>7</v>
      </c>
      <c r="H225" s="38">
        <v>81517</v>
      </c>
      <c r="I225" s="6" t="s">
        <v>543</v>
      </c>
      <c r="J225" s="39">
        <v>15442452</v>
      </c>
      <c r="K225" s="38" t="s">
        <v>1218</v>
      </c>
      <c r="L225" s="40" t="s">
        <v>1976</v>
      </c>
      <c r="M225" s="41">
        <v>169900</v>
      </c>
      <c r="N225" s="62">
        <v>0.6</v>
      </c>
      <c r="O225" s="12">
        <f t="shared" si="3"/>
        <v>67960</v>
      </c>
      <c r="P225" s="6" t="s">
        <v>3499</v>
      </c>
    </row>
    <row r="226" spans="1:16" x14ac:dyDescent="0.25">
      <c r="A226" s="6" t="s">
        <v>3498</v>
      </c>
      <c r="B226" s="7">
        <v>46121</v>
      </c>
      <c r="C226" s="7">
        <v>46127</v>
      </c>
      <c r="D226" s="6">
        <v>3271</v>
      </c>
      <c r="E226" s="6">
        <v>336</v>
      </c>
      <c r="F226" s="6">
        <v>4</v>
      </c>
      <c r="G226" s="6">
        <v>4</v>
      </c>
      <c r="H226" s="6">
        <v>81305</v>
      </c>
      <c r="I226" s="6" t="s">
        <v>543</v>
      </c>
      <c r="J226" s="6">
        <v>23422815</v>
      </c>
      <c r="K226" s="6" t="s">
        <v>1577</v>
      </c>
      <c r="L226" s="13" t="s">
        <v>1578</v>
      </c>
      <c r="M226" s="19">
        <v>99900</v>
      </c>
      <c r="N226" s="62">
        <v>0.6</v>
      </c>
      <c r="O226" s="12">
        <f>M226-((60*M226)/100)</f>
        <v>39960</v>
      </c>
      <c r="P226" s="6" t="s">
        <v>3499</v>
      </c>
    </row>
    <row r="227" spans="1:16" x14ac:dyDescent="0.25">
      <c r="A227" s="6" t="s">
        <v>3498</v>
      </c>
      <c r="B227" s="7">
        <v>46121</v>
      </c>
      <c r="C227" s="7">
        <v>46127</v>
      </c>
      <c r="D227" s="6">
        <v>3271</v>
      </c>
      <c r="E227" s="6">
        <v>336</v>
      </c>
      <c r="F227" s="6">
        <v>4</v>
      </c>
      <c r="G227" s="6">
        <v>4</v>
      </c>
      <c r="H227" s="6">
        <v>81305</v>
      </c>
      <c r="I227" s="6" t="s">
        <v>543</v>
      </c>
      <c r="J227" s="6">
        <v>23422824</v>
      </c>
      <c r="K227" s="6" t="s">
        <v>1577</v>
      </c>
      <c r="L227" s="13" t="s">
        <v>1580</v>
      </c>
      <c r="M227" s="19">
        <v>99900</v>
      </c>
      <c r="N227" s="62">
        <v>0.6</v>
      </c>
      <c r="O227" s="12">
        <f t="shared" ref="O227:O290" si="4">M227-((60*M227)/100)</f>
        <v>39960</v>
      </c>
      <c r="P227" s="6" t="s">
        <v>3499</v>
      </c>
    </row>
    <row r="228" spans="1:16" x14ac:dyDescent="0.25">
      <c r="A228" s="6" t="s">
        <v>3498</v>
      </c>
      <c r="B228" s="7">
        <v>46121</v>
      </c>
      <c r="C228" s="7">
        <v>46127</v>
      </c>
      <c r="D228" s="6">
        <v>3271</v>
      </c>
      <c r="E228" s="6">
        <v>336</v>
      </c>
      <c r="F228" s="6">
        <v>4</v>
      </c>
      <c r="G228" s="6">
        <v>4</v>
      </c>
      <c r="H228" s="6">
        <v>81305</v>
      </c>
      <c r="I228" s="6" t="s">
        <v>543</v>
      </c>
      <c r="J228" s="6">
        <v>23422833</v>
      </c>
      <c r="K228" s="6" t="s">
        <v>1577</v>
      </c>
      <c r="L228" s="13" t="s">
        <v>1581</v>
      </c>
      <c r="M228" s="19">
        <v>99900</v>
      </c>
      <c r="N228" s="62">
        <v>0.6</v>
      </c>
      <c r="O228" s="12">
        <f t="shared" si="4"/>
        <v>39960</v>
      </c>
      <c r="P228" s="6" t="s">
        <v>3499</v>
      </c>
    </row>
    <row r="229" spans="1:16" x14ac:dyDescent="0.25">
      <c r="A229" s="6" t="s">
        <v>3498</v>
      </c>
      <c r="B229" s="7">
        <v>46121</v>
      </c>
      <c r="C229" s="7">
        <v>46127</v>
      </c>
      <c r="D229" s="6">
        <v>3271</v>
      </c>
      <c r="E229" s="6">
        <v>336</v>
      </c>
      <c r="F229" s="6">
        <v>4</v>
      </c>
      <c r="G229" s="6">
        <v>4</v>
      </c>
      <c r="H229" s="6">
        <v>81305</v>
      </c>
      <c r="I229" s="6" t="s">
        <v>543</v>
      </c>
      <c r="J229" s="6">
        <v>23422842</v>
      </c>
      <c r="K229" s="6" t="s">
        <v>1577</v>
      </c>
      <c r="L229" s="13" t="s">
        <v>1582</v>
      </c>
      <c r="M229" s="19">
        <v>99900</v>
      </c>
      <c r="N229" s="62">
        <v>0.6</v>
      </c>
      <c r="O229" s="12">
        <f t="shared" si="4"/>
        <v>39960</v>
      </c>
      <c r="P229" s="6" t="s">
        <v>3499</v>
      </c>
    </row>
    <row r="230" spans="1:16" x14ac:dyDescent="0.25">
      <c r="A230" s="6" t="s">
        <v>3498</v>
      </c>
      <c r="B230" s="7">
        <v>46121</v>
      </c>
      <c r="C230" s="7">
        <v>46127</v>
      </c>
      <c r="D230" s="6">
        <v>3271</v>
      </c>
      <c r="E230" s="6">
        <v>336</v>
      </c>
      <c r="F230" s="6">
        <v>4</v>
      </c>
      <c r="G230" s="6">
        <v>4</v>
      </c>
      <c r="H230" s="6">
        <v>81305</v>
      </c>
      <c r="I230" s="6" t="s">
        <v>543</v>
      </c>
      <c r="J230" s="6">
        <v>25729375</v>
      </c>
      <c r="K230" s="6" t="s">
        <v>1583</v>
      </c>
      <c r="L230" s="13" t="s">
        <v>1584</v>
      </c>
      <c r="M230" s="19">
        <v>99900</v>
      </c>
      <c r="N230" s="62">
        <v>0.6</v>
      </c>
      <c r="O230" s="12">
        <f t="shared" si="4"/>
        <v>39960</v>
      </c>
      <c r="P230" s="6" t="s">
        <v>3499</v>
      </c>
    </row>
    <row r="231" spans="1:16" x14ac:dyDescent="0.25">
      <c r="A231" s="6" t="s">
        <v>3498</v>
      </c>
      <c r="B231" s="7">
        <v>46121</v>
      </c>
      <c r="C231" s="7">
        <v>46127</v>
      </c>
      <c r="D231" s="6">
        <v>3271</v>
      </c>
      <c r="E231" s="6">
        <v>336</v>
      </c>
      <c r="F231" s="6">
        <v>4</v>
      </c>
      <c r="G231" s="6">
        <v>4</v>
      </c>
      <c r="H231" s="6">
        <v>81305</v>
      </c>
      <c r="I231" s="6" t="s">
        <v>543</v>
      </c>
      <c r="J231" s="6">
        <v>25729384</v>
      </c>
      <c r="K231" s="6" t="s">
        <v>1583</v>
      </c>
      <c r="L231" s="13" t="s">
        <v>1585</v>
      </c>
      <c r="M231" s="19">
        <v>99900</v>
      </c>
      <c r="N231" s="62">
        <v>0.6</v>
      </c>
      <c r="O231" s="12">
        <f t="shared" si="4"/>
        <v>39960</v>
      </c>
      <c r="P231" s="6" t="s">
        <v>3499</v>
      </c>
    </row>
    <row r="232" spans="1:16" x14ac:dyDescent="0.25">
      <c r="A232" s="6" t="s">
        <v>3498</v>
      </c>
      <c r="B232" s="7">
        <v>46121</v>
      </c>
      <c r="C232" s="7">
        <v>46127</v>
      </c>
      <c r="D232" s="6">
        <v>3271</v>
      </c>
      <c r="E232" s="6">
        <v>336</v>
      </c>
      <c r="F232" s="6">
        <v>4</v>
      </c>
      <c r="G232" s="6">
        <v>4</v>
      </c>
      <c r="H232" s="6">
        <v>81305</v>
      </c>
      <c r="I232" s="6" t="s">
        <v>543</v>
      </c>
      <c r="J232" s="6">
        <v>25729393</v>
      </c>
      <c r="K232" s="6" t="s">
        <v>1583</v>
      </c>
      <c r="L232" s="13" t="s">
        <v>1586</v>
      </c>
      <c r="M232" s="19">
        <v>99900</v>
      </c>
      <c r="N232" s="62">
        <v>0.6</v>
      </c>
      <c r="O232" s="12">
        <f t="shared" si="4"/>
        <v>39960</v>
      </c>
      <c r="P232" s="6" t="s">
        <v>3499</v>
      </c>
    </row>
    <row r="233" spans="1:16" x14ac:dyDescent="0.25">
      <c r="A233" s="6" t="s">
        <v>3498</v>
      </c>
      <c r="B233" s="7">
        <v>46121</v>
      </c>
      <c r="C233" s="7">
        <v>46127</v>
      </c>
      <c r="D233" s="6">
        <v>3271</v>
      </c>
      <c r="E233" s="6">
        <v>336</v>
      </c>
      <c r="F233" s="6">
        <v>4</v>
      </c>
      <c r="G233" s="6">
        <v>4</v>
      </c>
      <c r="H233" s="6">
        <v>81305</v>
      </c>
      <c r="I233" s="6" t="s">
        <v>543</v>
      </c>
      <c r="J233" s="6">
        <v>25729400</v>
      </c>
      <c r="K233" s="6" t="s">
        <v>1583</v>
      </c>
      <c r="L233" s="13" t="s">
        <v>1587</v>
      </c>
      <c r="M233" s="19">
        <v>99900</v>
      </c>
      <c r="N233" s="62">
        <v>0.6</v>
      </c>
      <c r="O233" s="12">
        <f t="shared" si="4"/>
        <v>39960</v>
      </c>
      <c r="P233" s="6" t="s">
        <v>3499</v>
      </c>
    </row>
    <row r="234" spans="1:16" x14ac:dyDescent="0.25">
      <c r="A234" s="6" t="s">
        <v>3498</v>
      </c>
      <c r="B234" s="7">
        <v>46121</v>
      </c>
      <c r="C234" s="7">
        <v>46127</v>
      </c>
      <c r="D234" s="6">
        <v>3271</v>
      </c>
      <c r="E234" s="6">
        <v>336</v>
      </c>
      <c r="F234" s="6">
        <v>4</v>
      </c>
      <c r="G234" s="6">
        <v>4</v>
      </c>
      <c r="H234" s="6">
        <v>4953</v>
      </c>
      <c r="I234" s="6" t="s">
        <v>543</v>
      </c>
      <c r="J234" s="6">
        <v>25729419</v>
      </c>
      <c r="K234" s="6" t="s">
        <v>1588</v>
      </c>
      <c r="L234" s="13" t="s">
        <v>1589</v>
      </c>
      <c r="M234" s="19">
        <v>99900</v>
      </c>
      <c r="N234" s="62">
        <v>0.6</v>
      </c>
      <c r="O234" s="12">
        <f t="shared" si="4"/>
        <v>39960</v>
      </c>
      <c r="P234" s="6" t="s">
        <v>3499</v>
      </c>
    </row>
    <row r="235" spans="1:16" x14ac:dyDescent="0.25">
      <c r="A235" s="6" t="s">
        <v>3498</v>
      </c>
      <c r="B235" s="7">
        <v>46121</v>
      </c>
      <c r="C235" s="7">
        <v>46127</v>
      </c>
      <c r="D235" s="6">
        <v>3271</v>
      </c>
      <c r="E235" s="6">
        <v>336</v>
      </c>
      <c r="F235" s="6">
        <v>4</v>
      </c>
      <c r="G235" s="6">
        <v>4</v>
      </c>
      <c r="H235" s="6">
        <v>4953</v>
      </c>
      <c r="I235" s="6" t="s">
        <v>543</v>
      </c>
      <c r="J235" s="6">
        <v>25729428</v>
      </c>
      <c r="K235" s="6" t="s">
        <v>1588</v>
      </c>
      <c r="L235" s="13" t="s">
        <v>1590</v>
      </c>
      <c r="M235" s="19">
        <v>99900</v>
      </c>
      <c r="N235" s="62">
        <v>0.6</v>
      </c>
      <c r="O235" s="12">
        <f t="shared" si="4"/>
        <v>39960</v>
      </c>
      <c r="P235" s="6" t="s">
        <v>3499</v>
      </c>
    </row>
    <row r="236" spans="1:16" x14ac:dyDescent="0.25">
      <c r="A236" s="6" t="s">
        <v>3498</v>
      </c>
      <c r="B236" s="7">
        <v>46121</v>
      </c>
      <c r="C236" s="7">
        <v>46127</v>
      </c>
      <c r="D236" s="6">
        <v>3271</v>
      </c>
      <c r="E236" s="6">
        <v>336</v>
      </c>
      <c r="F236" s="6">
        <v>4</v>
      </c>
      <c r="G236" s="6">
        <v>4</v>
      </c>
      <c r="H236" s="6">
        <v>4953</v>
      </c>
      <c r="I236" s="6" t="s">
        <v>543</v>
      </c>
      <c r="J236" s="6">
        <v>25729437</v>
      </c>
      <c r="K236" s="6" t="s">
        <v>1588</v>
      </c>
      <c r="L236" s="13" t="s">
        <v>1591</v>
      </c>
      <c r="M236" s="19">
        <v>99900</v>
      </c>
      <c r="N236" s="62">
        <v>0.6</v>
      </c>
      <c r="O236" s="12">
        <f t="shared" si="4"/>
        <v>39960</v>
      </c>
      <c r="P236" s="6" t="s">
        <v>3499</v>
      </c>
    </row>
    <row r="237" spans="1:16" x14ac:dyDescent="0.25">
      <c r="A237" s="6" t="s">
        <v>3498</v>
      </c>
      <c r="B237" s="7">
        <v>46121</v>
      </c>
      <c r="C237" s="7">
        <v>46127</v>
      </c>
      <c r="D237" s="6">
        <v>3271</v>
      </c>
      <c r="E237" s="6">
        <v>336</v>
      </c>
      <c r="F237" s="6">
        <v>4</v>
      </c>
      <c r="G237" s="6">
        <v>4</v>
      </c>
      <c r="H237" s="6">
        <v>4953</v>
      </c>
      <c r="I237" s="6" t="s">
        <v>543</v>
      </c>
      <c r="J237" s="6">
        <v>25729446</v>
      </c>
      <c r="K237" s="6" t="s">
        <v>1588</v>
      </c>
      <c r="L237" s="13" t="s">
        <v>1592</v>
      </c>
      <c r="M237" s="19">
        <v>99900</v>
      </c>
      <c r="N237" s="62">
        <v>0.6</v>
      </c>
      <c r="O237" s="12">
        <f t="shared" si="4"/>
        <v>39960</v>
      </c>
      <c r="P237" s="6" t="s">
        <v>3499</v>
      </c>
    </row>
    <row r="238" spans="1:16" x14ac:dyDescent="0.25">
      <c r="A238" s="6" t="s">
        <v>3498</v>
      </c>
      <c r="B238" s="7">
        <v>46121</v>
      </c>
      <c r="C238" s="7">
        <v>46127</v>
      </c>
      <c r="D238" s="6">
        <v>3271</v>
      </c>
      <c r="E238" s="6">
        <v>336</v>
      </c>
      <c r="F238" s="6">
        <v>4</v>
      </c>
      <c r="G238" s="6">
        <v>4</v>
      </c>
      <c r="H238" s="6">
        <v>4953</v>
      </c>
      <c r="I238" s="6" t="s">
        <v>543</v>
      </c>
      <c r="J238" s="6">
        <v>25729455</v>
      </c>
      <c r="K238" s="6" t="s">
        <v>1593</v>
      </c>
      <c r="L238" s="13" t="s">
        <v>1594</v>
      </c>
      <c r="M238" s="19">
        <v>99900</v>
      </c>
      <c r="N238" s="62">
        <v>0.6</v>
      </c>
      <c r="O238" s="12">
        <f t="shared" si="4"/>
        <v>39960</v>
      </c>
      <c r="P238" s="6" t="s">
        <v>3499</v>
      </c>
    </row>
    <row r="239" spans="1:16" x14ac:dyDescent="0.25">
      <c r="A239" s="6" t="s">
        <v>3498</v>
      </c>
      <c r="B239" s="7">
        <v>46121</v>
      </c>
      <c r="C239" s="7">
        <v>46127</v>
      </c>
      <c r="D239" s="6">
        <v>3271</v>
      </c>
      <c r="E239" s="6">
        <v>336</v>
      </c>
      <c r="F239" s="6">
        <v>4</v>
      </c>
      <c r="G239" s="6">
        <v>4</v>
      </c>
      <c r="H239" s="6">
        <v>4953</v>
      </c>
      <c r="I239" s="6" t="s">
        <v>543</v>
      </c>
      <c r="J239" s="6">
        <v>25729464</v>
      </c>
      <c r="K239" s="6" t="s">
        <v>1593</v>
      </c>
      <c r="L239" s="13" t="s">
        <v>1595</v>
      </c>
      <c r="M239" s="19">
        <v>99900</v>
      </c>
      <c r="N239" s="62">
        <v>0.6</v>
      </c>
      <c r="O239" s="12">
        <f t="shared" si="4"/>
        <v>39960</v>
      </c>
      <c r="P239" s="6" t="s">
        <v>3499</v>
      </c>
    </row>
    <row r="240" spans="1:16" x14ac:dyDescent="0.25">
      <c r="A240" s="6" t="s">
        <v>3498</v>
      </c>
      <c r="B240" s="7">
        <v>46121</v>
      </c>
      <c r="C240" s="7">
        <v>46127</v>
      </c>
      <c r="D240" s="6">
        <v>3271</v>
      </c>
      <c r="E240" s="6">
        <v>336</v>
      </c>
      <c r="F240" s="6">
        <v>4</v>
      </c>
      <c r="G240" s="6">
        <v>4</v>
      </c>
      <c r="H240" s="6">
        <v>4953</v>
      </c>
      <c r="I240" s="6" t="s">
        <v>543</v>
      </c>
      <c r="J240" s="6">
        <v>25729473</v>
      </c>
      <c r="K240" s="6" t="s">
        <v>1593</v>
      </c>
      <c r="L240" s="13" t="s">
        <v>1596</v>
      </c>
      <c r="M240" s="19">
        <v>99900</v>
      </c>
      <c r="N240" s="62">
        <v>0.6</v>
      </c>
      <c r="O240" s="12">
        <f t="shared" si="4"/>
        <v>39960</v>
      </c>
      <c r="P240" s="6" t="s">
        <v>3499</v>
      </c>
    </row>
    <row r="241" spans="1:16" x14ac:dyDescent="0.25">
      <c r="A241" s="6" t="s">
        <v>3498</v>
      </c>
      <c r="B241" s="7">
        <v>46121</v>
      </c>
      <c r="C241" s="7">
        <v>46127</v>
      </c>
      <c r="D241" s="6">
        <v>3271</v>
      </c>
      <c r="E241" s="6">
        <v>336</v>
      </c>
      <c r="F241" s="6">
        <v>4</v>
      </c>
      <c r="G241" s="6">
        <v>4</v>
      </c>
      <c r="H241" s="6">
        <v>4953</v>
      </c>
      <c r="I241" s="6" t="s">
        <v>543</v>
      </c>
      <c r="J241" s="6">
        <v>25729482</v>
      </c>
      <c r="K241" s="6" t="s">
        <v>1593</v>
      </c>
      <c r="L241" s="13" t="s">
        <v>1597</v>
      </c>
      <c r="M241" s="19">
        <v>99900</v>
      </c>
      <c r="N241" s="62">
        <v>0.6</v>
      </c>
      <c r="O241" s="12">
        <f t="shared" si="4"/>
        <v>39960</v>
      </c>
      <c r="P241" s="6" t="s">
        <v>3499</v>
      </c>
    </row>
    <row r="242" spans="1:16" x14ac:dyDescent="0.25">
      <c r="A242" s="6" t="s">
        <v>3498</v>
      </c>
      <c r="B242" s="7">
        <v>46121</v>
      </c>
      <c r="C242" s="7">
        <v>46127</v>
      </c>
      <c r="D242" s="6">
        <v>3271</v>
      </c>
      <c r="E242" s="6">
        <v>336</v>
      </c>
      <c r="F242" s="6">
        <v>4</v>
      </c>
      <c r="G242" s="6">
        <v>4</v>
      </c>
      <c r="H242" s="6">
        <v>4953</v>
      </c>
      <c r="I242" s="6" t="s">
        <v>543</v>
      </c>
      <c r="J242" s="6">
        <v>45729284</v>
      </c>
      <c r="K242" s="6" t="s">
        <v>1598</v>
      </c>
      <c r="L242" s="13" t="s">
        <v>1599</v>
      </c>
      <c r="M242" s="19">
        <v>99900</v>
      </c>
      <c r="N242" s="62">
        <v>0.6</v>
      </c>
      <c r="O242" s="12">
        <f t="shared" si="4"/>
        <v>39960</v>
      </c>
      <c r="P242" s="6" t="s">
        <v>3499</v>
      </c>
    </row>
    <row r="243" spans="1:16" x14ac:dyDescent="0.25">
      <c r="A243" s="6" t="s">
        <v>3498</v>
      </c>
      <c r="B243" s="7">
        <v>46121</v>
      </c>
      <c r="C243" s="7">
        <v>46127</v>
      </c>
      <c r="D243" s="6">
        <v>3271</v>
      </c>
      <c r="E243" s="6">
        <v>336</v>
      </c>
      <c r="F243" s="6">
        <v>4</v>
      </c>
      <c r="G243" s="6">
        <v>4</v>
      </c>
      <c r="H243" s="6">
        <v>4953</v>
      </c>
      <c r="I243" s="6" t="s">
        <v>543</v>
      </c>
      <c r="J243" s="6">
        <v>45729293</v>
      </c>
      <c r="K243" s="6" t="s">
        <v>1598</v>
      </c>
      <c r="L243" s="13" t="s">
        <v>1600</v>
      </c>
      <c r="M243" s="19">
        <v>99900</v>
      </c>
      <c r="N243" s="62">
        <v>0.6</v>
      </c>
      <c r="O243" s="12">
        <f t="shared" si="4"/>
        <v>39960</v>
      </c>
      <c r="P243" s="6" t="s">
        <v>3499</v>
      </c>
    </row>
    <row r="244" spans="1:16" x14ac:dyDescent="0.25">
      <c r="A244" s="6" t="s">
        <v>3498</v>
      </c>
      <c r="B244" s="7">
        <v>46121</v>
      </c>
      <c r="C244" s="7">
        <v>46127</v>
      </c>
      <c r="D244" s="6">
        <v>3271</v>
      </c>
      <c r="E244" s="6">
        <v>336</v>
      </c>
      <c r="F244" s="6">
        <v>4</v>
      </c>
      <c r="G244" s="6">
        <v>4</v>
      </c>
      <c r="H244" s="6">
        <v>4953</v>
      </c>
      <c r="I244" s="6" t="s">
        <v>543</v>
      </c>
      <c r="J244" s="6">
        <v>45729300</v>
      </c>
      <c r="K244" s="6" t="s">
        <v>1598</v>
      </c>
      <c r="L244" s="13" t="s">
        <v>1601</v>
      </c>
      <c r="M244" s="19">
        <v>99900</v>
      </c>
      <c r="N244" s="62">
        <v>0.6</v>
      </c>
      <c r="O244" s="12">
        <f t="shared" si="4"/>
        <v>39960</v>
      </c>
      <c r="P244" s="6" t="s">
        <v>3499</v>
      </c>
    </row>
    <row r="245" spans="1:16" x14ac:dyDescent="0.25">
      <c r="A245" s="6" t="s">
        <v>3498</v>
      </c>
      <c r="B245" s="7">
        <v>46121</v>
      </c>
      <c r="C245" s="7">
        <v>46127</v>
      </c>
      <c r="D245" s="6">
        <v>3271</v>
      </c>
      <c r="E245" s="6">
        <v>336</v>
      </c>
      <c r="F245" s="6">
        <v>4</v>
      </c>
      <c r="G245" s="6">
        <v>4</v>
      </c>
      <c r="H245" s="6">
        <v>4953</v>
      </c>
      <c r="I245" s="6" t="s">
        <v>543</v>
      </c>
      <c r="J245" s="6">
        <v>45729319</v>
      </c>
      <c r="K245" s="6" t="s">
        <v>1598</v>
      </c>
      <c r="L245" s="13" t="s">
        <v>1602</v>
      </c>
      <c r="M245" s="19">
        <v>99900</v>
      </c>
      <c r="N245" s="62">
        <v>0.6</v>
      </c>
      <c r="O245" s="12">
        <f t="shared" si="4"/>
        <v>39960</v>
      </c>
      <c r="P245" s="6" t="s">
        <v>3499</v>
      </c>
    </row>
    <row r="246" spans="1:16" x14ac:dyDescent="0.25">
      <c r="A246" s="6" t="s">
        <v>3498</v>
      </c>
      <c r="B246" s="7">
        <v>46121</v>
      </c>
      <c r="C246" s="7">
        <v>46127</v>
      </c>
      <c r="D246" s="6">
        <v>3271</v>
      </c>
      <c r="E246" s="6">
        <v>336</v>
      </c>
      <c r="F246" s="6">
        <v>4</v>
      </c>
      <c r="G246" s="6">
        <v>4</v>
      </c>
      <c r="H246" s="6">
        <v>4953</v>
      </c>
      <c r="I246" s="6" t="s">
        <v>543</v>
      </c>
      <c r="J246" s="6">
        <v>45729328</v>
      </c>
      <c r="K246" s="6" t="s">
        <v>1603</v>
      </c>
      <c r="L246" s="13" t="s">
        <v>1604</v>
      </c>
      <c r="M246" s="19">
        <v>99900</v>
      </c>
      <c r="N246" s="62">
        <v>0.6</v>
      </c>
      <c r="O246" s="12">
        <f t="shared" si="4"/>
        <v>39960</v>
      </c>
      <c r="P246" s="6" t="s">
        <v>3499</v>
      </c>
    </row>
    <row r="247" spans="1:16" x14ac:dyDescent="0.25">
      <c r="A247" s="6" t="s">
        <v>3498</v>
      </c>
      <c r="B247" s="7">
        <v>46121</v>
      </c>
      <c r="C247" s="7">
        <v>46127</v>
      </c>
      <c r="D247" s="6">
        <v>3271</v>
      </c>
      <c r="E247" s="6">
        <v>336</v>
      </c>
      <c r="F247" s="6">
        <v>4</v>
      </c>
      <c r="G247" s="6">
        <v>4</v>
      </c>
      <c r="H247" s="6">
        <v>4953</v>
      </c>
      <c r="I247" s="6" t="s">
        <v>543</v>
      </c>
      <c r="J247" s="6">
        <v>45729337</v>
      </c>
      <c r="K247" s="6" t="s">
        <v>1603</v>
      </c>
      <c r="L247" s="13" t="s">
        <v>1605</v>
      </c>
      <c r="M247" s="19">
        <v>99900</v>
      </c>
      <c r="N247" s="62">
        <v>0.6</v>
      </c>
      <c r="O247" s="12">
        <f t="shared" si="4"/>
        <v>39960</v>
      </c>
      <c r="P247" s="6" t="s">
        <v>3499</v>
      </c>
    </row>
    <row r="248" spans="1:16" x14ac:dyDescent="0.25">
      <c r="A248" s="6" t="s">
        <v>3498</v>
      </c>
      <c r="B248" s="7">
        <v>46121</v>
      </c>
      <c r="C248" s="7">
        <v>46127</v>
      </c>
      <c r="D248" s="6">
        <v>3271</v>
      </c>
      <c r="E248" s="6">
        <v>336</v>
      </c>
      <c r="F248" s="6">
        <v>4</v>
      </c>
      <c r="G248" s="6">
        <v>4</v>
      </c>
      <c r="H248" s="6">
        <v>4953</v>
      </c>
      <c r="I248" s="6" t="s">
        <v>543</v>
      </c>
      <c r="J248" s="6">
        <v>45729346</v>
      </c>
      <c r="K248" s="6" t="s">
        <v>1603</v>
      </c>
      <c r="L248" s="13" t="s">
        <v>1606</v>
      </c>
      <c r="M248" s="19">
        <v>99900</v>
      </c>
      <c r="N248" s="62">
        <v>0.6</v>
      </c>
      <c r="O248" s="12">
        <f t="shared" si="4"/>
        <v>39960</v>
      </c>
      <c r="P248" s="6" t="s">
        <v>3499</v>
      </c>
    </row>
    <row r="249" spans="1:16" x14ac:dyDescent="0.25">
      <c r="A249" s="6" t="s">
        <v>3498</v>
      </c>
      <c r="B249" s="7">
        <v>46121</v>
      </c>
      <c r="C249" s="7">
        <v>46127</v>
      </c>
      <c r="D249" s="6">
        <v>3271</v>
      </c>
      <c r="E249" s="6">
        <v>336</v>
      </c>
      <c r="F249" s="6">
        <v>4</v>
      </c>
      <c r="G249" s="6">
        <v>4</v>
      </c>
      <c r="H249" s="6">
        <v>4953</v>
      </c>
      <c r="I249" s="6" t="s">
        <v>543</v>
      </c>
      <c r="J249" s="6">
        <v>45729355</v>
      </c>
      <c r="K249" s="6" t="s">
        <v>1603</v>
      </c>
      <c r="L249" s="13" t="s">
        <v>1607</v>
      </c>
      <c r="M249" s="19">
        <v>99900</v>
      </c>
      <c r="N249" s="62">
        <v>0.6</v>
      </c>
      <c r="O249" s="12">
        <f t="shared" si="4"/>
        <v>39960</v>
      </c>
      <c r="P249" s="6" t="s">
        <v>3499</v>
      </c>
    </row>
    <row r="250" spans="1:16" x14ac:dyDescent="0.25">
      <c r="A250" s="6" t="s">
        <v>3498</v>
      </c>
      <c r="B250" s="7">
        <v>46121</v>
      </c>
      <c r="C250" s="7">
        <v>46127</v>
      </c>
      <c r="D250" s="6">
        <v>3271</v>
      </c>
      <c r="E250" s="6">
        <v>336</v>
      </c>
      <c r="F250" s="6">
        <v>4</v>
      </c>
      <c r="G250" s="6">
        <v>4</v>
      </c>
      <c r="H250" s="6">
        <v>4953</v>
      </c>
      <c r="I250" s="6" t="s">
        <v>543</v>
      </c>
      <c r="J250" s="6">
        <v>45729364</v>
      </c>
      <c r="K250" s="6" t="s">
        <v>1608</v>
      </c>
      <c r="L250" s="13" t="s">
        <v>1609</v>
      </c>
      <c r="M250" s="19">
        <v>99900</v>
      </c>
      <c r="N250" s="62">
        <v>0.6</v>
      </c>
      <c r="O250" s="12">
        <f t="shared" si="4"/>
        <v>39960</v>
      </c>
      <c r="P250" s="6" t="s">
        <v>3499</v>
      </c>
    </row>
    <row r="251" spans="1:16" x14ac:dyDescent="0.25">
      <c r="A251" s="6" t="s">
        <v>3498</v>
      </c>
      <c r="B251" s="7">
        <v>46121</v>
      </c>
      <c r="C251" s="7">
        <v>46127</v>
      </c>
      <c r="D251" s="6">
        <v>3271</v>
      </c>
      <c r="E251" s="6">
        <v>336</v>
      </c>
      <c r="F251" s="6">
        <v>4</v>
      </c>
      <c r="G251" s="6">
        <v>4</v>
      </c>
      <c r="H251" s="6">
        <v>4953</v>
      </c>
      <c r="I251" s="6" t="s">
        <v>543</v>
      </c>
      <c r="J251" s="6">
        <v>45729373</v>
      </c>
      <c r="K251" s="6" t="s">
        <v>1608</v>
      </c>
      <c r="L251" s="13" t="s">
        <v>1610</v>
      </c>
      <c r="M251" s="19">
        <v>99900</v>
      </c>
      <c r="N251" s="62">
        <v>0.6</v>
      </c>
      <c r="O251" s="12">
        <f t="shared" si="4"/>
        <v>39960</v>
      </c>
      <c r="P251" s="6" t="s">
        <v>3499</v>
      </c>
    </row>
    <row r="252" spans="1:16" x14ac:dyDescent="0.25">
      <c r="A252" s="6" t="s">
        <v>3498</v>
      </c>
      <c r="B252" s="7">
        <v>46121</v>
      </c>
      <c r="C252" s="7">
        <v>46127</v>
      </c>
      <c r="D252" s="6">
        <v>3271</v>
      </c>
      <c r="E252" s="6">
        <v>336</v>
      </c>
      <c r="F252" s="6">
        <v>4</v>
      </c>
      <c r="G252" s="6">
        <v>4</v>
      </c>
      <c r="H252" s="6">
        <v>4953</v>
      </c>
      <c r="I252" s="6" t="s">
        <v>543</v>
      </c>
      <c r="J252" s="6">
        <v>45729382</v>
      </c>
      <c r="K252" s="6" t="s">
        <v>1608</v>
      </c>
      <c r="L252" s="13" t="s">
        <v>1611</v>
      </c>
      <c r="M252" s="19">
        <v>99900</v>
      </c>
      <c r="N252" s="62">
        <v>0.6</v>
      </c>
      <c r="O252" s="12">
        <f t="shared" si="4"/>
        <v>39960</v>
      </c>
      <c r="P252" s="6" t="s">
        <v>3499</v>
      </c>
    </row>
    <row r="253" spans="1:16" x14ac:dyDescent="0.25">
      <c r="A253" s="6" t="s">
        <v>3498</v>
      </c>
      <c r="B253" s="7">
        <v>46121</v>
      </c>
      <c r="C253" s="7">
        <v>46127</v>
      </c>
      <c r="D253" s="6">
        <v>3271</v>
      </c>
      <c r="E253" s="6">
        <v>336</v>
      </c>
      <c r="F253" s="6">
        <v>4</v>
      </c>
      <c r="G253" s="6">
        <v>4</v>
      </c>
      <c r="H253" s="6">
        <v>4953</v>
      </c>
      <c r="I253" s="6" t="s">
        <v>543</v>
      </c>
      <c r="J253" s="6">
        <v>45729391</v>
      </c>
      <c r="K253" s="6" t="s">
        <v>1608</v>
      </c>
      <c r="L253" s="13" t="s">
        <v>1612</v>
      </c>
      <c r="M253" s="19">
        <v>99900</v>
      </c>
      <c r="N253" s="62">
        <v>0.6</v>
      </c>
      <c r="O253" s="12">
        <f t="shared" si="4"/>
        <v>39960</v>
      </c>
      <c r="P253" s="6" t="s">
        <v>3499</v>
      </c>
    </row>
    <row r="254" spans="1:16" x14ac:dyDescent="0.25">
      <c r="A254" s="6" t="s">
        <v>3498</v>
      </c>
      <c r="B254" s="7">
        <v>46121</v>
      </c>
      <c r="C254" s="7">
        <v>46127</v>
      </c>
      <c r="D254" s="6">
        <v>3271</v>
      </c>
      <c r="E254" s="6">
        <v>336</v>
      </c>
      <c r="F254" s="6">
        <v>4</v>
      </c>
      <c r="G254" s="8">
        <v>4</v>
      </c>
      <c r="H254" s="8">
        <v>81305</v>
      </c>
      <c r="I254" s="6" t="s">
        <v>543</v>
      </c>
      <c r="J254" s="8">
        <v>50095128</v>
      </c>
      <c r="K254" s="8" t="s">
        <v>1613</v>
      </c>
      <c r="L254" s="9" t="s">
        <v>1614</v>
      </c>
      <c r="M254" s="10">
        <v>99900</v>
      </c>
      <c r="N254" s="62">
        <v>0.6</v>
      </c>
      <c r="O254" s="12">
        <f t="shared" si="4"/>
        <v>39960</v>
      </c>
      <c r="P254" s="6" t="s">
        <v>3499</v>
      </c>
    </row>
    <row r="255" spans="1:16" x14ac:dyDescent="0.25">
      <c r="A255" s="6" t="s">
        <v>3498</v>
      </c>
      <c r="B255" s="7">
        <v>46121</v>
      </c>
      <c r="C255" s="7">
        <v>46127</v>
      </c>
      <c r="D255" s="6">
        <v>3271</v>
      </c>
      <c r="E255" s="6">
        <v>336</v>
      </c>
      <c r="F255" s="6">
        <v>4</v>
      </c>
      <c r="G255" s="8">
        <v>4</v>
      </c>
      <c r="H255" s="8">
        <v>81305</v>
      </c>
      <c r="I255" s="6" t="s">
        <v>543</v>
      </c>
      <c r="J255" s="8">
        <v>50095137</v>
      </c>
      <c r="K255" s="8" t="s">
        <v>1613</v>
      </c>
      <c r="L255" s="9" t="s">
        <v>1615</v>
      </c>
      <c r="M255" s="10">
        <v>99900</v>
      </c>
      <c r="N255" s="62">
        <v>0.6</v>
      </c>
      <c r="O255" s="12">
        <f t="shared" si="4"/>
        <v>39960</v>
      </c>
      <c r="P255" s="6" t="s">
        <v>3499</v>
      </c>
    </row>
    <row r="256" spans="1:16" x14ac:dyDescent="0.25">
      <c r="A256" s="6" t="s">
        <v>3498</v>
      </c>
      <c r="B256" s="7">
        <v>46121</v>
      </c>
      <c r="C256" s="7">
        <v>46127</v>
      </c>
      <c r="D256" s="6">
        <v>3271</v>
      </c>
      <c r="E256" s="6">
        <v>336</v>
      </c>
      <c r="F256" s="6">
        <v>4</v>
      </c>
      <c r="G256" s="8">
        <v>4</v>
      </c>
      <c r="H256" s="8">
        <v>81305</v>
      </c>
      <c r="I256" s="6" t="s">
        <v>543</v>
      </c>
      <c r="J256" s="8">
        <v>50095146</v>
      </c>
      <c r="K256" s="8" t="s">
        <v>1613</v>
      </c>
      <c r="L256" s="9" t="s">
        <v>1616</v>
      </c>
      <c r="M256" s="10">
        <v>99900</v>
      </c>
      <c r="N256" s="62">
        <v>0.6</v>
      </c>
      <c r="O256" s="12">
        <f t="shared" si="4"/>
        <v>39960</v>
      </c>
      <c r="P256" s="6" t="s">
        <v>3499</v>
      </c>
    </row>
    <row r="257" spans="1:16" x14ac:dyDescent="0.25">
      <c r="A257" s="6" t="s">
        <v>3498</v>
      </c>
      <c r="B257" s="7">
        <v>46121</v>
      </c>
      <c r="C257" s="7">
        <v>46127</v>
      </c>
      <c r="D257" s="6">
        <v>3271</v>
      </c>
      <c r="E257" s="6">
        <v>336</v>
      </c>
      <c r="F257" s="6">
        <v>4</v>
      </c>
      <c r="G257" s="8">
        <v>4</v>
      </c>
      <c r="H257" s="8">
        <v>81305</v>
      </c>
      <c r="I257" s="6" t="s">
        <v>543</v>
      </c>
      <c r="J257" s="8">
        <v>50095155</v>
      </c>
      <c r="K257" s="8" t="s">
        <v>1613</v>
      </c>
      <c r="L257" s="9" t="s">
        <v>1617</v>
      </c>
      <c r="M257" s="10">
        <v>99900</v>
      </c>
      <c r="N257" s="62">
        <v>0.6</v>
      </c>
      <c r="O257" s="12">
        <f t="shared" si="4"/>
        <v>39960</v>
      </c>
      <c r="P257" s="6" t="s">
        <v>3499</v>
      </c>
    </row>
    <row r="258" spans="1:16" x14ac:dyDescent="0.25">
      <c r="A258" s="6" t="s">
        <v>3498</v>
      </c>
      <c r="B258" s="7">
        <v>46121</v>
      </c>
      <c r="C258" s="7">
        <v>46127</v>
      </c>
      <c r="D258" s="6">
        <v>3271</v>
      </c>
      <c r="E258" s="6">
        <v>336</v>
      </c>
      <c r="F258" s="6">
        <v>4</v>
      </c>
      <c r="G258" s="8">
        <v>4</v>
      </c>
      <c r="H258" s="8">
        <v>81305</v>
      </c>
      <c r="I258" s="6" t="s">
        <v>543</v>
      </c>
      <c r="J258" s="8">
        <v>50095164</v>
      </c>
      <c r="K258" s="8" t="s">
        <v>1618</v>
      </c>
      <c r="L258" s="9" t="s">
        <v>1619</v>
      </c>
      <c r="M258" s="10">
        <v>99900</v>
      </c>
      <c r="N258" s="62">
        <v>0.6</v>
      </c>
      <c r="O258" s="12">
        <f t="shared" si="4"/>
        <v>39960</v>
      </c>
      <c r="P258" s="6" t="s">
        <v>3499</v>
      </c>
    </row>
    <row r="259" spans="1:16" x14ac:dyDescent="0.25">
      <c r="A259" s="6" t="s">
        <v>3498</v>
      </c>
      <c r="B259" s="7">
        <v>46121</v>
      </c>
      <c r="C259" s="7">
        <v>46127</v>
      </c>
      <c r="D259" s="6">
        <v>3271</v>
      </c>
      <c r="E259" s="6">
        <v>336</v>
      </c>
      <c r="F259" s="6">
        <v>4</v>
      </c>
      <c r="G259" s="8">
        <v>4</v>
      </c>
      <c r="H259" s="8">
        <v>81305</v>
      </c>
      <c r="I259" s="6" t="s">
        <v>543</v>
      </c>
      <c r="J259" s="8">
        <v>50095173</v>
      </c>
      <c r="K259" s="8" t="s">
        <v>1618</v>
      </c>
      <c r="L259" s="9" t="s">
        <v>1620</v>
      </c>
      <c r="M259" s="10">
        <v>99900</v>
      </c>
      <c r="N259" s="62">
        <v>0.6</v>
      </c>
      <c r="O259" s="12">
        <f t="shared" si="4"/>
        <v>39960</v>
      </c>
      <c r="P259" s="6" t="s">
        <v>3499</v>
      </c>
    </row>
    <row r="260" spans="1:16" x14ac:dyDescent="0.25">
      <c r="A260" s="6" t="s">
        <v>3498</v>
      </c>
      <c r="B260" s="7">
        <v>46121</v>
      </c>
      <c r="C260" s="7">
        <v>46127</v>
      </c>
      <c r="D260" s="6">
        <v>3271</v>
      </c>
      <c r="E260" s="6">
        <v>336</v>
      </c>
      <c r="F260" s="6">
        <v>4</v>
      </c>
      <c r="G260" s="8">
        <v>4</v>
      </c>
      <c r="H260" s="8">
        <v>81305</v>
      </c>
      <c r="I260" s="6" t="s">
        <v>543</v>
      </c>
      <c r="J260" s="8">
        <v>50095182</v>
      </c>
      <c r="K260" s="8" t="s">
        <v>1618</v>
      </c>
      <c r="L260" s="9" t="s">
        <v>1621</v>
      </c>
      <c r="M260" s="10">
        <v>99900</v>
      </c>
      <c r="N260" s="62">
        <v>0.6</v>
      </c>
      <c r="O260" s="12">
        <f t="shared" si="4"/>
        <v>39960</v>
      </c>
      <c r="P260" s="6" t="s">
        <v>3499</v>
      </c>
    </row>
    <row r="261" spans="1:16" x14ac:dyDescent="0.25">
      <c r="A261" s="6" t="s">
        <v>3498</v>
      </c>
      <c r="B261" s="7">
        <v>46121</v>
      </c>
      <c r="C261" s="7">
        <v>46127</v>
      </c>
      <c r="D261" s="6">
        <v>3271</v>
      </c>
      <c r="E261" s="6">
        <v>336</v>
      </c>
      <c r="F261" s="6">
        <v>4</v>
      </c>
      <c r="G261" s="8">
        <v>4</v>
      </c>
      <c r="H261" s="8">
        <v>81305</v>
      </c>
      <c r="I261" s="6" t="s">
        <v>543</v>
      </c>
      <c r="J261" s="8">
        <v>50095191</v>
      </c>
      <c r="K261" s="8" t="s">
        <v>1618</v>
      </c>
      <c r="L261" s="9" t="s">
        <v>1622</v>
      </c>
      <c r="M261" s="10">
        <v>99900</v>
      </c>
      <c r="N261" s="62">
        <v>0.6</v>
      </c>
      <c r="O261" s="12">
        <f t="shared" si="4"/>
        <v>39960</v>
      </c>
      <c r="P261" s="6" t="s">
        <v>3499</v>
      </c>
    </row>
    <row r="262" spans="1:16" x14ac:dyDescent="0.25">
      <c r="A262" s="6" t="s">
        <v>3498</v>
      </c>
      <c r="B262" s="7">
        <v>46121</v>
      </c>
      <c r="C262" s="7">
        <v>46127</v>
      </c>
      <c r="D262" s="6">
        <v>3271</v>
      </c>
      <c r="E262" s="6">
        <v>336</v>
      </c>
      <c r="F262" s="6">
        <v>4</v>
      </c>
      <c r="G262" s="8">
        <v>4</v>
      </c>
      <c r="H262" s="8">
        <v>81684</v>
      </c>
      <c r="I262" s="6" t="s">
        <v>543</v>
      </c>
      <c r="J262" s="8">
        <v>50095324</v>
      </c>
      <c r="K262" s="8" t="s">
        <v>1623</v>
      </c>
      <c r="L262" s="9" t="s">
        <v>1624</v>
      </c>
      <c r="M262" s="10">
        <v>99900</v>
      </c>
      <c r="N262" s="62">
        <v>0.6</v>
      </c>
      <c r="O262" s="12">
        <f t="shared" si="4"/>
        <v>39960</v>
      </c>
      <c r="P262" s="6" t="s">
        <v>3499</v>
      </c>
    </row>
    <row r="263" spans="1:16" x14ac:dyDescent="0.25">
      <c r="A263" s="6" t="s">
        <v>3498</v>
      </c>
      <c r="B263" s="7">
        <v>46121</v>
      </c>
      <c r="C263" s="7">
        <v>46127</v>
      </c>
      <c r="D263" s="6">
        <v>3271</v>
      </c>
      <c r="E263" s="6">
        <v>336</v>
      </c>
      <c r="F263" s="6">
        <v>4</v>
      </c>
      <c r="G263" s="8">
        <v>4</v>
      </c>
      <c r="H263" s="8">
        <v>81684</v>
      </c>
      <c r="I263" s="6" t="s">
        <v>543</v>
      </c>
      <c r="J263" s="8">
        <v>50095333</v>
      </c>
      <c r="K263" s="8" t="s">
        <v>1623</v>
      </c>
      <c r="L263" s="9" t="s">
        <v>1625</v>
      </c>
      <c r="M263" s="10">
        <v>99900</v>
      </c>
      <c r="N263" s="62">
        <v>0.6</v>
      </c>
      <c r="O263" s="12">
        <f t="shared" si="4"/>
        <v>39960</v>
      </c>
      <c r="P263" s="6" t="s">
        <v>3499</v>
      </c>
    </row>
    <row r="264" spans="1:16" x14ac:dyDescent="0.25">
      <c r="A264" s="6" t="s">
        <v>3498</v>
      </c>
      <c r="B264" s="7">
        <v>46121</v>
      </c>
      <c r="C264" s="7">
        <v>46127</v>
      </c>
      <c r="D264" s="6">
        <v>3271</v>
      </c>
      <c r="E264" s="6">
        <v>336</v>
      </c>
      <c r="F264" s="6">
        <v>4</v>
      </c>
      <c r="G264" s="8">
        <v>4</v>
      </c>
      <c r="H264" s="8">
        <v>81684</v>
      </c>
      <c r="I264" s="6" t="s">
        <v>543</v>
      </c>
      <c r="J264" s="8">
        <v>50095342</v>
      </c>
      <c r="K264" s="8" t="s">
        <v>1623</v>
      </c>
      <c r="L264" s="9" t="s">
        <v>1626</v>
      </c>
      <c r="M264" s="10">
        <v>99900</v>
      </c>
      <c r="N264" s="62">
        <v>0.6</v>
      </c>
      <c r="O264" s="12">
        <f t="shared" si="4"/>
        <v>39960</v>
      </c>
      <c r="P264" s="6" t="s">
        <v>3499</v>
      </c>
    </row>
    <row r="265" spans="1:16" x14ac:dyDescent="0.25">
      <c r="A265" s="6" t="s">
        <v>3498</v>
      </c>
      <c r="B265" s="7">
        <v>46121</v>
      </c>
      <c r="C265" s="7">
        <v>46127</v>
      </c>
      <c r="D265" s="6">
        <v>3271</v>
      </c>
      <c r="E265" s="6">
        <v>336</v>
      </c>
      <c r="F265" s="6">
        <v>4</v>
      </c>
      <c r="G265" s="8">
        <v>4</v>
      </c>
      <c r="H265" s="8">
        <v>81684</v>
      </c>
      <c r="I265" s="6" t="s">
        <v>543</v>
      </c>
      <c r="J265" s="8">
        <v>50095351</v>
      </c>
      <c r="K265" s="8" t="s">
        <v>1623</v>
      </c>
      <c r="L265" s="9" t="s">
        <v>1627</v>
      </c>
      <c r="M265" s="10">
        <v>99900</v>
      </c>
      <c r="N265" s="62">
        <v>0.6</v>
      </c>
      <c r="O265" s="12">
        <f t="shared" si="4"/>
        <v>39960</v>
      </c>
      <c r="P265" s="6" t="s">
        <v>3499</v>
      </c>
    </row>
    <row r="266" spans="1:16" x14ac:dyDescent="0.25">
      <c r="A266" s="6" t="s">
        <v>3498</v>
      </c>
      <c r="B266" s="7">
        <v>46121</v>
      </c>
      <c r="C266" s="7">
        <v>46127</v>
      </c>
      <c r="D266" s="6">
        <v>3271</v>
      </c>
      <c r="E266" s="6">
        <v>336</v>
      </c>
      <c r="F266" s="6">
        <v>4</v>
      </c>
      <c r="G266" s="6">
        <v>4</v>
      </c>
      <c r="H266" s="6">
        <v>81305</v>
      </c>
      <c r="I266" s="6" t="s">
        <v>543</v>
      </c>
      <c r="J266" s="6">
        <v>51174906</v>
      </c>
      <c r="K266" s="6" t="s">
        <v>1628</v>
      </c>
      <c r="L266" s="13" t="s">
        <v>1629</v>
      </c>
      <c r="M266" s="19">
        <v>99900</v>
      </c>
      <c r="N266" s="62">
        <v>0.6</v>
      </c>
      <c r="O266" s="12">
        <f t="shared" si="4"/>
        <v>39960</v>
      </c>
      <c r="P266" s="6" t="s">
        <v>3499</v>
      </c>
    </row>
    <row r="267" spans="1:16" x14ac:dyDescent="0.25">
      <c r="A267" s="6" t="s">
        <v>3498</v>
      </c>
      <c r="B267" s="7">
        <v>46121</v>
      </c>
      <c r="C267" s="7">
        <v>46127</v>
      </c>
      <c r="D267" s="6">
        <v>3271</v>
      </c>
      <c r="E267" s="6">
        <v>336</v>
      </c>
      <c r="F267" s="6">
        <v>4</v>
      </c>
      <c r="G267" s="6">
        <v>4</v>
      </c>
      <c r="H267" s="6">
        <v>81305</v>
      </c>
      <c r="I267" s="6" t="s">
        <v>543</v>
      </c>
      <c r="J267" s="6">
        <v>51174915</v>
      </c>
      <c r="K267" s="6" t="s">
        <v>1628</v>
      </c>
      <c r="L267" s="13" t="s">
        <v>1630</v>
      </c>
      <c r="M267" s="19">
        <v>99900</v>
      </c>
      <c r="N267" s="62">
        <v>0.6</v>
      </c>
      <c r="O267" s="12">
        <f t="shared" si="4"/>
        <v>39960</v>
      </c>
      <c r="P267" s="6" t="s">
        <v>3499</v>
      </c>
    </row>
    <row r="268" spans="1:16" x14ac:dyDescent="0.25">
      <c r="A268" s="6" t="s">
        <v>3498</v>
      </c>
      <c r="B268" s="7">
        <v>46121</v>
      </c>
      <c r="C268" s="7">
        <v>46127</v>
      </c>
      <c r="D268" s="6">
        <v>3271</v>
      </c>
      <c r="E268" s="6">
        <v>336</v>
      </c>
      <c r="F268" s="6">
        <v>4</v>
      </c>
      <c r="G268" s="6">
        <v>4</v>
      </c>
      <c r="H268" s="6">
        <v>81305</v>
      </c>
      <c r="I268" s="6" t="s">
        <v>543</v>
      </c>
      <c r="J268" s="6">
        <v>51174924</v>
      </c>
      <c r="K268" s="6" t="s">
        <v>1628</v>
      </c>
      <c r="L268" s="13" t="s">
        <v>1631</v>
      </c>
      <c r="M268" s="19">
        <v>99900</v>
      </c>
      <c r="N268" s="62">
        <v>0.6</v>
      </c>
      <c r="O268" s="12">
        <f t="shared" si="4"/>
        <v>39960</v>
      </c>
      <c r="P268" s="6" t="s">
        <v>3499</v>
      </c>
    </row>
    <row r="269" spans="1:16" x14ac:dyDescent="0.25">
      <c r="A269" s="6" t="s">
        <v>3498</v>
      </c>
      <c r="B269" s="7">
        <v>46121</v>
      </c>
      <c r="C269" s="7">
        <v>46127</v>
      </c>
      <c r="D269" s="6">
        <v>3271</v>
      </c>
      <c r="E269" s="6">
        <v>336</v>
      </c>
      <c r="F269" s="6">
        <v>4</v>
      </c>
      <c r="G269" s="6">
        <v>4</v>
      </c>
      <c r="H269" s="6">
        <v>81305</v>
      </c>
      <c r="I269" s="6" t="s">
        <v>543</v>
      </c>
      <c r="J269" s="6">
        <v>51174933</v>
      </c>
      <c r="K269" s="6" t="s">
        <v>1628</v>
      </c>
      <c r="L269" s="13" t="s">
        <v>1632</v>
      </c>
      <c r="M269" s="19">
        <v>99900</v>
      </c>
      <c r="N269" s="62">
        <v>0.6</v>
      </c>
      <c r="O269" s="12">
        <f t="shared" si="4"/>
        <v>39960</v>
      </c>
      <c r="P269" s="6" t="s">
        <v>3499</v>
      </c>
    </row>
    <row r="270" spans="1:16" x14ac:dyDescent="0.25">
      <c r="A270" s="6" t="s">
        <v>3498</v>
      </c>
      <c r="B270" s="7">
        <v>46121</v>
      </c>
      <c r="C270" s="7">
        <v>46127</v>
      </c>
      <c r="D270" s="6">
        <v>3271</v>
      </c>
      <c r="E270" s="6">
        <v>336</v>
      </c>
      <c r="F270" s="6">
        <v>4</v>
      </c>
      <c r="G270" s="6">
        <v>8</v>
      </c>
      <c r="H270" s="6">
        <v>81684</v>
      </c>
      <c r="I270" s="6" t="s">
        <v>543</v>
      </c>
      <c r="J270" s="6">
        <v>45204144</v>
      </c>
      <c r="K270" s="6" t="s">
        <v>1633</v>
      </c>
      <c r="L270" s="13" t="s">
        <v>1634</v>
      </c>
      <c r="M270" s="19">
        <v>79900</v>
      </c>
      <c r="N270" s="62">
        <v>0.6</v>
      </c>
      <c r="O270" s="12">
        <f t="shared" si="4"/>
        <v>31960</v>
      </c>
      <c r="P270" s="6" t="s">
        <v>3499</v>
      </c>
    </row>
    <row r="271" spans="1:16" x14ac:dyDescent="0.25">
      <c r="A271" s="6" t="s">
        <v>3498</v>
      </c>
      <c r="B271" s="7">
        <v>46121</v>
      </c>
      <c r="C271" s="7">
        <v>46127</v>
      </c>
      <c r="D271" s="6">
        <v>3271</v>
      </c>
      <c r="E271" s="6">
        <v>336</v>
      </c>
      <c r="F271" s="6">
        <v>4</v>
      </c>
      <c r="G271" s="6">
        <v>8</v>
      </c>
      <c r="H271" s="6">
        <v>81684</v>
      </c>
      <c r="I271" s="6" t="s">
        <v>543</v>
      </c>
      <c r="J271" s="6">
        <v>45204153</v>
      </c>
      <c r="K271" s="6" t="s">
        <v>1633</v>
      </c>
      <c r="L271" s="13" t="s">
        <v>1635</v>
      </c>
      <c r="M271" s="19">
        <v>79900</v>
      </c>
      <c r="N271" s="62">
        <v>0.6</v>
      </c>
      <c r="O271" s="12">
        <f t="shared" si="4"/>
        <v>31960</v>
      </c>
      <c r="P271" s="6" t="s">
        <v>3499</v>
      </c>
    </row>
    <row r="272" spans="1:16" x14ac:dyDescent="0.25">
      <c r="A272" s="6" t="s">
        <v>3498</v>
      </c>
      <c r="B272" s="7">
        <v>46121</v>
      </c>
      <c r="C272" s="7">
        <v>46127</v>
      </c>
      <c r="D272" s="6">
        <v>3271</v>
      </c>
      <c r="E272" s="6">
        <v>336</v>
      </c>
      <c r="F272" s="6">
        <v>4</v>
      </c>
      <c r="G272" s="6">
        <v>8</v>
      </c>
      <c r="H272" s="6">
        <v>81684</v>
      </c>
      <c r="I272" s="6" t="s">
        <v>543</v>
      </c>
      <c r="J272" s="6">
        <v>45204162</v>
      </c>
      <c r="K272" s="6" t="s">
        <v>1633</v>
      </c>
      <c r="L272" s="13" t="s">
        <v>1636</v>
      </c>
      <c r="M272" s="19">
        <v>79900</v>
      </c>
      <c r="N272" s="62">
        <v>0.6</v>
      </c>
      <c r="O272" s="12">
        <f t="shared" si="4"/>
        <v>31960</v>
      </c>
      <c r="P272" s="6" t="s">
        <v>3499</v>
      </c>
    </row>
    <row r="273" spans="1:16" x14ac:dyDescent="0.25">
      <c r="A273" s="6" t="s">
        <v>3498</v>
      </c>
      <c r="B273" s="7">
        <v>46121</v>
      </c>
      <c r="C273" s="7">
        <v>46127</v>
      </c>
      <c r="D273" s="6">
        <v>3271</v>
      </c>
      <c r="E273" s="6">
        <v>336</v>
      </c>
      <c r="F273" s="6">
        <v>4</v>
      </c>
      <c r="G273" s="6">
        <v>8</v>
      </c>
      <c r="H273" s="6">
        <v>81684</v>
      </c>
      <c r="I273" s="6" t="s">
        <v>543</v>
      </c>
      <c r="J273" s="6">
        <v>45204171</v>
      </c>
      <c r="K273" s="6" t="s">
        <v>1633</v>
      </c>
      <c r="L273" s="13" t="s">
        <v>1637</v>
      </c>
      <c r="M273" s="19">
        <v>79900</v>
      </c>
      <c r="N273" s="62">
        <v>0.6</v>
      </c>
      <c r="O273" s="12">
        <f t="shared" si="4"/>
        <v>31960</v>
      </c>
      <c r="P273" s="6" t="s">
        <v>3499</v>
      </c>
    </row>
    <row r="274" spans="1:16" x14ac:dyDescent="0.25">
      <c r="A274" s="6" t="s">
        <v>3498</v>
      </c>
      <c r="B274" s="7">
        <v>46121</v>
      </c>
      <c r="C274" s="7">
        <v>46127</v>
      </c>
      <c r="D274" s="6">
        <v>3271</v>
      </c>
      <c r="E274" s="6">
        <v>336</v>
      </c>
      <c r="F274" s="6">
        <v>4</v>
      </c>
      <c r="G274" s="6">
        <v>8</v>
      </c>
      <c r="H274" s="6">
        <v>81684</v>
      </c>
      <c r="I274" s="6" t="s">
        <v>543</v>
      </c>
      <c r="J274" s="6">
        <v>45204180</v>
      </c>
      <c r="K274" s="6" t="s">
        <v>1638</v>
      </c>
      <c r="L274" s="13" t="s">
        <v>1639</v>
      </c>
      <c r="M274" s="19">
        <v>79900</v>
      </c>
      <c r="N274" s="62">
        <v>0.6</v>
      </c>
      <c r="O274" s="12">
        <f t="shared" si="4"/>
        <v>31960</v>
      </c>
      <c r="P274" s="6" t="s">
        <v>3499</v>
      </c>
    </row>
    <row r="275" spans="1:16" x14ac:dyDescent="0.25">
      <c r="A275" s="6" t="s">
        <v>3498</v>
      </c>
      <c r="B275" s="7">
        <v>46121</v>
      </c>
      <c r="C275" s="7">
        <v>46127</v>
      </c>
      <c r="D275" s="6">
        <v>3271</v>
      </c>
      <c r="E275" s="6">
        <v>336</v>
      </c>
      <c r="F275" s="6">
        <v>4</v>
      </c>
      <c r="G275" s="6">
        <v>8</v>
      </c>
      <c r="H275" s="6">
        <v>81684</v>
      </c>
      <c r="I275" s="6" t="s">
        <v>543</v>
      </c>
      <c r="J275" s="6">
        <v>45204199</v>
      </c>
      <c r="K275" s="6" t="s">
        <v>1638</v>
      </c>
      <c r="L275" s="13" t="s">
        <v>1640</v>
      </c>
      <c r="M275" s="19">
        <v>79900</v>
      </c>
      <c r="N275" s="62">
        <v>0.6</v>
      </c>
      <c r="O275" s="12">
        <f t="shared" si="4"/>
        <v>31960</v>
      </c>
      <c r="P275" s="6" t="s">
        <v>3499</v>
      </c>
    </row>
    <row r="276" spans="1:16" x14ac:dyDescent="0.25">
      <c r="A276" s="6" t="s">
        <v>3498</v>
      </c>
      <c r="B276" s="7">
        <v>46121</v>
      </c>
      <c r="C276" s="7">
        <v>46127</v>
      </c>
      <c r="D276" s="6">
        <v>3271</v>
      </c>
      <c r="E276" s="6">
        <v>336</v>
      </c>
      <c r="F276" s="6">
        <v>4</v>
      </c>
      <c r="G276" s="6">
        <v>8</v>
      </c>
      <c r="H276" s="6">
        <v>81684</v>
      </c>
      <c r="I276" s="6" t="s">
        <v>543</v>
      </c>
      <c r="J276" s="6">
        <v>45204206</v>
      </c>
      <c r="K276" s="6" t="s">
        <v>1638</v>
      </c>
      <c r="L276" s="13" t="s">
        <v>1641</v>
      </c>
      <c r="M276" s="19">
        <v>79900</v>
      </c>
      <c r="N276" s="62">
        <v>0.6</v>
      </c>
      <c r="O276" s="12">
        <f t="shared" si="4"/>
        <v>31960</v>
      </c>
      <c r="P276" s="6" t="s">
        <v>3499</v>
      </c>
    </row>
    <row r="277" spans="1:16" x14ac:dyDescent="0.25">
      <c r="A277" s="6" t="s">
        <v>3498</v>
      </c>
      <c r="B277" s="7">
        <v>46121</v>
      </c>
      <c r="C277" s="7">
        <v>46127</v>
      </c>
      <c r="D277" s="6">
        <v>3271</v>
      </c>
      <c r="E277" s="6">
        <v>336</v>
      </c>
      <c r="F277" s="6">
        <v>4</v>
      </c>
      <c r="G277" s="6">
        <v>8</v>
      </c>
      <c r="H277" s="6">
        <v>81684</v>
      </c>
      <c r="I277" s="6" t="s">
        <v>543</v>
      </c>
      <c r="J277" s="6">
        <v>45204215</v>
      </c>
      <c r="K277" s="6" t="s">
        <v>1638</v>
      </c>
      <c r="L277" s="13" t="s">
        <v>1642</v>
      </c>
      <c r="M277" s="19">
        <v>79900</v>
      </c>
      <c r="N277" s="62">
        <v>0.6</v>
      </c>
      <c r="O277" s="12">
        <f t="shared" si="4"/>
        <v>31960</v>
      </c>
      <c r="P277" s="6" t="s">
        <v>3499</v>
      </c>
    </row>
    <row r="278" spans="1:16" x14ac:dyDescent="0.25">
      <c r="A278" s="6" t="s">
        <v>3498</v>
      </c>
      <c r="B278" s="7">
        <v>46121</v>
      </c>
      <c r="C278" s="7">
        <v>46127</v>
      </c>
      <c r="D278" s="6">
        <v>3271</v>
      </c>
      <c r="E278" s="6">
        <v>336</v>
      </c>
      <c r="F278" s="6">
        <v>4</v>
      </c>
      <c r="G278" s="8">
        <v>8</v>
      </c>
      <c r="H278" s="8">
        <v>4953</v>
      </c>
      <c r="I278" s="6" t="s">
        <v>543</v>
      </c>
      <c r="J278" s="8">
        <v>50096083</v>
      </c>
      <c r="K278" s="8" t="s">
        <v>1643</v>
      </c>
      <c r="L278" s="9" t="s">
        <v>1644</v>
      </c>
      <c r="M278" s="10">
        <v>79900</v>
      </c>
      <c r="N278" s="62">
        <v>0.6</v>
      </c>
      <c r="O278" s="12">
        <f t="shared" si="4"/>
        <v>31960</v>
      </c>
      <c r="P278" s="6" t="s">
        <v>3499</v>
      </c>
    </row>
    <row r="279" spans="1:16" x14ac:dyDescent="0.25">
      <c r="A279" s="6" t="s">
        <v>3498</v>
      </c>
      <c r="B279" s="7">
        <v>46121</v>
      </c>
      <c r="C279" s="7">
        <v>46127</v>
      </c>
      <c r="D279" s="6">
        <v>3271</v>
      </c>
      <c r="E279" s="6">
        <v>336</v>
      </c>
      <c r="F279" s="6">
        <v>4</v>
      </c>
      <c r="G279" s="8">
        <v>8</v>
      </c>
      <c r="H279" s="8">
        <v>4953</v>
      </c>
      <c r="I279" s="6" t="s">
        <v>543</v>
      </c>
      <c r="J279" s="8">
        <v>50096092</v>
      </c>
      <c r="K279" s="8" t="s">
        <v>1643</v>
      </c>
      <c r="L279" s="9" t="s">
        <v>1645</v>
      </c>
      <c r="M279" s="10">
        <v>79900</v>
      </c>
      <c r="N279" s="62">
        <v>0.6</v>
      </c>
      <c r="O279" s="12">
        <f t="shared" si="4"/>
        <v>31960</v>
      </c>
      <c r="P279" s="6" t="s">
        <v>3499</v>
      </c>
    </row>
    <row r="280" spans="1:16" x14ac:dyDescent="0.25">
      <c r="A280" s="6" t="s">
        <v>3498</v>
      </c>
      <c r="B280" s="7">
        <v>46121</v>
      </c>
      <c r="C280" s="7">
        <v>46127</v>
      </c>
      <c r="D280" s="6">
        <v>3271</v>
      </c>
      <c r="E280" s="6">
        <v>336</v>
      </c>
      <c r="F280" s="6">
        <v>4</v>
      </c>
      <c r="G280" s="8">
        <v>8</v>
      </c>
      <c r="H280" s="8">
        <v>4953</v>
      </c>
      <c r="I280" s="6" t="s">
        <v>543</v>
      </c>
      <c r="J280" s="8">
        <v>50096109</v>
      </c>
      <c r="K280" s="8" t="s">
        <v>1643</v>
      </c>
      <c r="L280" s="9" t="s">
        <v>1646</v>
      </c>
      <c r="M280" s="10">
        <v>79900</v>
      </c>
      <c r="N280" s="62">
        <v>0.6</v>
      </c>
      <c r="O280" s="12">
        <f t="shared" si="4"/>
        <v>31960</v>
      </c>
      <c r="P280" s="6" t="s">
        <v>3499</v>
      </c>
    </row>
    <row r="281" spans="1:16" x14ac:dyDescent="0.25">
      <c r="A281" s="6" t="s">
        <v>3498</v>
      </c>
      <c r="B281" s="7">
        <v>46121</v>
      </c>
      <c r="C281" s="7">
        <v>46127</v>
      </c>
      <c r="D281" s="6">
        <v>3271</v>
      </c>
      <c r="E281" s="6">
        <v>336</v>
      </c>
      <c r="F281" s="6">
        <v>4</v>
      </c>
      <c r="G281" s="8">
        <v>8</v>
      </c>
      <c r="H281" s="8">
        <v>4953</v>
      </c>
      <c r="I281" s="6" t="s">
        <v>543</v>
      </c>
      <c r="J281" s="8">
        <v>50096118</v>
      </c>
      <c r="K281" s="8" t="s">
        <v>1643</v>
      </c>
      <c r="L281" s="9" t="s">
        <v>1647</v>
      </c>
      <c r="M281" s="10">
        <v>79900</v>
      </c>
      <c r="N281" s="62">
        <v>0.6</v>
      </c>
      <c r="O281" s="12">
        <f t="shared" si="4"/>
        <v>31960</v>
      </c>
      <c r="P281" s="6" t="s">
        <v>3499</v>
      </c>
    </row>
    <row r="282" spans="1:16" x14ac:dyDescent="0.25">
      <c r="A282" s="6" t="s">
        <v>3498</v>
      </c>
      <c r="B282" s="7">
        <v>46121</v>
      </c>
      <c r="C282" s="7">
        <v>46127</v>
      </c>
      <c r="D282" s="6">
        <v>3271</v>
      </c>
      <c r="E282" s="6">
        <v>336</v>
      </c>
      <c r="F282" s="6">
        <v>4</v>
      </c>
      <c r="G282" s="8">
        <v>8</v>
      </c>
      <c r="H282" s="8">
        <v>4953</v>
      </c>
      <c r="I282" s="6" t="s">
        <v>543</v>
      </c>
      <c r="J282" s="8">
        <v>50096127</v>
      </c>
      <c r="K282" s="8" t="s">
        <v>1648</v>
      </c>
      <c r="L282" s="9" t="s">
        <v>1649</v>
      </c>
      <c r="M282" s="10">
        <v>79900</v>
      </c>
      <c r="N282" s="62">
        <v>0.6</v>
      </c>
      <c r="O282" s="12">
        <f t="shared" si="4"/>
        <v>31960</v>
      </c>
      <c r="P282" s="6" t="s">
        <v>3499</v>
      </c>
    </row>
    <row r="283" spans="1:16" x14ac:dyDescent="0.25">
      <c r="A283" s="6" t="s">
        <v>3498</v>
      </c>
      <c r="B283" s="7">
        <v>46121</v>
      </c>
      <c r="C283" s="7">
        <v>46127</v>
      </c>
      <c r="D283" s="6">
        <v>3271</v>
      </c>
      <c r="E283" s="6">
        <v>336</v>
      </c>
      <c r="F283" s="6">
        <v>4</v>
      </c>
      <c r="G283" s="8">
        <v>8</v>
      </c>
      <c r="H283" s="8">
        <v>4953</v>
      </c>
      <c r="I283" s="6" t="s">
        <v>543</v>
      </c>
      <c r="J283" s="8">
        <v>50096136</v>
      </c>
      <c r="K283" s="8" t="s">
        <v>1648</v>
      </c>
      <c r="L283" s="9" t="s">
        <v>1650</v>
      </c>
      <c r="M283" s="10">
        <v>79900</v>
      </c>
      <c r="N283" s="62">
        <v>0.6</v>
      </c>
      <c r="O283" s="12">
        <f t="shared" si="4"/>
        <v>31960</v>
      </c>
      <c r="P283" s="6" t="s">
        <v>3499</v>
      </c>
    </row>
    <row r="284" spans="1:16" x14ac:dyDescent="0.25">
      <c r="A284" s="6" t="s">
        <v>3498</v>
      </c>
      <c r="B284" s="7">
        <v>46121</v>
      </c>
      <c r="C284" s="7">
        <v>46127</v>
      </c>
      <c r="D284" s="6">
        <v>3271</v>
      </c>
      <c r="E284" s="6">
        <v>336</v>
      </c>
      <c r="F284" s="6">
        <v>4</v>
      </c>
      <c r="G284" s="8">
        <v>8</v>
      </c>
      <c r="H284" s="8">
        <v>4953</v>
      </c>
      <c r="I284" s="6" t="s">
        <v>543</v>
      </c>
      <c r="J284" s="8">
        <v>50096145</v>
      </c>
      <c r="K284" s="8" t="s">
        <v>1648</v>
      </c>
      <c r="L284" s="9" t="s">
        <v>1651</v>
      </c>
      <c r="M284" s="10">
        <v>79900</v>
      </c>
      <c r="N284" s="62">
        <v>0.6</v>
      </c>
      <c r="O284" s="12">
        <f t="shared" si="4"/>
        <v>31960</v>
      </c>
      <c r="P284" s="6" t="s">
        <v>3499</v>
      </c>
    </row>
    <row r="285" spans="1:16" x14ac:dyDescent="0.25">
      <c r="A285" s="6" t="s">
        <v>3498</v>
      </c>
      <c r="B285" s="7">
        <v>46121</v>
      </c>
      <c r="C285" s="7">
        <v>46127</v>
      </c>
      <c r="D285" s="6">
        <v>3271</v>
      </c>
      <c r="E285" s="6">
        <v>336</v>
      </c>
      <c r="F285" s="6">
        <v>4</v>
      </c>
      <c r="G285" s="8">
        <v>8</v>
      </c>
      <c r="H285" s="8">
        <v>4953</v>
      </c>
      <c r="I285" s="6" t="s">
        <v>543</v>
      </c>
      <c r="J285" s="8">
        <v>50096154</v>
      </c>
      <c r="K285" s="8" t="s">
        <v>1648</v>
      </c>
      <c r="L285" s="9" t="s">
        <v>1652</v>
      </c>
      <c r="M285" s="10">
        <v>79900</v>
      </c>
      <c r="N285" s="62">
        <v>0.6</v>
      </c>
      <c r="O285" s="12">
        <f t="shared" si="4"/>
        <v>31960</v>
      </c>
      <c r="P285" s="6" t="s">
        <v>3499</v>
      </c>
    </row>
    <row r="286" spans="1:16" x14ac:dyDescent="0.25">
      <c r="A286" s="6" t="s">
        <v>3498</v>
      </c>
      <c r="B286" s="7">
        <v>46121</v>
      </c>
      <c r="C286" s="7">
        <v>46127</v>
      </c>
      <c r="D286" s="6">
        <v>3271</v>
      </c>
      <c r="E286" s="6">
        <v>336</v>
      </c>
      <c r="F286" s="6">
        <v>4</v>
      </c>
      <c r="G286" s="8">
        <v>8</v>
      </c>
      <c r="H286" s="8">
        <v>4953</v>
      </c>
      <c r="I286" s="6" t="s">
        <v>543</v>
      </c>
      <c r="J286" s="8">
        <v>50096163</v>
      </c>
      <c r="K286" s="8" t="s">
        <v>1653</v>
      </c>
      <c r="L286" s="9" t="s">
        <v>1654</v>
      </c>
      <c r="M286" s="10">
        <v>79900</v>
      </c>
      <c r="N286" s="62">
        <v>0.6</v>
      </c>
      <c r="O286" s="12">
        <f t="shared" si="4"/>
        <v>31960</v>
      </c>
      <c r="P286" s="6" t="s">
        <v>3499</v>
      </c>
    </row>
    <row r="287" spans="1:16" x14ac:dyDescent="0.25">
      <c r="A287" s="6" t="s">
        <v>3498</v>
      </c>
      <c r="B287" s="7">
        <v>46121</v>
      </c>
      <c r="C287" s="7">
        <v>46127</v>
      </c>
      <c r="D287" s="6">
        <v>3271</v>
      </c>
      <c r="E287" s="6">
        <v>336</v>
      </c>
      <c r="F287" s="6">
        <v>4</v>
      </c>
      <c r="G287" s="8">
        <v>8</v>
      </c>
      <c r="H287" s="8">
        <v>4953</v>
      </c>
      <c r="I287" s="6" t="s">
        <v>543</v>
      </c>
      <c r="J287" s="8">
        <v>50096172</v>
      </c>
      <c r="K287" s="8" t="s">
        <v>1653</v>
      </c>
      <c r="L287" s="9" t="s">
        <v>1655</v>
      </c>
      <c r="M287" s="10">
        <v>79900</v>
      </c>
      <c r="N287" s="62">
        <v>0.6</v>
      </c>
      <c r="O287" s="12">
        <f t="shared" si="4"/>
        <v>31960</v>
      </c>
      <c r="P287" s="6" t="s">
        <v>3499</v>
      </c>
    </row>
    <row r="288" spans="1:16" x14ac:dyDescent="0.25">
      <c r="A288" s="6" t="s">
        <v>3498</v>
      </c>
      <c r="B288" s="7">
        <v>46121</v>
      </c>
      <c r="C288" s="7">
        <v>46127</v>
      </c>
      <c r="D288" s="6">
        <v>3271</v>
      </c>
      <c r="E288" s="6">
        <v>336</v>
      </c>
      <c r="F288" s="6">
        <v>4</v>
      </c>
      <c r="G288" s="8">
        <v>8</v>
      </c>
      <c r="H288" s="8">
        <v>4953</v>
      </c>
      <c r="I288" s="6" t="s">
        <v>543</v>
      </c>
      <c r="J288" s="8">
        <v>50096181</v>
      </c>
      <c r="K288" s="8" t="s">
        <v>1653</v>
      </c>
      <c r="L288" s="9" t="s">
        <v>1656</v>
      </c>
      <c r="M288" s="10">
        <v>79900</v>
      </c>
      <c r="N288" s="62">
        <v>0.6</v>
      </c>
      <c r="O288" s="12">
        <f t="shared" si="4"/>
        <v>31960</v>
      </c>
      <c r="P288" s="6" t="s">
        <v>3499</v>
      </c>
    </row>
    <row r="289" spans="1:16" x14ac:dyDescent="0.25">
      <c r="A289" s="6" t="s">
        <v>3498</v>
      </c>
      <c r="B289" s="7">
        <v>46121</v>
      </c>
      <c r="C289" s="7">
        <v>46127</v>
      </c>
      <c r="D289" s="6">
        <v>3271</v>
      </c>
      <c r="E289" s="6">
        <v>336</v>
      </c>
      <c r="F289" s="6">
        <v>4</v>
      </c>
      <c r="G289" s="8">
        <v>8</v>
      </c>
      <c r="H289" s="8">
        <v>4953</v>
      </c>
      <c r="I289" s="6" t="s">
        <v>543</v>
      </c>
      <c r="J289" s="8">
        <v>50096190</v>
      </c>
      <c r="K289" s="8" t="s">
        <v>1653</v>
      </c>
      <c r="L289" s="9" t="s">
        <v>1657</v>
      </c>
      <c r="M289" s="10">
        <v>79900</v>
      </c>
      <c r="N289" s="62">
        <v>0.6</v>
      </c>
      <c r="O289" s="12">
        <f t="shared" si="4"/>
        <v>31960</v>
      </c>
      <c r="P289" s="6" t="s">
        <v>3499</v>
      </c>
    </row>
    <row r="290" spans="1:16" x14ac:dyDescent="0.25">
      <c r="A290" s="6" t="s">
        <v>3498</v>
      </c>
      <c r="B290" s="7">
        <v>46121</v>
      </c>
      <c r="C290" s="7">
        <v>46127</v>
      </c>
      <c r="D290" s="6">
        <v>3271</v>
      </c>
      <c r="E290" s="6">
        <v>336</v>
      </c>
      <c r="F290" s="6">
        <v>4</v>
      </c>
      <c r="G290" s="8">
        <v>8</v>
      </c>
      <c r="H290" s="8">
        <v>4953</v>
      </c>
      <c r="I290" s="6" t="s">
        <v>543</v>
      </c>
      <c r="J290" s="8">
        <v>50096207</v>
      </c>
      <c r="K290" s="8" t="s">
        <v>1658</v>
      </c>
      <c r="L290" s="9" t="s">
        <v>1659</v>
      </c>
      <c r="M290" s="10">
        <v>79900</v>
      </c>
      <c r="N290" s="62">
        <v>0.6</v>
      </c>
      <c r="O290" s="12">
        <f t="shared" si="4"/>
        <v>31960</v>
      </c>
      <c r="P290" s="6" t="s">
        <v>3499</v>
      </c>
    </row>
    <row r="291" spans="1:16" x14ac:dyDescent="0.25">
      <c r="A291" s="6" t="s">
        <v>3498</v>
      </c>
      <c r="B291" s="7">
        <v>46121</v>
      </c>
      <c r="C291" s="7">
        <v>46127</v>
      </c>
      <c r="D291" s="6">
        <v>3271</v>
      </c>
      <c r="E291" s="6">
        <v>336</v>
      </c>
      <c r="F291" s="6">
        <v>4</v>
      </c>
      <c r="G291" s="8">
        <v>8</v>
      </c>
      <c r="H291" s="8">
        <v>4953</v>
      </c>
      <c r="I291" s="6" t="s">
        <v>543</v>
      </c>
      <c r="J291" s="8">
        <v>50096216</v>
      </c>
      <c r="K291" s="8" t="s">
        <v>1658</v>
      </c>
      <c r="L291" s="9" t="s">
        <v>1660</v>
      </c>
      <c r="M291" s="10">
        <v>79900</v>
      </c>
      <c r="N291" s="62">
        <v>0.6</v>
      </c>
      <c r="O291" s="12">
        <f t="shared" ref="O291:O345" si="5">M291-((60*M291)/100)</f>
        <v>31960</v>
      </c>
      <c r="P291" s="6" t="s">
        <v>3499</v>
      </c>
    </row>
    <row r="292" spans="1:16" x14ac:dyDescent="0.25">
      <c r="A292" s="6" t="s">
        <v>3498</v>
      </c>
      <c r="B292" s="7">
        <v>46121</v>
      </c>
      <c r="C292" s="7">
        <v>46127</v>
      </c>
      <c r="D292" s="6">
        <v>3271</v>
      </c>
      <c r="E292" s="6">
        <v>336</v>
      </c>
      <c r="F292" s="6">
        <v>4</v>
      </c>
      <c r="G292" s="8">
        <v>8</v>
      </c>
      <c r="H292" s="8">
        <v>4953</v>
      </c>
      <c r="I292" s="6" t="s">
        <v>543</v>
      </c>
      <c r="J292" s="8">
        <v>50096225</v>
      </c>
      <c r="K292" s="8" t="s">
        <v>1658</v>
      </c>
      <c r="L292" s="9" t="s">
        <v>1661</v>
      </c>
      <c r="M292" s="10">
        <v>79900</v>
      </c>
      <c r="N292" s="62">
        <v>0.6</v>
      </c>
      <c r="O292" s="12">
        <f t="shared" si="5"/>
        <v>31960</v>
      </c>
      <c r="P292" s="6" t="s">
        <v>3499</v>
      </c>
    </row>
    <row r="293" spans="1:16" x14ac:dyDescent="0.25">
      <c r="A293" s="6" t="s">
        <v>3498</v>
      </c>
      <c r="B293" s="7">
        <v>46121</v>
      </c>
      <c r="C293" s="7">
        <v>46127</v>
      </c>
      <c r="D293" s="6">
        <v>3271</v>
      </c>
      <c r="E293" s="6">
        <v>336</v>
      </c>
      <c r="F293" s="6">
        <v>4</v>
      </c>
      <c r="G293" s="8">
        <v>8</v>
      </c>
      <c r="H293" s="8">
        <v>4953</v>
      </c>
      <c r="I293" s="6" t="s">
        <v>543</v>
      </c>
      <c r="J293" s="8">
        <v>50096234</v>
      </c>
      <c r="K293" s="8" t="s">
        <v>1658</v>
      </c>
      <c r="L293" s="9" t="s">
        <v>1662</v>
      </c>
      <c r="M293" s="10">
        <v>79900</v>
      </c>
      <c r="N293" s="62">
        <v>0.6</v>
      </c>
      <c r="O293" s="12">
        <f t="shared" si="5"/>
        <v>31960</v>
      </c>
      <c r="P293" s="6" t="s">
        <v>3499</v>
      </c>
    </row>
    <row r="294" spans="1:16" x14ac:dyDescent="0.25">
      <c r="A294" s="6" t="s">
        <v>3498</v>
      </c>
      <c r="B294" s="7">
        <v>46121</v>
      </c>
      <c r="C294" s="7">
        <v>46127</v>
      </c>
      <c r="D294" s="6">
        <v>3271</v>
      </c>
      <c r="E294" s="6">
        <v>336</v>
      </c>
      <c r="F294" s="6">
        <v>4</v>
      </c>
      <c r="G294" s="6">
        <v>8</v>
      </c>
      <c r="H294" s="6">
        <v>4953</v>
      </c>
      <c r="I294" s="6" t="s">
        <v>543</v>
      </c>
      <c r="J294" s="6">
        <v>51174988</v>
      </c>
      <c r="K294" s="6" t="s">
        <v>1663</v>
      </c>
      <c r="L294" s="13" t="s">
        <v>1664</v>
      </c>
      <c r="M294" s="19">
        <v>79900</v>
      </c>
      <c r="N294" s="62">
        <v>0.6</v>
      </c>
      <c r="O294" s="12">
        <f t="shared" si="5"/>
        <v>31960</v>
      </c>
      <c r="P294" s="6" t="s">
        <v>3499</v>
      </c>
    </row>
    <row r="295" spans="1:16" x14ac:dyDescent="0.25">
      <c r="A295" s="6" t="s">
        <v>3498</v>
      </c>
      <c r="B295" s="7">
        <v>46121</v>
      </c>
      <c r="C295" s="7">
        <v>46127</v>
      </c>
      <c r="D295" s="6">
        <v>3271</v>
      </c>
      <c r="E295" s="6">
        <v>336</v>
      </c>
      <c r="F295" s="6">
        <v>4</v>
      </c>
      <c r="G295" s="6">
        <v>8</v>
      </c>
      <c r="H295" s="6">
        <v>4953</v>
      </c>
      <c r="I295" s="6" t="s">
        <v>543</v>
      </c>
      <c r="J295" s="6">
        <v>51174997</v>
      </c>
      <c r="K295" s="6" t="s">
        <v>1663</v>
      </c>
      <c r="L295" s="13" t="s">
        <v>1665</v>
      </c>
      <c r="M295" s="19">
        <v>79900</v>
      </c>
      <c r="N295" s="62">
        <v>0.6</v>
      </c>
      <c r="O295" s="12">
        <f t="shared" si="5"/>
        <v>31960</v>
      </c>
      <c r="P295" s="6" t="s">
        <v>3499</v>
      </c>
    </row>
    <row r="296" spans="1:16" x14ac:dyDescent="0.25">
      <c r="A296" s="6" t="s">
        <v>3498</v>
      </c>
      <c r="B296" s="7">
        <v>46121</v>
      </c>
      <c r="C296" s="7">
        <v>46127</v>
      </c>
      <c r="D296" s="6">
        <v>3271</v>
      </c>
      <c r="E296" s="6">
        <v>336</v>
      </c>
      <c r="F296" s="6">
        <v>4</v>
      </c>
      <c r="G296" s="6">
        <v>8</v>
      </c>
      <c r="H296" s="6">
        <v>4953</v>
      </c>
      <c r="I296" s="6" t="s">
        <v>543</v>
      </c>
      <c r="J296" s="6">
        <v>51175003</v>
      </c>
      <c r="K296" s="6" t="s">
        <v>1663</v>
      </c>
      <c r="L296" s="13" t="s">
        <v>1666</v>
      </c>
      <c r="M296" s="19">
        <v>79900</v>
      </c>
      <c r="N296" s="62">
        <v>0.6</v>
      </c>
      <c r="O296" s="12">
        <f t="shared" si="5"/>
        <v>31960</v>
      </c>
      <c r="P296" s="6" t="s">
        <v>3499</v>
      </c>
    </row>
    <row r="297" spans="1:16" x14ac:dyDescent="0.25">
      <c r="A297" s="6" t="s">
        <v>3498</v>
      </c>
      <c r="B297" s="7">
        <v>46121</v>
      </c>
      <c r="C297" s="7">
        <v>46127</v>
      </c>
      <c r="D297" s="6">
        <v>3271</v>
      </c>
      <c r="E297" s="6">
        <v>336</v>
      </c>
      <c r="F297" s="6">
        <v>4</v>
      </c>
      <c r="G297" s="6">
        <v>8</v>
      </c>
      <c r="H297" s="6">
        <v>4953</v>
      </c>
      <c r="I297" s="6" t="s">
        <v>543</v>
      </c>
      <c r="J297" s="6">
        <v>51175012</v>
      </c>
      <c r="K297" s="6" t="s">
        <v>1663</v>
      </c>
      <c r="L297" s="13" t="s">
        <v>1667</v>
      </c>
      <c r="M297" s="19">
        <v>79900</v>
      </c>
      <c r="N297" s="62">
        <v>0.6</v>
      </c>
      <c r="O297" s="12">
        <f t="shared" si="5"/>
        <v>31960</v>
      </c>
      <c r="P297" s="6" t="s">
        <v>3499</v>
      </c>
    </row>
    <row r="298" spans="1:16" x14ac:dyDescent="0.25">
      <c r="A298" s="6" t="s">
        <v>3498</v>
      </c>
      <c r="B298" s="7">
        <v>46121</v>
      </c>
      <c r="C298" s="7">
        <v>46127</v>
      </c>
      <c r="D298" s="6">
        <v>3271</v>
      </c>
      <c r="E298" s="6">
        <v>336</v>
      </c>
      <c r="F298" s="6">
        <v>4</v>
      </c>
      <c r="G298" s="6">
        <v>8</v>
      </c>
      <c r="H298" s="6">
        <v>4953</v>
      </c>
      <c r="I298" s="6" t="s">
        <v>543</v>
      </c>
      <c r="J298" s="6">
        <v>51175021</v>
      </c>
      <c r="K298" s="6" t="s">
        <v>1668</v>
      </c>
      <c r="L298" s="13" t="s">
        <v>1669</v>
      </c>
      <c r="M298" s="19">
        <v>79900</v>
      </c>
      <c r="N298" s="62">
        <v>0.6</v>
      </c>
      <c r="O298" s="12">
        <f t="shared" si="5"/>
        <v>31960</v>
      </c>
      <c r="P298" s="6" t="s">
        <v>3499</v>
      </c>
    </row>
    <row r="299" spans="1:16" x14ac:dyDescent="0.25">
      <c r="A299" s="6" t="s">
        <v>3498</v>
      </c>
      <c r="B299" s="7">
        <v>46121</v>
      </c>
      <c r="C299" s="7">
        <v>46127</v>
      </c>
      <c r="D299" s="6">
        <v>3271</v>
      </c>
      <c r="E299" s="6">
        <v>336</v>
      </c>
      <c r="F299" s="6">
        <v>4</v>
      </c>
      <c r="G299" s="6">
        <v>8</v>
      </c>
      <c r="H299" s="6">
        <v>4953</v>
      </c>
      <c r="I299" s="6" t="s">
        <v>543</v>
      </c>
      <c r="J299" s="6">
        <v>51175030</v>
      </c>
      <c r="K299" s="6" t="s">
        <v>1668</v>
      </c>
      <c r="L299" s="13" t="s">
        <v>1670</v>
      </c>
      <c r="M299" s="19">
        <v>79900</v>
      </c>
      <c r="N299" s="62">
        <v>0.6</v>
      </c>
      <c r="O299" s="12">
        <f t="shared" si="5"/>
        <v>31960</v>
      </c>
      <c r="P299" s="6" t="s">
        <v>3499</v>
      </c>
    </row>
    <row r="300" spans="1:16" x14ac:dyDescent="0.25">
      <c r="A300" s="6" t="s">
        <v>3498</v>
      </c>
      <c r="B300" s="7">
        <v>46121</v>
      </c>
      <c r="C300" s="7">
        <v>46127</v>
      </c>
      <c r="D300" s="6">
        <v>3271</v>
      </c>
      <c r="E300" s="6">
        <v>336</v>
      </c>
      <c r="F300" s="6">
        <v>4</v>
      </c>
      <c r="G300" s="6">
        <v>8</v>
      </c>
      <c r="H300" s="6">
        <v>4953</v>
      </c>
      <c r="I300" s="6" t="s">
        <v>543</v>
      </c>
      <c r="J300" s="6">
        <v>51175049</v>
      </c>
      <c r="K300" s="6" t="s">
        <v>1668</v>
      </c>
      <c r="L300" s="13" t="s">
        <v>1671</v>
      </c>
      <c r="M300" s="19">
        <v>79900</v>
      </c>
      <c r="N300" s="62">
        <v>0.6</v>
      </c>
      <c r="O300" s="12">
        <f t="shared" si="5"/>
        <v>31960</v>
      </c>
      <c r="P300" s="6" t="s">
        <v>3499</v>
      </c>
    </row>
    <row r="301" spans="1:16" x14ac:dyDescent="0.25">
      <c r="A301" s="6" t="s">
        <v>3498</v>
      </c>
      <c r="B301" s="7">
        <v>46121</v>
      </c>
      <c r="C301" s="7">
        <v>46127</v>
      </c>
      <c r="D301" s="6">
        <v>3271</v>
      </c>
      <c r="E301" s="6">
        <v>336</v>
      </c>
      <c r="F301" s="6">
        <v>4</v>
      </c>
      <c r="G301" s="6">
        <v>8</v>
      </c>
      <c r="H301" s="6">
        <v>4953</v>
      </c>
      <c r="I301" s="6" t="s">
        <v>543</v>
      </c>
      <c r="J301" s="6">
        <v>51175058</v>
      </c>
      <c r="K301" s="6" t="s">
        <v>1668</v>
      </c>
      <c r="L301" s="13" t="s">
        <v>1672</v>
      </c>
      <c r="M301" s="19">
        <v>79900</v>
      </c>
      <c r="N301" s="62">
        <v>0.6</v>
      </c>
      <c r="O301" s="12">
        <f t="shared" si="5"/>
        <v>31960</v>
      </c>
      <c r="P301" s="6" t="s">
        <v>3499</v>
      </c>
    </row>
    <row r="302" spans="1:16" x14ac:dyDescent="0.25">
      <c r="A302" s="6" t="s">
        <v>3498</v>
      </c>
      <c r="B302" s="7">
        <v>46121</v>
      </c>
      <c r="C302" s="7">
        <v>46127</v>
      </c>
      <c r="D302" s="6">
        <v>3271</v>
      </c>
      <c r="E302" s="6">
        <v>336</v>
      </c>
      <c r="F302" s="6">
        <v>4</v>
      </c>
      <c r="G302" s="8">
        <v>4</v>
      </c>
      <c r="H302" s="8">
        <v>81305</v>
      </c>
      <c r="I302" s="6" t="s">
        <v>543</v>
      </c>
      <c r="J302" s="8">
        <v>50095208</v>
      </c>
      <c r="K302" s="8" t="s">
        <v>1673</v>
      </c>
      <c r="L302" s="9" t="s">
        <v>1674</v>
      </c>
      <c r="M302" s="10">
        <v>79900</v>
      </c>
      <c r="N302" s="62">
        <v>0.6</v>
      </c>
      <c r="O302" s="12">
        <f t="shared" si="5"/>
        <v>31960</v>
      </c>
      <c r="P302" s="6" t="s">
        <v>3499</v>
      </c>
    </row>
    <row r="303" spans="1:16" x14ac:dyDescent="0.25">
      <c r="A303" s="6" t="s">
        <v>3498</v>
      </c>
      <c r="B303" s="7">
        <v>46121</v>
      </c>
      <c r="C303" s="7">
        <v>46127</v>
      </c>
      <c r="D303" s="6">
        <v>3271</v>
      </c>
      <c r="E303" s="6">
        <v>336</v>
      </c>
      <c r="F303" s="6">
        <v>4</v>
      </c>
      <c r="G303" s="8">
        <v>4</v>
      </c>
      <c r="H303" s="8">
        <v>81305</v>
      </c>
      <c r="I303" s="6" t="s">
        <v>543</v>
      </c>
      <c r="J303" s="8">
        <v>50095217</v>
      </c>
      <c r="K303" s="8" t="s">
        <v>1673</v>
      </c>
      <c r="L303" s="9" t="s">
        <v>1675</v>
      </c>
      <c r="M303" s="10">
        <v>79900</v>
      </c>
      <c r="N303" s="62">
        <v>0.6</v>
      </c>
      <c r="O303" s="12">
        <f t="shared" si="5"/>
        <v>31960</v>
      </c>
      <c r="P303" s="6" t="s">
        <v>3499</v>
      </c>
    </row>
    <row r="304" spans="1:16" x14ac:dyDescent="0.25">
      <c r="A304" s="6" t="s">
        <v>3498</v>
      </c>
      <c r="B304" s="7">
        <v>46121</v>
      </c>
      <c r="C304" s="7">
        <v>46127</v>
      </c>
      <c r="D304" s="6">
        <v>3271</v>
      </c>
      <c r="E304" s="6">
        <v>336</v>
      </c>
      <c r="F304" s="6">
        <v>4</v>
      </c>
      <c r="G304" s="8">
        <v>4</v>
      </c>
      <c r="H304" s="8">
        <v>81305</v>
      </c>
      <c r="I304" s="6" t="s">
        <v>543</v>
      </c>
      <c r="J304" s="8">
        <v>50095226</v>
      </c>
      <c r="K304" s="8" t="s">
        <v>1673</v>
      </c>
      <c r="L304" s="9" t="s">
        <v>1676</v>
      </c>
      <c r="M304" s="10">
        <v>79900</v>
      </c>
      <c r="N304" s="62">
        <v>0.6</v>
      </c>
      <c r="O304" s="12">
        <f t="shared" si="5"/>
        <v>31960</v>
      </c>
      <c r="P304" s="6" t="s">
        <v>3499</v>
      </c>
    </row>
    <row r="305" spans="1:16" x14ac:dyDescent="0.25">
      <c r="A305" s="6" t="s">
        <v>3498</v>
      </c>
      <c r="B305" s="7">
        <v>46121</v>
      </c>
      <c r="C305" s="7">
        <v>46127</v>
      </c>
      <c r="D305" s="6">
        <v>3271</v>
      </c>
      <c r="E305" s="6">
        <v>336</v>
      </c>
      <c r="F305" s="6">
        <v>4</v>
      </c>
      <c r="G305" s="8">
        <v>4</v>
      </c>
      <c r="H305" s="8">
        <v>81305</v>
      </c>
      <c r="I305" s="6" t="s">
        <v>543</v>
      </c>
      <c r="J305" s="8">
        <v>50095235</v>
      </c>
      <c r="K305" s="8" t="s">
        <v>1673</v>
      </c>
      <c r="L305" s="9" t="s">
        <v>1677</v>
      </c>
      <c r="M305" s="10">
        <v>79900</v>
      </c>
      <c r="N305" s="62">
        <v>0.6</v>
      </c>
      <c r="O305" s="12">
        <f t="shared" si="5"/>
        <v>31960</v>
      </c>
      <c r="P305" s="6" t="s">
        <v>3499</v>
      </c>
    </row>
    <row r="306" spans="1:16" x14ac:dyDescent="0.25">
      <c r="A306" s="6" t="s">
        <v>3498</v>
      </c>
      <c r="B306" s="7">
        <v>46121</v>
      </c>
      <c r="C306" s="7">
        <v>46127</v>
      </c>
      <c r="D306" s="6">
        <v>3271</v>
      </c>
      <c r="E306" s="6">
        <v>336</v>
      </c>
      <c r="F306" s="6">
        <v>4</v>
      </c>
      <c r="G306" s="8">
        <v>4</v>
      </c>
      <c r="H306" s="8">
        <v>81305</v>
      </c>
      <c r="I306" s="6" t="s">
        <v>543</v>
      </c>
      <c r="J306" s="8">
        <v>50095244</v>
      </c>
      <c r="K306" s="8" t="s">
        <v>1678</v>
      </c>
      <c r="L306" s="9" t="s">
        <v>1679</v>
      </c>
      <c r="M306" s="10">
        <v>79900</v>
      </c>
      <c r="N306" s="62">
        <v>0.6</v>
      </c>
      <c r="O306" s="12">
        <f t="shared" si="5"/>
        <v>31960</v>
      </c>
      <c r="P306" s="6" t="s">
        <v>3499</v>
      </c>
    </row>
    <row r="307" spans="1:16" x14ac:dyDescent="0.25">
      <c r="A307" s="6" t="s">
        <v>3498</v>
      </c>
      <c r="B307" s="7">
        <v>46121</v>
      </c>
      <c r="C307" s="7">
        <v>46127</v>
      </c>
      <c r="D307" s="6">
        <v>3271</v>
      </c>
      <c r="E307" s="6">
        <v>336</v>
      </c>
      <c r="F307" s="6">
        <v>4</v>
      </c>
      <c r="G307" s="8">
        <v>4</v>
      </c>
      <c r="H307" s="8">
        <v>81305</v>
      </c>
      <c r="I307" s="6" t="s">
        <v>543</v>
      </c>
      <c r="J307" s="8">
        <v>50095253</v>
      </c>
      <c r="K307" s="8" t="s">
        <v>1678</v>
      </c>
      <c r="L307" s="9" t="s">
        <v>1680</v>
      </c>
      <c r="M307" s="10">
        <v>79900</v>
      </c>
      <c r="N307" s="62">
        <v>0.6</v>
      </c>
      <c r="O307" s="12">
        <f t="shared" si="5"/>
        <v>31960</v>
      </c>
      <c r="P307" s="6" t="s">
        <v>3499</v>
      </c>
    </row>
    <row r="308" spans="1:16" x14ac:dyDescent="0.25">
      <c r="A308" s="6" t="s">
        <v>3498</v>
      </c>
      <c r="B308" s="7">
        <v>46121</v>
      </c>
      <c r="C308" s="7">
        <v>46127</v>
      </c>
      <c r="D308" s="6">
        <v>3271</v>
      </c>
      <c r="E308" s="6">
        <v>336</v>
      </c>
      <c r="F308" s="6">
        <v>4</v>
      </c>
      <c r="G308" s="8">
        <v>4</v>
      </c>
      <c r="H308" s="8">
        <v>81305</v>
      </c>
      <c r="I308" s="6" t="s">
        <v>543</v>
      </c>
      <c r="J308" s="8">
        <v>50095262</v>
      </c>
      <c r="K308" s="8" t="s">
        <v>1678</v>
      </c>
      <c r="L308" s="9" t="s">
        <v>1681</v>
      </c>
      <c r="M308" s="10">
        <v>79900</v>
      </c>
      <c r="N308" s="62">
        <v>0.6</v>
      </c>
      <c r="O308" s="12">
        <f t="shared" si="5"/>
        <v>31960</v>
      </c>
      <c r="P308" s="6" t="s">
        <v>3499</v>
      </c>
    </row>
    <row r="309" spans="1:16" x14ac:dyDescent="0.25">
      <c r="A309" s="6" t="s">
        <v>3498</v>
      </c>
      <c r="B309" s="7">
        <v>46121</v>
      </c>
      <c r="C309" s="7">
        <v>46127</v>
      </c>
      <c r="D309" s="6">
        <v>3271</v>
      </c>
      <c r="E309" s="6">
        <v>336</v>
      </c>
      <c r="F309" s="6">
        <v>4</v>
      </c>
      <c r="G309" s="8">
        <v>4</v>
      </c>
      <c r="H309" s="8">
        <v>81305</v>
      </c>
      <c r="I309" s="6" t="s">
        <v>543</v>
      </c>
      <c r="J309" s="8">
        <v>50095271</v>
      </c>
      <c r="K309" s="8" t="s">
        <v>1678</v>
      </c>
      <c r="L309" s="9" t="s">
        <v>1682</v>
      </c>
      <c r="M309" s="10">
        <v>79900</v>
      </c>
      <c r="N309" s="62">
        <v>0.6</v>
      </c>
      <c r="O309" s="12">
        <f t="shared" si="5"/>
        <v>31960</v>
      </c>
      <c r="P309" s="6" t="s">
        <v>3499</v>
      </c>
    </row>
    <row r="310" spans="1:16" x14ac:dyDescent="0.25">
      <c r="A310" s="6" t="s">
        <v>3498</v>
      </c>
      <c r="B310" s="7">
        <v>46121</v>
      </c>
      <c r="C310" s="7">
        <v>46127</v>
      </c>
      <c r="D310" s="6">
        <v>3271</v>
      </c>
      <c r="E310" s="6">
        <v>336</v>
      </c>
      <c r="F310" s="6">
        <v>4</v>
      </c>
      <c r="G310" s="8">
        <v>4</v>
      </c>
      <c r="H310" s="8">
        <v>81305</v>
      </c>
      <c r="I310" s="6" t="s">
        <v>543</v>
      </c>
      <c r="J310" s="8">
        <v>50095280</v>
      </c>
      <c r="K310" s="8" t="s">
        <v>1683</v>
      </c>
      <c r="L310" s="9" t="s">
        <v>1684</v>
      </c>
      <c r="M310" s="10">
        <v>79900</v>
      </c>
      <c r="N310" s="62">
        <v>0.6</v>
      </c>
      <c r="O310" s="12">
        <f t="shared" si="5"/>
        <v>31960</v>
      </c>
      <c r="P310" s="6" t="s">
        <v>3499</v>
      </c>
    </row>
    <row r="311" spans="1:16" x14ac:dyDescent="0.25">
      <c r="A311" s="6" t="s">
        <v>3498</v>
      </c>
      <c r="B311" s="7">
        <v>46121</v>
      </c>
      <c r="C311" s="7">
        <v>46127</v>
      </c>
      <c r="D311" s="6">
        <v>3271</v>
      </c>
      <c r="E311" s="6">
        <v>336</v>
      </c>
      <c r="F311" s="6">
        <v>4</v>
      </c>
      <c r="G311" s="8">
        <v>4</v>
      </c>
      <c r="H311" s="8">
        <v>81305</v>
      </c>
      <c r="I311" s="6" t="s">
        <v>543</v>
      </c>
      <c r="J311" s="8">
        <v>50095299</v>
      </c>
      <c r="K311" s="8" t="s">
        <v>1683</v>
      </c>
      <c r="L311" s="9" t="s">
        <v>1685</v>
      </c>
      <c r="M311" s="10">
        <v>79900</v>
      </c>
      <c r="N311" s="62">
        <v>0.6</v>
      </c>
      <c r="O311" s="12">
        <f t="shared" si="5"/>
        <v>31960</v>
      </c>
      <c r="P311" s="6" t="s">
        <v>3499</v>
      </c>
    </row>
    <row r="312" spans="1:16" x14ac:dyDescent="0.25">
      <c r="A312" s="6" t="s">
        <v>3498</v>
      </c>
      <c r="B312" s="7">
        <v>46121</v>
      </c>
      <c r="C312" s="7">
        <v>46127</v>
      </c>
      <c r="D312" s="6">
        <v>3271</v>
      </c>
      <c r="E312" s="6">
        <v>336</v>
      </c>
      <c r="F312" s="6">
        <v>4</v>
      </c>
      <c r="G312" s="8">
        <v>4</v>
      </c>
      <c r="H312" s="8">
        <v>81305</v>
      </c>
      <c r="I312" s="6" t="s">
        <v>543</v>
      </c>
      <c r="J312" s="8">
        <v>50095306</v>
      </c>
      <c r="K312" s="8" t="s">
        <v>1683</v>
      </c>
      <c r="L312" s="9" t="s">
        <v>1686</v>
      </c>
      <c r="M312" s="10">
        <v>79900</v>
      </c>
      <c r="N312" s="62">
        <v>0.6</v>
      </c>
      <c r="O312" s="12">
        <f t="shared" si="5"/>
        <v>31960</v>
      </c>
      <c r="P312" s="6" t="s">
        <v>3499</v>
      </c>
    </row>
    <row r="313" spans="1:16" x14ac:dyDescent="0.25">
      <c r="A313" s="6" t="s">
        <v>3498</v>
      </c>
      <c r="B313" s="7">
        <v>46121</v>
      </c>
      <c r="C313" s="7">
        <v>46127</v>
      </c>
      <c r="D313" s="6">
        <v>3271</v>
      </c>
      <c r="E313" s="6">
        <v>336</v>
      </c>
      <c r="F313" s="6">
        <v>4</v>
      </c>
      <c r="G313" s="8">
        <v>4</v>
      </c>
      <c r="H313" s="8">
        <v>81305</v>
      </c>
      <c r="I313" s="6" t="s">
        <v>543</v>
      </c>
      <c r="J313" s="8">
        <v>50095315</v>
      </c>
      <c r="K313" s="8" t="s">
        <v>1683</v>
      </c>
      <c r="L313" s="9" t="s">
        <v>1687</v>
      </c>
      <c r="M313" s="10">
        <v>79900</v>
      </c>
      <c r="N313" s="62">
        <v>0.6</v>
      </c>
      <c r="O313" s="12">
        <f t="shared" si="5"/>
        <v>31960</v>
      </c>
      <c r="P313" s="6" t="s">
        <v>3499</v>
      </c>
    </row>
    <row r="314" spans="1:16" x14ac:dyDescent="0.25">
      <c r="A314" s="6" t="s">
        <v>3498</v>
      </c>
      <c r="B314" s="7">
        <v>46121</v>
      </c>
      <c r="C314" s="7">
        <v>46127</v>
      </c>
      <c r="D314" s="6">
        <v>3271</v>
      </c>
      <c r="E314" s="6">
        <v>336</v>
      </c>
      <c r="F314" s="6">
        <v>4</v>
      </c>
      <c r="G314" s="6">
        <v>4</v>
      </c>
      <c r="H314" s="6">
        <v>81683</v>
      </c>
      <c r="I314" s="6" t="s">
        <v>543</v>
      </c>
      <c r="J314" s="6">
        <v>25729491</v>
      </c>
      <c r="K314" s="6" t="s">
        <v>1688</v>
      </c>
      <c r="L314" s="13" t="s">
        <v>1689</v>
      </c>
      <c r="M314" s="19">
        <v>139900</v>
      </c>
      <c r="N314" s="62">
        <v>0.6</v>
      </c>
      <c r="O314" s="12">
        <f t="shared" si="5"/>
        <v>55960</v>
      </c>
      <c r="P314" s="6" t="s">
        <v>3499</v>
      </c>
    </row>
    <row r="315" spans="1:16" x14ac:dyDescent="0.25">
      <c r="A315" s="6" t="s">
        <v>3498</v>
      </c>
      <c r="B315" s="7">
        <v>46121</v>
      </c>
      <c r="C315" s="7">
        <v>46127</v>
      </c>
      <c r="D315" s="6">
        <v>3271</v>
      </c>
      <c r="E315" s="6">
        <v>336</v>
      </c>
      <c r="F315" s="6">
        <v>4</v>
      </c>
      <c r="G315" s="6">
        <v>4</v>
      </c>
      <c r="H315" s="6">
        <v>81683</v>
      </c>
      <c r="I315" s="6" t="s">
        <v>543</v>
      </c>
      <c r="J315" s="6">
        <v>25729508</v>
      </c>
      <c r="K315" s="6" t="s">
        <v>1688</v>
      </c>
      <c r="L315" s="13" t="s">
        <v>1690</v>
      </c>
      <c r="M315" s="19">
        <v>139900</v>
      </c>
      <c r="N315" s="62">
        <v>0.6</v>
      </c>
      <c r="O315" s="12">
        <f t="shared" si="5"/>
        <v>55960</v>
      </c>
      <c r="P315" s="6" t="s">
        <v>3499</v>
      </c>
    </row>
    <row r="316" spans="1:16" x14ac:dyDescent="0.25">
      <c r="A316" s="6" t="s">
        <v>3498</v>
      </c>
      <c r="B316" s="7">
        <v>46121</v>
      </c>
      <c r="C316" s="7">
        <v>46127</v>
      </c>
      <c r="D316" s="6">
        <v>3271</v>
      </c>
      <c r="E316" s="6">
        <v>336</v>
      </c>
      <c r="F316" s="6">
        <v>4</v>
      </c>
      <c r="G316" s="6">
        <v>4</v>
      </c>
      <c r="H316" s="6">
        <v>81683</v>
      </c>
      <c r="I316" s="6" t="s">
        <v>543</v>
      </c>
      <c r="J316" s="6">
        <v>25729517</v>
      </c>
      <c r="K316" s="6" t="s">
        <v>1688</v>
      </c>
      <c r="L316" s="13" t="s">
        <v>1691</v>
      </c>
      <c r="M316" s="19">
        <v>139900</v>
      </c>
      <c r="N316" s="62">
        <v>0.6</v>
      </c>
      <c r="O316" s="12">
        <f t="shared" si="5"/>
        <v>55960</v>
      </c>
      <c r="P316" s="6" t="s">
        <v>3499</v>
      </c>
    </row>
    <row r="317" spans="1:16" x14ac:dyDescent="0.25">
      <c r="A317" s="6" t="s">
        <v>3498</v>
      </c>
      <c r="B317" s="7">
        <v>46121</v>
      </c>
      <c r="C317" s="7">
        <v>46127</v>
      </c>
      <c r="D317" s="6">
        <v>3271</v>
      </c>
      <c r="E317" s="6">
        <v>336</v>
      </c>
      <c r="F317" s="6">
        <v>4</v>
      </c>
      <c r="G317" s="6">
        <v>4</v>
      </c>
      <c r="H317" s="6">
        <v>81683</v>
      </c>
      <c r="I317" s="6" t="s">
        <v>543</v>
      </c>
      <c r="J317" s="6">
        <v>25729526</v>
      </c>
      <c r="K317" s="6" t="s">
        <v>1688</v>
      </c>
      <c r="L317" s="13" t="s">
        <v>1692</v>
      </c>
      <c r="M317" s="19">
        <v>139900</v>
      </c>
      <c r="N317" s="62">
        <v>0.6</v>
      </c>
      <c r="O317" s="12">
        <f t="shared" si="5"/>
        <v>55960</v>
      </c>
      <c r="P317" s="6" t="s">
        <v>3499</v>
      </c>
    </row>
    <row r="318" spans="1:16" x14ac:dyDescent="0.25">
      <c r="A318" s="6" t="s">
        <v>3498</v>
      </c>
      <c r="B318" s="7">
        <v>46121</v>
      </c>
      <c r="C318" s="7">
        <v>46127</v>
      </c>
      <c r="D318" s="6">
        <v>3271</v>
      </c>
      <c r="E318" s="6">
        <v>336</v>
      </c>
      <c r="F318" s="6">
        <v>4</v>
      </c>
      <c r="G318" s="6">
        <v>4</v>
      </c>
      <c r="H318" s="6">
        <v>81683</v>
      </c>
      <c r="I318" s="6" t="s">
        <v>543</v>
      </c>
      <c r="J318" s="6">
        <v>25729535</v>
      </c>
      <c r="K318" s="6" t="s">
        <v>1693</v>
      </c>
      <c r="L318" s="13" t="s">
        <v>1694</v>
      </c>
      <c r="M318" s="19">
        <v>139900</v>
      </c>
      <c r="N318" s="62">
        <v>0.6</v>
      </c>
      <c r="O318" s="12">
        <f t="shared" si="5"/>
        <v>55960</v>
      </c>
      <c r="P318" s="6" t="s">
        <v>3499</v>
      </c>
    </row>
    <row r="319" spans="1:16" x14ac:dyDescent="0.25">
      <c r="A319" s="6" t="s">
        <v>3498</v>
      </c>
      <c r="B319" s="7">
        <v>46121</v>
      </c>
      <c r="C319" s="7">
        <v>46127</v>
      </c>
      <c r="D319" s="6">
        <v>3271</v>
      </c>
      <c r="E319" s="6">
        <v>336</v>
      </c>
      <c r="F319" s="6">
        <v>4</v>
      </c>
      <c r="G319" s="6">
        <v>4</v>
      </c>
      <c r="H319" s="6">
        <v>81683</v>
      </c>
      <c r="I319" s="6" t="s">
        <v>543</v>
      </c>
      <c r="J319" s="6">
        <v>25729544</v>
      </c>
      <c r="K319" s="6" t="s">
        <v>1693</v>
      </c>
      <c r="L319" s="13" t="s">
        <v>1695</v>
      </c>
      <c r="M319" s="19">
        <v>139900</v>
      </c>
      <c r="N319" s="62">
        <v>0.6</v>
      </c>
      <c r="O319" s="12">
        <f t="shared" si="5"/>
        <v>55960</v>
      </c>
      <c r="P319" s="6" t="s">
        <v>3499</v>
      </c>
    </row>
    <row r="320" spans="1:16" x14ac:dyDescent="0.25">
      <c r="A320" s="6" t="s">
        <v>3498</v>
      </c>
      <c r="B320" s="7">
        <v>46121</v>
      </c>
      <c r="C320" s="7">
        <v>46127</v>
      </c>
      <c r="D320" s="6">
        <v>3271</v>
      </c>
      <c r="E320" s="6">
        <v>336</v>
      </c>
      <c r="F320" s="6">
        <v>4</v>
      </c>
      <c r="G320" s="6">
        <v>4</v>
      </c>
      <c r="H320" s="6">
        <v>81683</v>
      </c>
      <c r="I320" s="6" t="s">
        <v>543</v>
      </c>
      <c r="J320" s="6">
        <v>25729553</v>
      </c>
      <c r="K320" s="6" t="s">
        <v>1693</v>
      </c>
      <c r="L320" s="13" t="s">
        <v>1696</v>
      </c>
      <c r="M320" s="19">
        <v>139900</v>
      </c>
      <c r="N320" s="62">
        <v>0.6</v>
      </c>
      <c r="O320" s="12">
        <f t="shared" si="5"/>
        <v>55960</v>
      </c>
      <c r="P320" s="6" t="s">
        <v>3499</v>
      </c>
    </row>
    <row r="321" spans="1:16" x14ac:dyDescent="0.25">
      <c r="A321" s="6" t="s">
        <v>3498</v>
      </c>
      <c r="B321" s="7">
        <v>46121</v>
      </c>
      <c r="C321" s="7">
        <v>46127</v>
      </c>
      <c r="D321" s="6">
        <v>3271</v>
      </c>
      <c r="E321" s="6">
        <v>336</v>
      </c>
      <c r="F321" s="6">
        <v>4</v>
      </c>
      <c r="G321" s="6">
        <v>4</v>
      </c>
      <c r="H321" s="6">
        <v>81683</v>
      </c>
      <c r="I321" s="6" t="s">
        <v>543</v>
      </c>
      <c r="J321" s="6">
        <v>25729562</v>
      </c>
      <c r="K321" s="6" t="s">
        <v>1693</v>
      </c>
      <c r="L321" s="13" t="s">
        <v>1697</v>
      </c>
      <c r="M321" s="19">
        <v>139900</v>
      </c>
      <c r="N321" s="62">
        <v>0.6</v>
      </c>
      <c r="O321" s="12">
        <f t="shared" si="5"/>
        <v>55960</v>
      </c>
      <c r="P321" s="6" t="s">
        <v>3499</v>
      </c>
    </row>
    <row r="322" spans="1:16" x14ac:dyDescent="0.25">
      <c r="A322" s="6" t="s">
        <v>3498</v>
      </c>
      <c r="B322" s="7">
        <v>46121</v>
      </c>
      <c r="C322" s="7">
        <v>46127</v>
      </c>
      <c r="D322" s="6">
        <v>3271</v>
      </c>
      <c r="E322" s="6">
        <v>336</v>
      </c>
      <c r="F322" s="6">
        <v>4</v>
      </c>
      <c r="G322" s="6">
        <v>4</v>
      </c>
      <c r="H322" s="6">
        <v>81683</v>
      </c>
      <c r="I322" s="6" t="s">
        <v>543</v>
      </c>
      <c r="J322" s="6">
        <v>45729408</v>
      </c>
      <c r="K322" s="6" t="s">
        <v>1698</v>
      </c>
      <c r="L322" s="13" t="s">
        <v>1699</v>
      </c>
      <c r="M322" s="19">
        <v>139900</v>
      </c>
      <c r="N322" s="62">
        <v>0.6</v>
      </c>
      <c r="O322" s="12">
        <f t="shared" si="5"/>
        <v>55960</v>
      </c>
      <c r="P322" s="6" t="s">
        <v>3499</v>
      </c>
    </row>
    <row r="323" spans="1:16" x14ac:dyDescent="0.25">
      <c r="A323" s="6" t="s">
        <v>3498</v>
      </c>
      <c r="B323" s="7">
        <v>46121</v>
      </c>
      <c r="C323" s="7">
        <v>46127</v>
      </c>
      <c r="D323" s="6">
        <v>3271</v>
      </c>
      <c r="E323" s="6">
        <v>336</v>
      </c>
      <c r="F323" s="6">
        <v>4</v>
      </c>
      <c r="G323" s="6">
        <v>4</v>
      </c>
      <c r="H323" s="6">
        <v>81683</v>
      </c>
      <c r="I323" s="6" t="s">
        <v>543</v>
      </c>
      <c r="J323" s="6">
        <v>45729417</v>
      </c>
      <c r="K323" s="6" t="s">
        <v>1698</v>
      </c>
      <c r="L323" s="13" t="s">
        <v>1700</v>
      </c>
      <c r="M323" s="19">
        <v>139900</v>
      </c>
      <c r="N323" s="62">
        <v>0.6</v>
      </c>
      <c r="O323" s="12">
        <f t="shared" si="5"/>
        <v>55960</v>
      </c>
      <c r="P323" s="6" t="s">
        <v>3499</v>
      </c>
    </row>
    <row r="324" spans="1:16" x14ac:dyDescent="0.25">
      <c r="A324" s="6" t="s">
        <v>3498</v>
      </c>
      <c r="B324" s="7">
        <v>46121</v>
      </c>
      <c r="C324" s="7">
        <v>46127</v>
      </c>
      <c r="D324" s="6">
        <v>3271</v>
      </c>
      <c r="E324" s="6">
        <v>336</v>
      </c>
      <c r="F324" s="6">
        <v>4</v>
      </c>
      <c r="G324" s="6">
        <v>4</v>
      </c>
      <c r="H324" s="6">
        <v>81683</v>
      </c>
      <c r="I324" s="6" t="s">
        <v>543</v>
      </c>
      <c r="J324" s="6">
        <v>45729426</v>
      </c>
      <c r="K324" s="6" t="s">
        <v>1698</v>
      </c>
      <c r="L324" s="13" t="s">
        <v>1701</v>
      </c>
      <c r="M324" s="19">
        <v>139900</v>
      </c>
      <c r="N324" s="62">
        <v>0.6</v>
      </c>
      <c r="O324" s="12">
        <f t="shared" si="5"/>
        <v>55960</v>
      </c>
      <c r="P324" s="6" t="s">
        <v>3499</v>
      </c>
    </row>
    <row r="325" spans="1:16" x14ac:dyDescent="0.25">
      <c r="A325" s="6" t="s">
        <v>3498</v>
      </c>
      <c r="B325" s="7">
        <v>46121</v>
      </c>
      <c r="C325" s="7">
        <v>46127</v>
      </c>
      <c r="D325" s="6">
        <v>3271</v>
      </c>
      <c r="E325" s="6">
        <v>336</v>
      </c>
      <c r="F325" s="6">
        <v>4</v>
      </c>
      <c r="G325" s="6">
        <v>4</v>
      </c>
      <c r="H325" s="6">
        <v>81683</v>
      </c>
      <c r="I325" s="6" t="s">
        <v>543</v>
      </c>
      <c r="J325" s="6">
        <v>45729435</v>
      </c>
      <c r="K325" s="6" t="s">
        <v>1698</v>
      </c>
      <c r="L325" s="13" t="s">
        <v>1702</v>
      </c>
      <c r="M325" s="19">
        <v>139900</v>
      </c>
      <c r="N325" s="62">
        <v>0.6</v>
      </c>
      <c r="O325" s="12">
        <f t="shared" si="5"/>
        <v>55960</v>
      </c>
      <c r="P325" s="6" t="s">
        <v>3499</v>
      </c>
    </row>
    <row r="326" spans="1:16" x14ac:dyDescent="0.25">
      <c r="A326" s="6" t="s">
        <v>3498</v>
      </c>
      <c r="B326" s="7">
        <v>46121</v>
      </c>
      <c r="C326" s="7">
        <v>46127</v>
      </c>
      <c r="D326" s="6">
        <v>3271</v>
      </c>
      <c r="E326" s="6">
        <v>336</v>
      </c>
      <c r="F326" s="6">
        <v>4</v>
      </c>
      <c r="G326" s="6">
        <v>4</v>
      </c>
      <c r="H326" s="6">
        <v>81683</v>
      </c>
      <c r="I326" s="6" t="s">
        <v>543</v>
      </c>
      <c r="J326" s="6">
        <v>45729444</v>
      </c>
      <c r="K326" s="6" t="s">
        <v>1703</v>
      </c>
      <c r="L326" s="13" t="s">
        <v>1704</v>
      </c>
      <c r="M326" s="19">
        <v>139900</v>
      </c>
      <c r="N326" s="62">
        <v>0.6</v>
      </c>
      <c r="O326" s="12">
        <f t="shared" si="5"/>
        <v>55960</v>
      </c>
      <c r="P326" s="6" t="s">
        <v>3499</v>
      </c>
    </row>
    <row r="327" spans="1:16" x14ac:dyDescent="0.25">
      <c r="A327" s="6" t="s">
        <v>3498</v>
      </c>
      <c r="B327" s="7">
        <v>46121</v>
      </c>
      <c r="C327" s="7">
        <v>46127</v>
      </c>
      <c r="D327" s="6">
        <v>3271</v>
      </c>
      <c r="E327" s="6">
        <v>336</v>
      </c>
      <c r="F327" s="6">
        <v>4</v>
      </c>
      <c r="G327" s="6">
        <v>4</v>
      </c>
      <c r="H327" s="6">
        <v>81683</v>
      </c>
      <c r="I327" s="6" t="s">
        <v>543</v>
      </c>
      <c r="J327" s="6">
        <v>45729453</v>
      </c>
      <c r="K327" s="6" t="s">
        <v>1703</v>
      </c>
      <c r="L327" s="13" t="s">
        <v>1705</v>
      </c>
      <c r="M327" s="19">
        <v>139900</v>
      </c>
      <c r="N327" s="62">
        <v>0.6</v>
      </c>
      <c r="O327" s="12">
        <f t="shared" si="5"/>
        <v>55960</v>
      </c>
      <c r="P327" s="6" t="s">
        <v>3499</v>
      </c>
    </row>
    <row r="328" spans="1:16" x14ac:dyDescent="0.25">
      <c r="A328" s="6" t="s">
        <v>3498</v>
      </c>
      <c r="B328" s="7">
        <v>46121</v>
      </c>
      <c r="C328" s="7">
        <v>46127</v>
      </c>
      <c r="D328" s="6">
        <v>3271</v>
      </c>
      <c r="E328" s="6">
        <v>336</v>
      </c>
      <c r="F328" s="6">
        <v>4</v>
      </c>
      <c r="G328" s="6">
        <v>4</v>
      </c>
      <c r="H328" s="6">
        <v>81683</v>
      </c>
      <c r="I328" s="6" t="s">
        <v>543</v>
      </c>
      <c r="J328" s="6">
        <v>45729462</v>
      </c>
      <c r="K328" s="6" t="s">
        <v>1703</v>
      </c>
      <c r="L328" s="13" t="s">
        <v>1706</v>
      </c>
      <c r="M328" s="19">
        <v>139900</v>
      </c>
      <c r="N328" s="62">
        <v>0.6</v>
      </c>
      <c r="O328" s="12">
        <f t="shared" si="5"/>
        <v>55960</v>
      </c>
      <c r="P328" s="6" t="s">
        <v>3499</v>
      </c>
    </row>
    <row r="329" spans="1:16" x14ac:dyDescent="0.25">
      <c r="A329" s="6" t="s">
        <v>3498</v>
      </c>
      <c r="B329" s="7">
        <v>46121</v>
      </c>
      <c r="C329" s="7">
        <v>46127</v>
      </c>
      <c r="D329" s="6">
        <v>3271</v>
      </c>
      <c r="E329" s="6">
        <v>336</v>
      </c>
      <c r="F329" s="6">
        <v>4</v>
      </c>
      <c r="G329" s="6">
        <v>4</v>
      </c>
      <c r="H329" s="6">
        <v>81683</v>
      </c>
      <c r="I329" s="6" t="s">
        <v>543</v>
      </c>
      <c r="J329" s="6">
        <v>45729471</v>
      </c>
      <c r="K329" s="6" t="s">
        <v>1703</v>
      </c>
      <c r="L329" s="13" t="s">
        <v>1707</v>
      </c>
      <c r="M329" s="19">
        <v>139900</v>
      </c>
      <c r="N329" s="62">
        <v>0.6</v>
      </c>
      <c r="O329" s="12">
        <f t="shared" si="5"/>
        <v>55960</v>
      </c>
      <c r="P329" s="6" t="s">
        <v>3499</v>
      </c>
    </row>
    <row r="330" spans="1:16" x14ac:dyDescent="0.25">
      <c r="A330" s="6" t="s">
        <v>3498</v>
      </c>
      <c r="B330" s="7">
        <v>46121</v>
      </c>
      <c r="C330" s="7">
        <v>46127</v>
      </c>
      <c r="D330" s="6">
        <v>3271</v>
      </c>
      <c r="E330" s="6">
        <v>336</v>
      </c>
      <c r="F330" s="6">
        <v>4</v>
      </c>
      <c r="G330" s="8">
        <v>4</v>
      </c>
      <c r="H330" s="8">
        <v>81574</v>
      </c>
      <c r="I330" s="6" t="s">
        <v>543</v>
      </c>
      <c r="J330" s="8">
        <v>50095440</v>
      </c>
      <c r="K330" s="8" t="s">
        <v>1708</v>
      </c>
      <c r="L330" s="9" t="s">
        <v>1709</v>
      </c>
      <c r="M330" s="10">
        <v>169900</v>
      </c>
      <c r="N330" s="62">
        <v>0.6</v>
      </c>
      <c r="O330" s="12">
        <f t="shared" si="5"/>
        <v>67960</v>
      </c>
      <c r="P330" s="6" t="s">
        <v>3499</v>
      </c>
    </row>
    <row r="331" spans="1:16" x14ac:dyDescent="0.25">
      <c r="A331" s="6" t="s">
        <v>3498</v>
      </c>
      <c r="B331" s="7">
        <v>46121</v>
      </c>
      <c r="C331" s="7">
        <v>46127</v>
      </c>
      <c r="D331" s="6">
        <v>3271</v>
      </c>
      <c r="E331" s="6">
        <v>336</v>
      </c>
      <c r="F331" s="6">
        <v>4</v>
      </c>
      <c r="G331" s="8">
        <v>4</v>
      </c>
      <c r="H331" s="8">
        <v>81574</v>
      </c>
      <c r="I331" s="6" t="s">
        <v>543</v>
      </c>
      <c r="J331" s="8">
        <v>50095459</v>
      </c>
      <c r="K331" s="8" t="s">
        <v>1708</v>
      </c>
      <c r="L331" s="9" t="s">
        <v>1710</v>
      </c>
      <c r="M331" s="10">
        <v>169900</v>
      </c>
      <c r="N331" s="62">
        <v>0.6</v>
      </c>
      <c r="O331" s="12">
        <f t="shared" si="5"/>
        <v>67960</v>
      </c>
      <c r="P331" s="6" t="s">
        <v>3499</v>
      </c>
    </row>
    <row r="332" spans="1:16" x14ac:dyDescent="0.25">
      <c r="A332" s="6" t="s">
        <v>3498</v>
      </c>
      <c r="B332" s="7">
        <v>46121</v>
      </c>
      <c r="C332" s="7">
        <v>46127</v>
      </c>
      <c r="D332" s="6">
        <v>3271</v>
      </c>
      <c r="E332" s="6">
        <v>336</v>
      </c>
      <c r="F332" s="6">
        <v>4</v>
      </c>
      <c r="G332" s="8">
        <v>4</v>
      </c>
      <c r="H332" s="8">
        <v>81574</v>
      </c>
      <c r="I332" s="6" t="s">
        <v>543</v>
      </c>
      <c r="J332" s="8">
        <v>50095468</v>
      </c>
      <c r="K332" s="8" t="s">
        <v>1708</v>
      </c>
      <c r="L332" s="9" t="s">
        <v>1711</v>
      </c>
      <c r="M332" s="10">
        <v>169900</v>
      </c>
      <c r="N332" s="62">
        <v>0.6</v>
      </c>
      <c r="O332" s="12">
        <f t="shared" si="5"/>
        <v>67960</v>
      </c>
      <c r="P332" s="6" t="s">
        <v>3499</v>
      </c>
    </row>
    <row r="333" spans="1:16" x14ac:dyDescent="0.25">
      <c r="A333" s="6" t="s">
        <v>3498</v>
      </c>
      <c r="B333" s="7">
        <v>46121</v>
      </c>
      <c r="C333" s="7">
        <v>46127</v>
      </c>
      <c r="D333" s="6">
        <v>3271</v>
      </c>
      <c r="E333" s="6">
        <v>336</v>
      </c>
      <c r="F333" s="6">
        <v>4</v>
      </c>
      <c r="G333" s="8">
        <v>4</v>
      </c>
      <c r="H333" s="8">
        <v>81574</v>
      </c>
      <c r="I333" s="6" t="s">
        <v>543</v>
      </c>
      <c r="J333" s="8">
        <v>50095477</v>
      </c>
      <c r="K333" s="8" t="s">
        <v>1708</v>
      </c>
      <c r="L333" s="9" t="s">
        <v>1712</v>
      </c>
      <c r="M333" s="10">
        <v>169900</v>
      </c>
      <c r="N333" s="62">
        <v>0.6</v>
      </c>
      <c r="O333" s="12">
        <f t="shared" si="5"/>
        <v>67960</v>
      </c>
      <c r="P333" s="6" t="s">
        <v>3499</v>
      </c>
    </row>
    <row r="334" spans="1:16" x14ac:dyDescent="0.25">
      <c r="A334" s="6" t="s">
        <v>3498</v>
      </c>
      <c r="B334" s="7">
        <v>46121</v>
      </c>
      <c r="C334" s="7">
        <v>46127</v>
      </c>
      <c r="D334" s="6">
        <v>3271</v>
      </c>
      <c r="E334" s="6">
        <v>336</v>
      </c>
      <c r="F334" s="6">
        <v>4</v>
      </c>
      <c r="G334" s="8">
        <v>4</v>
      </c>
      <c r="H334" s="8">
        <v>81574</v>
      </c>
      <c r="I334" s="6" t="s">
        <v>543</v>
      </c>
      <c r="J334" s="8">
        <v>50095486</v>
      </c>
      <c r="K334" s="8" t="s">
        <v>1713</v>
      </c>
      <c r="L334" s="9" t="s">
        <v>1714</v>
      </c>
      <c r="M334" s="10">
        <v>169900</v>
      </c>
      <c r="N334" s="62">
        <v>0.6</v>
      </c>
      <c r="O334" s="12">
        <f t="shared" si="5"/>
        <v>67960</v>
      </c>
      <c r="P334" s="6" t="s">
        <v>3499</v>
      </c>
    </row>
    <row r="335" spans="1:16" x14ac:dyDescent="0.25">
      <c r="A335" s="6" t="s">
        <v>3498</v>
      </c>
      <c r="B335" s="7">
        <v>46121</v>
      </c>
      <c r="C335" s="7">
        <v>46127</v>
      </c>
      <c r="D335" s="6">
        <v>3271</v>
      </c>
      <c r="E335" s="6">
        <v>336</v>
      </c>
      <c r="F335" s="6">
        <v>4</v>
      </c>
      <c r="G335" s="8">
        <v>4</v>
      </c>
      <c r="H335" s="8">
        <v>81574</v>
      </c>
      <c r="I335" s="6" t="s">
        <v>543</v>
      </c>
      <c r="J335" s="8">
        <v>50095495</v>
      </c>
      <c r="K335" s="8" t="s">
        <v>1713</v>
      </c>
      <c r="L335" s="9" t="s">
        <v>1715</v>
      </c>
      <c r="M335" s="10">
        <v>169900</v>
      </c>
      <c r="N335" s="62">
        <v>0.6</v>
      </c>
      <c r="O335" s="12">
        <f t="shared" si="5"/>
        <v>67960</v>
      </c>
      <c r="P335" s="6" t="s">
        <v>3499</v>
      </c>
    </row>
    <row r="336" spans="1:16" x14ac:dyDescent="0.25">
      <c r="A336" s="6" t="s">
        <v>3498</v>
      </c>
      <c r="B336" s="7">
        <v>46121</v>
      </c>
      <c r="C336" s="7">
        <v>46127</v>
      </c>
      <c r="D336" s="6">
        <v>3271</v>
      </c>
      <c r="E336" s="6">
        <v>336</v>
      </c>
      <c r="F336" s="6">
        <v>4</v>
      </c>
      <c r="G336" s="8">
        <v>4</v>
      </c>
      <c r="H336" s="8">
        <v>81574</v>
      </c>
      <c r="I336" s="6" t="s">
        <v>543</v>
      </c>
      <c r="J336" s="8">
        <v>50095502</v>
      </c>
      <c r="K336" s="8" t="s">
        <v>1713</v>
      </c>
      <c r="L336" s="9" t="s">
        <v>1716</v>
      </c>
      <c r="M336" s="10">
        <v>169900</v>
      </c>
      <c r="N336" s="62">
        <v>0.6</v>
      </c>
      <c r="O336" s="12">
        <f t="shared" si="5"/>
        <v>67960</v>
      </c>
      <c r="P336" s="6" t="s">
        <v>3499</v>
      </c>
    </row>
    <row r="337" spans="1:16" x14ac:dyDescent="0.25">
      <c r="A337" s="6" t="s">
        <v>3498</v>
      </c>
      <c r="B337" s="7">
        <v>46121</v>
      </c>
      <c r="C337" s="7">
        <v>46127</v>
      </c>
      <c r="D337" s="6">
        <v>3271</v>
      </c>
      <c r="E337" s="6">
        <v>336</v>
      </c>
      <c r="F337" s="6">
        <v>4</v>
      </c>
      <c r="G337" s="8">
        <v>4</v>
      </c>
      <c r="H337" s="8">
        <v>81574</v>
      </c>
      <c r="I337" s="6" t="s">
        <v>543</v>
      </c>
      <c r="J337" s="8">
        <v>50095511</v>
      </c>
      <c r="K337" s="8" t="s">
        <v>1713</v>
      </c>
      <c r="L337" s="9" t="s">
        <v>1717</v>
      </c>
      <c r="M337" s="10">
        <v>169900</v>
      </c>
      <c r="N337" s="62">
        <v>0.6</v>
      </c>
      <c r="O337" s="12">
        <f t="shared" si="5"/>
        <v>67960</v>
      </c>
      <c r="P337" s="6" t="s">
        <v>3499</v>
      </c>
    </row>
    <row r="338" spans="1:16" x14ac:dyDescent="0.25">
      <c r="A338" s="6" t="s">
        <v>3498</v>
      </c>
      <c r="B338" s="7">
        <v>46121</v>
      </c>
      <c r="C338" s="7">
        <v>46127</v>
      </c>
      <c r="D338" s="6">
        <v>3271</v>
      </c>
      <c r="E338" s="6">
        <v>336</v>
      </c>
      <c r="F338" s="6">
        <v>4</v>
      </c>
      <c r="G338" s="6">
        <v>4</v>
      </c>
      <c r="H338" s="6">
        <v>81683</v>
      </c>
      <c r="I338" s="6" t="s">
        <v>543</v>
      </c>
      <c r="J338" s="6">
        <v>50095360</v>
      </c>
      <c r="K338" s="6" t="s">
        <v>1718</v>
      </c>
      <c r="L338" s="13" t="s">
        <v>1719</v>
      </c>
      <c r="M338" s="19">
        <v>139900</v>
      </c>
      <c r="N338" s="62">
        <v>0.6</v>
      </c>
      <c r="O338" s="12">
        <f t="shared" si="5"/>
        <v>55960</v>
      </c>
      <c r="P338" s="6" t="s">
        <v>3499</v>
      </c>
    </row>
    <row r="339" spans="1:16" x14ac:dyDescent="0.25">
      <c r="A339" s="6" t="s">
        <v>3498</v>
      </c>
      <c r="B339" s="7">
        <v>46121</v>
      </c>
      <c r="C339" s="7">
        <v>46127</v>
      </c>
      <c r="D339" s="6">
        <v>3271</v>
      </c>
      <c r="E339" s="6">
        <v>336</v>
      </c>
      <c r="F339" s="6">
        <v>4</v>
      </c>
      <c r="G339" s="6">
        <v>4</v>
      </c>
      <c r="H339" s="6">
        <v>81683</v>
      </c>
      <c r="I339" s="6" t="s">
        <v>543</v>
      </c>
      <c r="J339" s="6">
        <v>50095379</v>
      </c>
      <c r="K339" s="6" t="s">
        <v>1718</v>
      </c>
      <c r="L339" s="13" t="s">
        <v>1720</v>
      </c>
      <c r="M339" s="19">
        <v>139900</v>
      </c>
      <c r="N339" s="62">
        <v>0.6</v>
      </c>
      <c r="O339" s="12">
        <f t="shared" si="5"/>
        <v>55960</v>
      </c>
      <c r="P339" s="6" t="s">
        <v>3499</v>
      </c>
    </row>
    <row r="340" spans="1:16" x14ac:dyDescent="0.25">
      <c r="A340" s="6" t="s">
        <v>3498</v>
      </c>
      <c r="B340" s="7">
        <v>46121</v>
      </c>
      <c r="C340" s="7">
        <v>46127</v>
      </c>
      <c r="D340" s="6">
        <v>3271</v>
      </c>
      <c r="E340" s="6">
        <v>336</v>
      </c>
      <c r="F340" s="6">
        <v>4</v>
      </c>
      <c r="G340" s="6">
        <v>4</v>
      </c>
      <c r="H340" s="6">
        <v>81683</v>
      </c>
      <c r="I340" s="6" t="s">
        <v>543</v>
      </c>
      <c r="J340" s="6">
        <v>50095388</v>
      </c>
      <c r="K340" s="6" t="s">
        <v>1718</v>
      </c>
      <c r="L340" s="13" t="s">
        <v>1721</v>
      </c>
      <c r="M340" s="19">
        <v>139900</v>
      </c>
      <c r="N340" s="62">
        <v>0.6</v>
      </c>
      <c r="O340" s="12">
        <f t="shared" si="5"/>
        <v>55960</v>
      </c>
      <c r="P340" s="6" t="s">
        <v>3499</v>
      </c>
    </row>
    <row r="341" spans="1:16" x14ac:dyDescent="0.25">
      <c r="A341" s="6" t="s">
        <v>3498</v>
      </c>
      <c r="B341" s="7">
        <v>46121</v>
      </c>
      <c r="C341" s="7">
        <v>46127</v>
      </c>
      <c r="D341" s="6">
        <v>3271</v>
      </c>
      <c r="E341" s="6">
        <v>336</v>
      </c>
      <c r="F341" s="6">
        <v>4</v>
      </c>
      <c r="G341" s="6">
        <v>4</v>
      </c>
      <c r="H341" s="6">
        <v>81683</v>
      </c>
      <c r="I341" s="6" t="s">
        <v>543</v>
      </c>
      <c r="J341" s="6">
        <v>50095397</v>
      </c>
      <c r="K341" s="6" t="s">
        <v>1718</v>
      </c>
      <c r="L341" s="13" t="s">
        <v>1722</v>
      </c>
      <c r="M341" s="19">
        <v>139900</v>
      </c>
      <c r="N341" s="62">
        <v>0.6</v>
      </c>
      <c r="O341" s="12">
        <f t="shared" si="5"/>
        <v>55960</v>
      </c>
      <c r="P341" s="6" t="s">
        <v>3499</v>
      </c>
    </row>
    <row r="342" spans="1:16" x14ac:dyDescent="0.25">
      <c r="A342" s="6" t="s">
        <v>3498</v>
      </c>
      <c r="B342" s="7">
        <v>46121</v>
      </c>
      <c r="C342" s="7">
        <v>46127</v>
      </c>
      <c r="D342" s="6">
        <v>3271</v>
      </c>
      <c r="E342" s="6">
        <v>336</v>
      </c>
      <c r="F342" s="6">
        <v>4</v>
      </c>
      <c r="G342" s="6">
        <v>4</v>
      </c>
      <c r="H342" s="6">
        <v>81683</v>
      </c>
      <c r="I342" s="6" t="s">
        <v>543</v>
      </c>
      <c r="J342" s="6">
        <v>50095404</v>
      </c>
      <c r="K342" s="6" t="s">
        <v>1723</v>
      </c>
      <c r="L342" s="13" t="s">
        <v>1724</v>
      </c>
      <c r="M342" s="19">
        <v>139900</v>
      </c>
      <c r="N342" s="62">
        <v>0.6</v>
      </c>
      <c r="O342" s="12">
        <f t="shared" si="5"/>
        <v>55960</v>
      </c>
      <c r="P342" s="6" t="s">
        <v>3499</v>
      </c>
    </row>
    <row r="343" spans="1:16" x14ac:dyDescent="0.25">
      <c r="A343" s="6" t="s">
        <v>3498</v>
      </c>
      <c r="B343" s="7">
        <v>46121</v>
      </c>
      <c r="C343" s="7">
        <v>46127</v>
      </c>
      <c r="D343" s="6">
        <v>3271</v>
      </c>
      <c r="E343" s="6">
        <v>336</v>
      </c>
      <c r="F343" s="6">
        <v>4</v>
      </c>
      <c r="G343" s="6">
        <v>4</v>
      </c>
      <c r="H343" s="6">
        <v>81683</v>
      </c>
      <c r="I343" s="6" t="s">
        <v>543</v>
      </c>
      <c r="J343" s="6">
        <v>50095413</v>
      </c>
      <c r="K343" s="6" t="s">
        <v>1723</v>
      </c>
      <c r="L343" s="13" t="s">
        <v>1725</v>
      </c>
      <c r="M343" s="19">
        <v>139900</v>
      </c>
      <c r="N343" s="62">
        <v>0.6</v>
      </c>
      <c r="O343" s="12">
        <f t="shared" si="5"/>
        <v>55960</v>
      </c>
      <c r="P343" s="6" t="s">
        <v>3499</v>
      </c>
    </row>
    <row r="344" spans="1:16" x14ac:dyDescent="0.25">
      <c r="A344" s="6" t="s">
        <v>3498</v>
      </c>
      <c r="B344" s="7">
        <v>46121</v>
      </c>
      <c r="C344" s="7">
        <v>46127</v>
      </c>
      <c r="D344" s="6">
        <v>3271</v>
      </c>
      <c r="E344" s="6">
        <v>336</v>
      </c>
      <c r="F344" s="6">
        <v>4</v>
      </c>
      <c r="G344" s="6">
        <v>4</v>
      </c>
      <c r="H344" s="6">
        <v>81683</v>
      </c>
      <c r="I344" s="6" t="s">
        <v>543</v>
      </c>
      <c r="J344" s="6">
        <v>50095422</v>
      </c>
      <c r="K344" s="6" t="s">
        <v>1723</v>
      </c>
      <c r="L344" s="13" t="s">
        <v>1726</v>
      </c>
      <c r="M344" s="19">
        <v>139900</v>
      </c>
      <c r="N344" s="62">
        <v>0.6</v>
      </c>
      <c r="O344" s="12">
        <f t="shared" si="5"/>
        <v>55960</v>
      </c>
      <c r="P344" s="6" t="s">
        <v>3499</v>
      </c>
    </row>
    <row r="345" spans="1:16" x14ac:dyDescent="0.25">
      <c r="A345" s="6" t="s">
        <v>3498</v>
      </c>
      <c r="B345" s="7">
        <v>46121</v>
      </c>
      <c r="C345" s="7">
        <v>46127</v>
      </c>
      <c r="D345" s="6">
        <v>3271</v>
      </c>
      <c r="E345" s="6">
        <v>336</v>
      </c>
      <c r="F345" s="6">
        <v>4</v>
      </c>
      <c r="G345" s="6">
        <v>4</v>
      </c>
      <c r="H345" s="6">
        <v>81683</v>
      </c>
      <c r="I345" s="6" t="s">
        <v>543</v>
      </c>
      <c r="J345" s="6">
        <v>50095431</v>
      </c>
      <c r="K345" s="6" t="s">
        <v>1723</v>
      </c>
      <c r="L345" s="13" t="s">
        <v>1727</v>
      </c>
      <c r="M345" s="19">
        <v>139900</v>
      </c>
      <c r="N345" s="62">
        <v>0.6</v>
      </c>
      <c r="O345" s="12">
        <f t="shared" si="5"/>
        <v>55960</v>
      </c>
      <c r="P345" s="6" t="s">
        <v>3499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193B-EFC4-4CCA-B7AF-6C84DE896B6A}">
  <sheetPr>
    <tabColor rgb="FF00B050"/>
  </sheetPr>
  <dimension ref="A1:P325"/>
  <sheetViews>
    <sheetView topLeftCell="A31" zoomScale="90" zoomScaleNormal="90" workbookViewId="0">
      <selection activeCell="G46" sqref="G46"/>
    </sheetView>
  </sheetViews>
  <sheetFormatPr defaultRowHeight="15" x14ac:dyDescent="0.25"/>
  <cols>
    <col min="1" max="1" width="26.140625" customWidth="1"/>
    <col min="2" max="2" width="11.42578125" bestFit="1" customWidth="1"/>
    <col min="3" max="3" width="11.28515625" bestFit="1" customWidth="1"/>
    <col min="4" max="4" width="5.710937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11.5703125" customWidth="1"/>
    <col min="11" max="11" width="11.140625" bestFit="1" customWidth="1"/>
    <col min="12" max="12" width="91.1406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3509</v>
      </c>
      <c r="B2" s="7">
        <v>46121</v>
      </c>
      <c r="C2" s="7">
        <v>46127</v>
      </c>
      <c r="D2" s="6">
        <v>3271</v>
      </c>
      <c r="E2" s="6">
        <v>336</v>
      </c>
      <c r="F2" s="6">
        <v>4</v>
      </c>
      <c r="G2" s="42">
        <v>6</v>
      </c>
      <c r="H2" s="42">
        <v>4953</v>
      </c>
      <c r="I2" s="42" t="s">
        <v>543</v>
      </c>
      <c r="J2" s="42">
        <v>51875579</v>
      </c>
      <c r="K2" s="42" t="s">
        <v>1977</v>
      </c>
      <c r="L2" s="42" t="s">
        <v>1978</v>
      </c>
      <c r="M2" s="43">
        <v>79900</v>
      </c>
      <c r="N2" s="64">
        <v>0.7</v>
      </c>
      <c r="O2" s="12">
        <f t="shared" ref="O2" si="0">M2-((70*M2)/100)</f>
        <v>23970</v>
      </c>
      <c r="P2" s="6" t="s">
        <v>3499</v>
      </c>
    </row>
    <row r="3" spans="1:16" x14ac:dyDescent="0.25">
      <c r="A3" s="6" t="s">
        <v>3509</v>
      </c>
      <c r="B3" s="7">
        <v>46121</v>
      </c>
      <c r="C3" s="7">
        <v>46127</v>
      </c>
      <c r="D3" s="6">
        <v>3271</v>
      </c>
      <c r="E3" s="6">
        <v>336</v>
      </c>
      <c r="F3" s="6">
        <v>4</v>
      </c>
      <c r="G3" s="42">
        <v>6</v>
      </c>
      <c r="H3" s="42">
        <v>4953</v>
      </c>
      <c r="I3" s="42" t="s">
        <v>543</v>
      </c>
      <c r="J3" s="42">
        <v>51875588</v>
      </c>
      <c r="K3" s="42" t="s">
        <v>1977</v>
      </c>
      <c r="L3" s="42" t="s">
        <v>1979</v>
      </c>
      <c r="M3" s="43">
        <v>79900</v>
      </c>
      <c r="N3" s="64">
        <v>0.7</v>
      </c>
      <c r="O3" s="12">
        <f t="shared" ref="O3:O66" si="1">M3-((70*M3)/100)</f>
        <v>23970</v>
      </c>
      <c r="P3" s="6" t="s">
        <v>3499</v>
      </c>
    </row>
    <row r="4" spans="1:16" x14ac:dyDescent="0.25">
      <c r="A4" s="6" t="s">
        <v>3509</v>
      </c>
      <c r="B4" s="7">
        <v>46121</v>
      </c>
      <c r="C4" s="7">
        <v>46127</v>
      </c>
      <c r="D4" s="6">
        <v>3271</v>
      </c>
      <c r="E4" s="6">
        <v>336</v>
      </c>
      <c r="F4" s="6">
        <v>4</v>
      </c>
      <c r="G4" s="42">
        <v>6</v>
      </c>
      <c r="H4" s="42">
        <v>4953</v>
      </c>
      <c r="I4" s="42" t="s">
        <v>543</v>
      </c>
      <c r="J4" s="42">
        <v>51875597</v>
      </c>
      <c r="K4" s="42" t="s">
        <v>1977</v>
      </c>
      <c r="L4" s="42" t="s">
        <v>1980</v>
      </c>
      <c r="M4" s="43">
        <v>79900</v>
      </c>
      <c r="N4" s="64">
        <v>0.7</v>
      </c>
      <c r="O4" s="12">
        <f t="shared" si="1"/>
        <v>23970</v>
      </c>
      <c r="P4" s="6" t="s">
        <v>3499</v>
      </c>
    </row>
    <row r="5" spans="1:16" x14ac:dyDescent="0.25">
      <c r="A5" s="6" t="s">
        <v>3509</v>
      </c>
      <c r="B5" s="7">
        <v>46121</v>
      </c>
      <c r="C5" s="7">
        <v>46127</v>
      </c>
      <c r="D5" s="6">
        <v>3271</v>
      </c>
      <c r="E5" s="6">
        <v>336</v>
      </c>
      <c r="F5" s="6">
        <v>4</v>
      </c>
      <c r="G5" s="42">
        <v>6</v>
      </c>
      <c r="H5" s="42">
        <v>4953</v>
      </c>
      <c r="I5" s="42" t="s">
        <v>543</v>
      </c>
      <c r="J5" s="42">
        <v>51875604</v>
      </c>
      <c r="K5" s="42" t="s">
        <v>1977</v>
      </c>
      <c r="L5" s="42" t="s">
        <v>1981</v>
      </c>
      <c r="M5" s="43">
        <v>79900</v>
      </c>
      <c r="N5" s="64">
        <v>0.7</v>
      </c>
      <c r="O5" s="12">
        <f t="shared" si="1"/>
        <v>23970</v>
      </c>
      <c r="P5" s="6" t="s">
        <v>3499</v>
      </c>
    </row>
    <row r="6" spans="1:16" x14ac:dyDescent="0.25">
      <c r="A6" s="6" t="s">
        <v>3509</v>
      </c>
      <c r="B6" s="7">
        <v>46121</v>
      </c>
      <c r="C6" s="7">
        <v>46127</v>
      </c>
      <c r="D6" s="6">
        <v>3271</v>
      </c>
      <c r="E6" s="6">
        <v>336</v>
      </c>
      <c r="F6" s="6">
        <v>4</v>
      </c>
      <c r="G6" s="42">
        <v>6</v>
      </c>
      <c r="H6" s="42">
        <v>4953</v>
      </c>
      <c r="I6" s="42" t="s">
        <v>543</v>
      </c>
      <c r="J6" s="42">
        <v>51933194</v>
      </c>
      <c r="K6" s="42" t="s">
        <v>1982</v>
      </c>
      <c r="L6" s="42" t="s">
        <v>1983</v>
      </c>
      <c r="M6" s="43">
        <v>79900</v>
      </c>
      <c r="N6" s="64">
        <v>0.7</v>
      </c>
      <c r="O6" s="12">
        <f t="shared" si="1"/>
        <v>23970</v>
      </c>
      <c r="P6" s="6" t="s">
        <v>3499</v>
      </c>
    </row>
    <row r="7" spans="1:16" x14ac:dyDescent="0.25">
      <c r="A7" s="6" t="s">
        <v>3509</v>
      </c>
      <c r="B7" s="7">
        <v>46121</v>
      </c>
      <c r="C7" s="7">
        <v>46127</v>
      </c>
      <c r="D7" s="6">
        <v>3271</v>
      </c>
      <c r="E7" s="6">
        <v>336</v>
      </c>
      <c r="F7" s="6">
        <v>4</v>
      </c>
      <c r="G7" s="42">
        <v>6</v>
      </c>
      <c r="H7" s="42">
        <v>4953</v>
      </c>
      <c r="I7" s="42" t="s">
        <v>543</v>
      </c>
      <c r="J7" s="42">
        <v>51933201</v>
      </c>
      <c r="K7" s="42" t="s">
        <v>1982</v>
      </c>
      <c r="L7" s="42" t="s">
        <v>1984</v>
      </c>
      <c r="M7" s="43">
        <v>79900</v>
      </c>
      <c r="N7" s="64">
        <v>0.7</v>
      </c>
      <c r="O7" s="12">
        <f t="shared" si="1"/>
        <v>23970</v>
      </c>
      <c r="P7" s="6" t="s">
        <v>3499</v>
      </c>
    </row>
    <row r="8" spans="1:16" x14ac:dyDescent="0.25">
      <c r="A8" s="6" t="s">
        <v>3509</v>
      </c>
      <c r="B8" s="7">
        <v>46121</v>
      </c>
      <c r="C8" s="7">
        <v>46127</v>
      </c>
      <c r="D8" s="6">
        <v>3271</v>
      </c>
      <c r="E8" s="6">
        <v>336</v>
      </c>
      <c r="F8" s="6">
        <v>4</v>
      </c>
      <c r="G8" s="42">
        <v>6</v>
      </c>
      <c r="H8" s="42">
        <v>4953</v>
      </c>
      <c r="I8" s="42" t="s">
        <v>543</v>
      </c>
      <c r="J8" s="42">
        <v>51933210</v>
      </c>
      <c r="K8" s="42" t="s">
        <v>1982</v>
      </c>
      <c r="L8" s="42" t="s">
        <v>1985</v>
      </c>
      <c r="M8" s="43">
        <v>79900</v>
      </c>
      <c r="N8" s="64">
        <v>0.7</v>
      </c>
      <c r="O8" s="12">
        <f t="shared" si="1"/>
        <v>23970</v>
      </c>
      <c r="P8" s="6" t="s">
        <v>3499</v>
      </c>
    </row>
    <row r="9" spans="1:16" x14ac:dyDescent="0.25">
      <c r="A9" s="6" t="s">
        <v>3509</v>
      </c>
      <c r="B9" s="7">
        <v>46121</v>
      </c>
      <c r="C9" s="7">
        <v>46127</v>
      </c>
      <c r="D9" s="6">
        <v>3271</v>
      </c>
      <c r="E9" s="6">
        <v>336</v>
      </c>
      <c r="F9" s="6">
        <v>4</v>
      </c>
      <c r="G9" s="42">
        <v>6</v>
      </c>
      <c r="H9" s="42">
        <v>4953</v>
      </c>
      <c r="I9" s="42" t="s">
        <v>543</v>
      </c>
      <c r="J9" s="42">
        <v>51933229</v>
      </c>
      <c r="K9" s="42" t="s">
        <v>1982</v>
      </c>
      <c r="L9" s="42" t="s">
        <v>1986</v>
      </c>
      <c r="M9" s="43">
        <v>79900</v>
      </c>
      <c r="N9" s="64">
        <v>0.7</v>
      </c>
      <c r="O9" s="12">
        <f t="shared" si="1"/>
        <v>23970</v>
      </c>
      <c r="P9" s="6" t="s">
        <v>3499</v>
      </c>
    </row>
    <row r="10" spans="1:16" x14ac:dyDescent="0.25">
      <c r="A10" s="6" t="s">
        <v>3509</v>
      </c>
      <c r="B10" s="7">
        <v>46121</v>
      </c>
      <c r="C10" s="7">
        <v>46127</v>
      </c>
      <c r="D10" s="6">
        <v>3271</v>
      </c>
      <c r="E10" s="6">
        <v>336</v>
      </c>
      <c r="F10" s="6">
        <v>4</v>
      </c>
      <c r="G10" s="42">
        <v>6</v>
      </c>
      <c r="H10" s="42">
        <v>4953</v>
      </c>
      <c r="I10" s="42" t="s">
        <v>543</v>
      </c>
      <c r="J10" s="42">
        <v>51933238</v>
      </c>
      <c r="K10" s="42" t="s">
        <v>1987</v>
      </c>
      <c r="L10" s="42" t="s">
        <v>1988</v>
      </c>
      <c r="M10" s="43">
        <v>79900</v>
      </c>
      <c r="N10" s="64">
        <v>0.7</v>
      </c>
      <c r="O10" s="12">
        <f t="shared" si="1"/>
        <v>23970</v>
      </c>
      <c r="P10" s="6" t="s">
        <v>3499</v>
      </c>
    </row>
    <row r="11" spans="1:16" x14ac:dyDescent="0.25">
      <c r="A11" s="6" t="s">
        <v>3509</v>
      </c>
      <c r="B11" s="7">
        <v>46121</v>
      </c>
      <c r="C11" s="7">
        <v>46127</v>
      </c>
      <c r="D11" s="6">
        <v>3271</v>
      </c>
      <c r="E11" s="6">
        <v>336</v>
      </c>
      <c r="F11" s="6">
        <v>4</v>
      </c>
      <c r="G11" s="42">
        <v>6</v>
      </c>
      <c r="H11" s="42">
        <v>4953</v>
      </c>
      <c r="I11" s="42" t="s">
        <v>543</v>
      </c>
      <c r="J11" s="42">
        <v>51933247</v>
      </c>
      <c r="K11" s="42" t="s">
        <v>1987</v>
      </c>
      <c r="L11" s="42" t="s">
        <v>1989</v>
      </c>
      <c r="M11" s="43">
        <v>79900</v>
      </c>
      <c r="N11" s="64">
        <v>0.7</v>
      </c>
      <c r="O11" s="12">
        <f t="shared" si="1"/>
        <v>23970</v>
      </c>
      <c r="P11" s="6" t="s">
        <v>3499</v>
      </c>
    </row>
    <row r="12" spans="1:16" x14ac:dyDescent="0.25">
      <c r="A12" s="6" t="s">
        <v>3509</v>
      </c>
      <c r="B12" s="7">
        <v>46121</v>
      </c>
      <c r="C12" s="7">
        <v>46127</v>
      </c>
      <c r="D12" s="6">
        <v>3271</v>
      </c>
      <c r="E12" s="6">
        <v>336</v>
      </c>
      <c r="F12" s="6">
        <v>4</v>
      </c>
      <c r="G12" s="42">
        <v>6</v>
      </c>
      <c r="H12" s="42">
        <v>4953</v>
      </c>
      <c r="I12" s="42" t="s">
        <v>543</v>
      </c>
      <c r="J12" s="42">
        <v>51933256</v>
      </c>
      <c r="K12" s="42" t="s">
        <v>1987</v>
      </c>
      <c r="L12" s="42" t="s">
        <v>1990</v>
      </c>
      <c r="M12" s="43">
        <v>79900</v>
      </c>
      <c r="N12" s="64">
        <v>0.7</v>
      </c>
      <c r="O12" s="12">
        <f t="shared" si="1"/>
        <v>23970</v>
      </c>
      <c r="P12" s="6" t="s">
        <v>3499</v>
      </c>
    </row>
    <row r="13" spans="1:16" x14ac:dyDescent="0.25">
      <c r="A13" s="6" t="s">
        <v>3509</v>
      </c>
      <c r="B13" s="7">
        <v>46121</v>
      </c>
      <c r="C13" s="7">
        <v>46127</v>
      </c>
      <c r="D13" s="6">
        <v>3271</v>
      </c>
      <c r="E13" s="6">
        <v>336</v>
      </c>
      <c r="F13" s="6">
        <v>4</v>
      </c>
      <c r="G13" s="42">
        <v>6</v>
      </c>
      <c r="H13" s="42">
        <v>4953</v>
      </c>
      <c r="I13" s="42" t="s">
        <v>543</v>
      </c>
      <c r="J13" s="42">
        <v>51933265</v>
      </c>
      <c r="K13" s="42" t="s">
        <v>1987</v>
      </c>
      <c r="L13" s="42" t="s">
        <v>1991</v>
      </c>
      <c r="M13" s="43">
        <v>79900</v>
      </c>
      <c r="N13" s="64">
        <v>0.7</v>
      </c>
      <c r="O13" s="12">
        <f t="shared" si="1"/>
        <v>23970</v>
      </c>
      <c r="P13" s="6" t="s">
        <v>3499</v>
      </c>
    </row>
    <row r="14" spans="1:16" x14ac:dyDescent="0.25">
      <c r="A14" s="6" t="s">
        <v>3509</v>
      </c>
      <c r="B14" s="7">
        <v>46121</v>
      </c>
      <c r="C14" s="7">
        <v>46127</v>
      </c>
      <c r="D14" s="6">
        <v>3271</v>
      </c>
      <c r="E14" s="6">
        <v>336</v>
      </c>
      <c r="F14" s="6">
        <v>4</v>
      </c>
      <c r="G14" s="42">
        <v>6</v>
      </c>
      <c r="H14" s="42">
        <v>4953</v>
      </c>
      <c r="I14" s="42" t="s">
        <v>543</v>
      </c>
      <c r="J14" s="42">
        <v>51933274</v>
      </c>
      <c r="K14" s="42" t="s">
        <v>1992</v>
      </c>
      <c r="L14" s="42" t="s">
        <v>1993</v>
      </c>
      <c r="M14" s="43">
        <v>79900</v>
      </c>
      <c r="N14" s="64">
        <v>0.7</v>
      </c>
      <c r="O14" s="12">
        <f t="shared" si="1"/>
        <v>23970</v>
      </c>
      <c r="P14" s="6" t="s">
        <v>3499</v>
      </c>
    </row>
    <row r="15" spans="1:16" x14ac:dyDescent="0.25">
      <c r="A15" s="6" t="s">
        <v>3509</v>
      </c>
      <c r="B15" s="7">
        <v>46121</v>
      </c>
      <c r="C15" s="7">
        <v>46127</v>
      </c>
      <c r="D15" s="6">
        <v>3271</v>
      </c>
      <c r="E15" s="6">
        <v>336</v>
      </c>
      <c r="F15" s="6">
        <v>4</v>
      </c>
      <c r="G15" s="42">
        <v>6</v>
      </c>
      <c r="H15" s="42">
        <v>4953</v>
      </c>
      <c r="I15" s="42" t="s">
        <v>543</v>
      </c>
      <c r="J15" s="42">
        <v>51933283</v>
      </c>
      <c r="K15" s="42" t="s">
        <v>1992</v>
      </c>
      <c r="L15" s="42" t="s">
        <v>1994</v>
      </c>
      <c r="M15" s="43">
        <v>79900</v>
      </c>
      <c r="N15" s="64">
        <v>0.7</v>
      </c>
      <c r="O15" s="12">
        <f t="shared" si="1"/>
        <v>23970</v>
      </c>
      <c r="P15" s="6" t="s">
        <v>3499</v>
      </c>
    </row>
    <row r="16" spans="1:16" x14ac:dyDescent="0.25">
      <c r="A16" s="6" t="s">
        <v>3509</v>
      </c>
      <c r="B16" s="7">
        <v>46121</v>
      </c>
      <c r="C16" s="7">
        <v>46127</v>
      </c>
      <c r="D16" s="6">
        <v>3271</v>
      </c>
      <c r="E16" s="6">
        <v>336</v>
      </c>
      <c r="F16" s="6">
        <v>4</v>
      </c>
      <c r="G16" s="42">
        <v>6</v>
      </c>
      <c r="H16" s="42">
        <v>4953</v>
      </c>
      <c r="I16" s="42" t="s">
        <v>543</v>
      </c>
      <c r="J16" s="42">
        <v>51933292</v>
      </c>
      <c r="K16" s="42" t="s">
        <v>1992</v>
      </c>
      <c r="L16" s="42" t="s">
        <v>1995</v>
      </c>
      <c r="M16" s="43">
        <v>79900</v>
      </c>
      <c r="N16" s="64">
        <v>0.7</v>
      </c>
      <c r="O16" s="12">
        <f t="shared" si="1"/>
        <v>23970</v>
      </c>
      <c r="P16" s="6" t="s">
        <v>3499</v>
      </c>
    </row>
    <row r="17" spans="1:16" x14ac:dyDescent="0.25">
      <c r="A17" s="6" t="s">
        <v>3509</v>
      </c>
      <c r="B17" s="7">
        <v>46121</v>
      </c>
      <c r="C17" s="7">
        <v>46127</v>
      </c>
      <c r="D17" s="6">
        <v>3271</v>
      </c>
      <c r="E17" s="6">
        <v>336</v>
      </c>
      <c r="F17" s="6">
        <v>4</v>
      </c>
      <c r="G17" s="42">
        <v>6</v>
      </c>
      <c r="H17" s="42">
        <v>4953</v>
      </c>
      <c r="I17" s="42" t="s">
        <v>543</v>
      </c>
      <c r="J17" s="42">
        <v>51933309</v>
      </c>
      <c r="K17" s="42" t="s">
        <v>1992</v>
      </c>
      <c r="L17" s="42" t="s">
        <v>1996</v>
      </c>
      <c r="M17" s="43">
        <v>79900</v>
      </c>
      <c r="N17" s="64">
        <v>0.7</v>
      </c>
      <c r="O17" s="12">
        <f t="shared" si="1"/>
        <v>23970</v>
      </c>
      <c r="P17" s="6" t="s">
        <v>3499</v>
      </c>
    </row>
    <row r="18" spans="1:16" x14ac:dyDescent="0.25">
      <c r="A18" s="6" t="s">
        <v>3509</v>
      </c>
      <c r="B18" s="7">
        <v>46121</v>
      </c>
      <c r="C18" s="7">
        <v>46127</v>
      </c>
      <c r="D18" s="6">
        <v>3271</v>
      </c>
      <c r="E18" s="6">
        <v>336</v>
      </c>
      <c r="F18" s="6">
        <v>4</v>
      </c>
      <c r="G18" s="42">
        <v>6</v>
      </c>
      <c r="H18" s="42">
        <v>4953</v>
      </c>
      <c r="I18" s="42" t="s">
        <v>543</v>
      </c>
      <c r="J18" s="42">
        <v>51876381</v>
      </c>
      <c r="K18" s="42" t="s">
        <v>1997</v>
      </c>
      <c r="L18" s="42" t="s">
        <v>1998</v>
      </c>
      <c r="M18" s="43">
        <v>79900</v>
      </c>
      <c r="N18" s="64">
        <v>0.7</v>
      </c>
      <c r="O18" s="12">
        <f t="shared" si="1"/>
        <v>23970</v>
      </c>
      <c r="P18" s="6" t="s">
        <v>3499</v>
      </c>
    </row>
    <row r="19" spans="1:16" x14ac:dyDescent="0.25">
      <c r="A19" s="6" t="s">
        <v>3509</v>
      </c>
      <c r="B19" s="7">
        <v>46121</v>
      </c>
      <c r="C19" s="7">
        <v>46127</v>
      </c>
      <c r="D19" s="6">
        <v>3271</v>
      </c>
      <c r="E19" s="6">
        <v>336</v>
      </c>
      <c r="F19" s="6">
        <v>4</v>
      </c>
      <c r="G19" s="42">
        <v>6</v>
      </c>
      <c r="H19" s="42">
        <v>4953</v>
      </c>
      <c r="I19" s="42" t="s">
        <v>543</v>
      </c>
      <c r="J19" s="42">
        <v>51876390</v>
      </c>
      <c r="K19" s="42" t="s">
        <v>1997</v>
      </c>
      <c r="L19" s="42" t="s">
        <v>1999</v>
      </c>
      <c r="M19" s="43">
        <v>79900</v>
      </c>
      <c r="N19" s="64">
        <v>0.7</v>
      </c>
      <c r="O19" s="12">
        <f t="shared" si="1"/>
        <v>23970</v>
      </c>
      <c r="P19" s="6" t="s">
        <v>3499</v>
      </c>
    </row>
    <row r="20" spans="1:16" x14ac:dyDescent="0.25">
      <c r="A20" s="6" t="s">
        <v>3509</v>
      </c>
      <c r="B20" s="7">
        <v>46121</v>
      </c>
      <c r="C20" s="7">
        <v>46127</v>
      </c>
      <c r="D20" s="6">
        <v>3271</v>
      </c>
      <c r="E20" s="6">
        <v>336</v>
      </c>
      <c r="F20" s="6">
        <v>4</v>
      </c>
      <c r="G20" s="42">
        <v>6</v>
      </c>
      <c r="H20" s="42">
        <v>4953</v>
      </c>
      <c r="I20" s="42" t="s">
        <v>543</v>
      </c>
      <c r="J20" s="42">
        <v>51876407</v>
      </c>
      <c r="K20" s="42" t="s">
        <v>1997</v>
      </c>
      <c r="L20" s="42" t="s">
        <v>2000</v>
      </c>
      <c r="M20" s="43">
        <v>79900</v>
      </c>
      <c r="N20" s="64">
        <v>0.7</v>
      </c>
      <c r="O20" s="12">
        <f t="shared" si="1"/>
        <v>23970</v>
      </c>
      <c r="P20" s="6" t="s">
        <v>3499</v>
      </c>
    </row>
    <row r="21" spans="1:16" x14ac:dyDescent="0.25">
      <c r="A21" s="6" t="s">
        <v>3509</v>
      </c>
      <c r="B21" s="7">
        <v>46121</v>
      </c>
      <c r="C21" s="7">
        <v>46127</v>
      </c>
      <c r="D21" s="6">
        <v>3271</v>
      </c>
      <c r="E21" s="6">
        <v>336</v>
      </c>
      <c r="F21" s="6">
        <v>4</v>
      </c>
      <c r="G21" s="42">
        <v>6</v>
      </c>
      <c r="H21" s="42">
        <v>4953</v>
      </c>
      <c r="I21" s="42" t="s">
        <v>543</v>
      </c>
      <c r="J21" s="42">
        <v>51876416</v>
      </c>
      <c r="K21" s="42" t="s">
        <v>1997</v>
      </c>
      <c r="L21" s="42" t="s">
        <v>2001</v>
      </c>
      <c r="M21" s="43">
        <v>79900</v>
      </c>
      <c r="N21" s="64">
        <v>0.7</v>
      </c>
      <c r="O21" s="12">
        <f t="shared" si="1"/>
        <v>23970</v>
      </c>
      <c r="P21" s="6" t="s">
        <v>3499</v>
      </c>
    </row>
    <row r="22" spans="1:16" x14ac:dyDescent="0.25">
      <c r="A22" s="6" t="s">
        <v>3509</v>
      </c>
      <c r="B22" s="7">
        <v>46121</v>
      </c>
      <c r="C22" s="7">
        <v>46127</v>
      </c>
      <c r="D22" s="6">
        <v>3271</v>
      </c>
      <c r="E22" s="6">
        <v>336</v>
      </c>
      <c r="F22" s="6">
        <v>4</v>
      </c>
      <c r="G22" s="42">
        <v>6</v>
      </c>
      <c r="H22" s="42">
        <v>4953</v>
      </c>
      <c r="I22" s="42" t="s">
        <v>543</v>
      </c>
      <c r="J22" s="42">
        <v>52053982</v>
      </c>
      <c r="K22" s="42" t="s">
        <v>2002</v>
      </c>
      <c r="L22" s="42" t="s">
        <v>2003</v>
      </c>
      <c r="M22" s="43">
        <v>79900</v>
      </c>
      <c r="N22" s="64">
        <v>0.7</v>
      </c>
      <c r="O22" s="12">
        <f t="shared" si="1"/>
        <v>23970</v>
      </c>
      <c r="P22" s="6" t="s">
        <v>3499</v>
      </c>
    </row>
    <row r="23" spans="1:16" x14ac:dyDescent="0.25">
      <c r="A23" s="6" t="s">
        <v>3509</v>
      </c>
      <c r="B23" s="7">
        <v>46121</v>
      </c>
      <c r="C23" s="7">
        <v>46127</v>
      </c>
      <c r="D23" s="6">
        <v>3271</v>
      </c>
      <c r="E23" s="6">
        <v>336</v>
      </c>
      <c r="F23" s="6">
        <v>4</v>
      </c>
      <c r="G23" s="42">
        <v>6</v>
      </c>
      <c r="H23" s="42">
        <v>4953</v>
      </c>
      <c r="I23" s="42" t="s">
        <v>543</v>
      </c>
      <c r="J23" s="42">
        <v>52053991</v>
      </c>
      <c r="K23" s="42" t="s">
        <v>2002</v>
      </c>
      <c r="L23" s="42" t="s">
        <v>2004</v>
      </c>
      <c r="M23" s="43">
        <v>79900</v>
      </c>
      <c r="N23" s="64">
        <v>0.7</v>
      </c>
      <c r="O23" s="12">
        <f t="shared" si="1"/>
        <v>23970</v>
      </c>
      <c r="P23" s="6" t="s">
        <v>3499</v>
      </c>
    </row>
    <row r="24" spans="1:16" x14ac:dyDescent="0.25">
      <c r="A24" s="6" t="s">
        <v>3509</v>
      </c>
      <c r="B24" s="7">
        <v>46121</v>
      </c>
      <c r="C24" s="7">
        <v>46127</v>
      </c>
      <c r="D24" s="6">
        <v>3271</v>
      </c>
      <c r="E24" s="6">
        <v>336</v>
      </c>
      <c r="F24" s="6">
        <v>4</v>
      </c>
      <c r="G24" s="42">
        <v>6</v>
      </c>
      <c r="H24" s="42">
        <v>4953</v>
      </c>
      <c r="I24" s="42" t="s">
        <v>543</v>
      </c>
      <c r="J24" s="42">
        <v>52054007</v>
      </c>
      <c r="K24" s="42" t="s">
        <v>2002</v>
      </c>
      <c r="L24" s="42" t="s">
        <v>2005</v>
      </c>
      <c r="M24" s="43">
        <v>79900</v>
      </c>
      <c r="N24" s="64">
        <v>0.7</v>
      </c>
      <c r="O24" s="12">
        <f t="shared" si="1"/>
        <v>23970</v>
      </c>
      <c r="P24" s="6" t="s">
        <v>3499</v>
      </c>
    </row>
    <row r="25" spans="1:16" x14ac:dyDescent="0.25">
      <c r="A25" s="6" t="s">
        <v>3509</v>
      </c>
      <c r="B25" s="7">
        <v>46121</v>
      </c>
      <c r="C25" s="7">
        <v>46127</v>
      </c>
      <c r="D25" s="6">
        <v>3271</v>
      </c>
      <c r="E25" s="6">
        <v>336</v>
      </c>
      <c r="F25" s="6">
        <v>4</v>
      </c>
      <c r="G25" s="42">
        <v>6</v>
      </c>
      <c r="H25" s="42">
        <v>4953</v>
      </c>
      <c r="I25" s="42" t="s">
        <v>543</v>
      </c>
      <c r="J25" s="42">
        <v>52054016</v>
      </c>
      <c r="K25" s="42" t="s">
        <v>2002</v>
      </c>
      <c r="L25" s="42" t="s">
        <v>2006</v>
      </c>
      <c r="M25" s="43">
        <v>79900</v>
      </c>
      <c r="N25" s="64">
        <v>0.7</v>
      </c>
      <c r="O25" s="12">
        <f t="shared" si="1"/>
        <v>23970</v>
      </c>
      <c r="P25" s="6" t="s">
        <v>3499</v>
      </c>
    </row>
    <row r="26" spans="1:16" x14ac:dyDescent="0.25">
      <c r="A26" s="6" t="s">
        <v>3509</v>
      </c>
      <c r="B26" s="7">
        <v>46121</v>
      </c>
      <c r="C26" s="7">
        <v>46127</v>
      </c>
      <c r="D26" s="6">
        <v>3271</v>
      </c>
      <c r="E26" s="6">
        <v>336</v>
      </c>
      <c r="F26" s="6">
        <v>4</v>
      </c>
      <c r="G26" s="42">
        <v>6</v>
      </c>
      <c r="H26" s="42">
        <v>4953</v>
      </c>
      <c r="I26" s="42" t="s">
        <v>543</v>
      </c>
      <c r="J26" s="42">
        <v>52054025</v>
      </c>
      <c r="K26" s="42" t="s">
        <v>2007</v>
      </c>
      <c r="L26" s="42" t="s">
        <v>2008</v>
      </c>
      <c r="M26" s="43">
        <v>79900</v>
      </c>
      <c r="N26" s="64">
        <v>0.7</v>
      </c>
      <c r="O26" s="12">
        <f t="shared" si="1"/>
        <v>23970</v>
      </c>
      <c r="P26" s="6" t="s">
        <v>3499</v>
      </c>
    </row>
    <row r="27" spans="1:16" x14ac:dyDescent="0.25">
      <c r="A27" s="6" t="s">
        <v>3509</v>
      </c>
      <c r="B27" s="7">
        <v>46121</v>
      </c>
      <c r="C27" s="7">
        <v>46127</v>
      </c>
      <c r="D27" s="6">
        <v>3271</v>
      </c>
      <c r="E27" s="6">
        <v>336</v>
      </c>
      <c r="F27" s="6">
        <v>4</v>
      </c>
      <c r="G27" s="42">
        <v>6</v>
      </c>
      <c r="H27" s="42">
        <v>4953</v>
      </c>
      <c r="I27" s="42" t="s">
        <v>543</v>
      </c>
      <c r="J27" s="42">
        <v>52054034</v>
      </c>
      <c r="K27" s="42" t="s">
        <v>2007</v>
      </c>
      <c r="L27" s="42" t="s">
        <v>2009</v>
      </c>
      <c r="M27" s="43">
        <v>79900</v>
      </c>
      <c r="N27" s="64">
        <v>0.7</v>
      </c>
      <c r="O27" s="12">
        <f t="shared" si="1"/>
        <v>23970</v>
      </c>
      <c r="P27" s="6" t="s">
        <v>3499</v>
      </c>
    </row>
    <row r="28" spans="1:16" x14ac:dyDescent="0.25">
      <c r="A28" s="6" t="s">
        <v>3509</v>
      </c>
      <c r="B28" s="7">
        <v>46121</v>
      </c>
      <c r="C28" s="7">
        <v>46127</v>
      </c>
      <c r="D28" s="6">
        <v>3271</v>
      </c>
      <c r="E28" s="6">
        <v>336</v>
      </c>
      <c r="F28" s="6">
        <v>4</v>
      </c>
      <c r="G28" s="42">
        <v>6</v>
      </c>
      <c r="H28" s="42">
        <v>4953</v>
      </c>
      <c r="I28" s="42" t="s">
        <v>543</v>
      </c>
      <c r="J28" s="42">
        <v>52054043</v>
      </c>
      <c r="K28" s="42" t="s">
        <v>2007</v>
      </c>
      <c r="L28" s="42" t="s">
        <v>2010</v>
      </c>
      <c r="M28" s="43">
        <v>79900</v>
      </c>
      <c r="N28" s="64">
        <v>0.7</v>
      </c>
      <c r="O28" s="12">
        <f t="shared" si="1"/>
        <v>23970</v>
      </c>
      <c r="P28" s="6" t="s">
        <v>3499</v>
      </c>
    </row>
    <row r="29" spans="1:16" x14ac:dyDescent="0.25">
      <c r="A29" s="6" t="s">
        <v>3509</v>
      </c>
      <c r="B29" s="7">
        <v>46121</v>
      </c>
      <c r="C29" s="7">
        <v>46127</v>
      </c>
      <c r="D29" s="6">
        <v>3271</v>
      </c>
      <c r="E29" s="6">
        <v>336</v>
      </c>
      <c r="F29" s="6">
        <v>4</v>
      </c>
      <c r="G29" s="42">
        <v>6</v>
      </c>
      <c r="H29" s="42">
        <v>4953</v>
      </c>
      <c r="I29" s="42" t="s">
        <v>543</v>
      </c>
      <c r="J29" s="42">
        <v>52054052</v>
      </c>
      <c r="K29" s="42" t="s">
        <v>2007</v>
      </c>
      <c r="L29" s="42" t="s">
        <v>2011</v>
      </c>
      <c r="M29" s="43">
        <v>79900</v>
      </c>
      <c r="N29" s="64">
        <v>0.7</v>
      </c>
      <c r="O29" s="12">
        <f t="shared" si="1"/>
        <v>23970</v>
      </c>
      <c r="P29" s="6" t="s">
        <v>3499</v>
      </c>
    </row>
    <row r="30" spans="1:16" x14ac:dyDescent="0.25">
      <c r="A30" s="6" t="s">
        <v>3509</v>
      </c>
      <c r="B30" s="7">
        <v>46121</v>
      </c>
      <c r="C30" s="7">
        <v>46127</v>
      </c>
      <c r="D30" s="6">
        <v>3271</v>
      </c>
      <c r="E30" s="6">
        <v>336</v>
      </c>
      <c r="F30" s="6">
        <v>4</v>
      </c>
      <c r="G30" s="42">
        <v>6</v>
      </c>
      <c r="H30" s="42">
        <v>4953</v>
      </c>
      <c r="I30" s="42" t="s">
        <v>543</v>
      </c>
      <c r="J30" s="42">
        <v>52054061</v>
      </c>
      <c r="K30" s="42" t="s">
        <v>2012</v>
      </c>
      <c r="L30" s="42" t="s">
        <v>2013</v>
      </c>
      <c r="M30" s="43">
        <v>79900</v>
      </c>
      <c r="N30" s="64">
        <v>0.7</v>
      </c>
      <c r="O30" s="12">
        <f t="shared" si="1"/>
        <v>23970</v>
      </c>
      <c r="P30" s="6" t="s">
        <v>3499</v>
      </c>
    </row>
    <row r="31" spans="1:16" x14ac:dyDescent="0.25">
      <c r="A31" s="6" t="s">
        <v>3509</v>
      </c>
      <c r="B31" s="7">
        <v>46121</v>
      </c>
      <c r="C31" s="7">
        <v>46127</v>
      </c>
      <c r="D31" s="6">
        <v>3271</v>
      </c>
      <c r="E31" s="6">
        <v>336</v>
      </c>
      <c r="F31" s="6">
        <v>4</v>
      </c>
      <c r="G31" s="42">
        <v>6</v>
      </c>
      <c r="H31" s="42">
        <v>4953</v>
      </c>
      <c r="I31" s="42" t="s">
        <v>543</v>
      </c>
      <c r="J31" s="42">
        <v>52054070</v>
      </c>
      <c r="K31" s="42" t="s">
        <v>2012</v>
      </c>
      <c r="L31" s="42" t="s">
        <v>2014</v>
      </c>
      <c r="M31" s="43">
        <v>79900</v>
      </c>
      <c r="N31" s="64">
        <v>0.7</v>
      </c>
      <c r="O31" s="12">
        <f t="shared" si="1"/>
        <v>23970</v>
      </c>
      <c r="P31" s="6" t="s">
        <v>3499</v>
      </c>
    </row>
    <row r="32" spans="1:16" x14ac:dyDescent="0.25">
      <c r="A32" s="6" t="s">
        <v>3509</v>
      </c>
      <c r="B32" s="7">
        <v>46121</v>
      </c>
      <c r="C32" s="7">
        <v>46127</v>
      </c>
      <c r="D32" s="6">
        <v>3271</v>
      </c>
      <c r="E32" s="6">
        <v>336</v>
      </c>
      <c r="F32" s="6">
        <v>4</v>
      </c>
      <c r="G32" s="42">
        <v>6</v>
      </c>
      <c r="H32" s="42">
        <v>4953</v>
      </c>
      <c r="I32" s="42" t="s">
        <v>543</v>
      </c>
      <c r="J32" s="42">
        <v>52054089</v>
      </c>
      <c r="K32" s="42" t="s">
        <v>2012</v>
      </c>
      <c r="L32" s="42" t="s">
        <v>2015</v>
      </c>
      <c r="M32" s="43">
        <v>79900</v>
      </c>
      <c r="N32" s="64">
        <v>0.7</v>
      </c>
      <c r="O32" s="12">
        <f t="shared" si="1"/>
        <v>23970</v>
      </c>
      <c r="P32" s="6" t="s">
        <v>3499</v>
      </c>
    </row>
    <row r="33" spans="1:16" x14ac:dyDescent="0.25">
      <c r="A33" s="6" t="s">
        <v>3509</v>
      </c>
      <c r="B33" s="7">
        <v>46121</v>
      </c>
      <c r="C33" s="7">
        <v>46127</v>
      </c>
      <c r="D33" s="6">
        <v>3271</v>
      </c>
      <c r="E33" s="6">
        <v>336</v>
      </c>
      <c r="F33" s="6">
        <v>4</v>
      </c>
      <c r="G33" s="42">
        <v>6</v>
      </c>
      <c r="H33" s="42">
        <v>4953</v>
      </c>
      <c r="I33" s="42" t="s">
        <v>543</v>
      </c>
      <c r="J33" s="42">
        <v>52054098</v>
      </c>
      <c r="K33" s="42" t="s">
        <v>2012</v>
      </c>
      <c r="L33" s="42" t="s">
        <v>2016</v>
      </c>
      <c r="M33" s="43">
        <v>79900</v>
      </c>
      <c r="N33" s="64">
        <v>0.7</v>
      </c>
      <c r="O33" s="12">
        <f t="shared" si="1"/>
        <v>23970</v>
      </c>
      <c r="P33" s="6" t="s">
        <v>3499</v>
      </c>
    </row>
    <row r="34" spans="1:16" x14ac:dyDescent="0.25">
      <c r="A34" s="6" t="s">
        <v>3509</v>
      </c>
      <c r="B34" s="7">
        <v>46121</v>
      </c>
      <c r="C34" s="7">
        <v>46127</v>
      </c>
      <c r="D34" s="6">
        <v>3271</v>
      </c>
      <c r="E34" s="6">
        <v>336</v>
      </c>
      <c r="F34" s="6">
        <v>4</v>
      </c>
      <c r="G34" s="42">
        <v>6</v>
      </c>
      <c r="H34" s="42">
        <v>4953</v>
      </c>
      <c r="I34" s="42" t="s">
        <v>543</v>
      </c>
      <c r="J34" s="42">
        <v>52054105</v>
      </c>
      <c r="K34" s="42" t="s">
        <v>2017</v>
      </c>
      <c r="L34" s="42" t="s">
        <v>2018</v>
      </c>
      <c r="M34" s="43">
        <v>79900</v>
      </c>
      <c r="N34" s="64">
        <v>0.7</v>
      </c>
      <c r="O34" s="12">
        <f t="shared" si="1"/>
        <v>23970</v>
      </c>
      <c r="P34" s="6" t="s">
        <v>3499</v>
      </c>
    </row>
    <row r="35" spans="1:16" x14ac:dyDescent="0.25">
      <c r="A35" s="6" t="s">
        <v>3509</v>
      </c>
      <c r="B35" s="7">
        <v>46121</v>
      </c>
      <c r="C35" s="7">
        <v>46127</v>
      </c>
      <c r="D35" s="6">
        <v>3271</v>
      </c>
      <c r="E35" s="6">
        <v>336</v>
      </c>
      <c r="F35" s="6">
        <v>4</v>
      </c>
      <c r="G35" s="42">
        <v>6</v>
      </c>
      <c r="H35" s="42">
        <v>4953</v>
      </c>
      <c r="I35" s="42" t="s">
        <v>543</v>
      </c>
      <c r="J35" s="42">
        <v>52054114</v>
      </c>
      <c r="K35" s="42" t="s">
        <v>2017</v>
      </c>
      <c r="L35" s="42" t="s">
        <v>2019</v>
      </c>
      <c r="M35" s="43">
        <v>79900</v>
      </c>
      <c r="N35" s="64">
        <v>0.7</v>
      </c>
      <c r="O35" s="12">
        <f t="shared" si="1"/>
        <v>23970</v>
      </c>
      <c r="P35" s="6" t="s">
        <v>3499</v>
      </c>
    </row>
    <row r="36" spans="1:16" x14ac:dyDescent="0.25">
      <c r="A36" s="6" t="s">
        <v>3509</v>
      </c>
      <c r="B36" s="7">
        <v>46121</v>
      </c>
      <c r="C36" s="7">
        <v>46127</v>
      </c>
      <c r="D36" s="6">
        <v>3271</v>
      </c>
      <c r="E36" s="6">
        <v>336</v>
      </c>
      <c r="F36" s="6">
        <v>4</v>
      </c>
      <c r="G36" s="42">
        <v>6</v>
      </c>
      <c r="H36" s="42">
        <v>4953</v>
      </c>
      <c r="I36" s="42" t="s">
        <v>543</v>
      </c>
      <c r="J36" s="42">
        <v>52054123</v>
      </c>
      <c r="K36" s="42" t="s">
        <v>2017</v>
      </c>
      <c r="L36" s="42" t="s">
        <v>2020</v>
      </c>
      <c r="M36" s="43">
        <v>79900</v>
      </c>
      <c r="N36" s="64">
        <v>0.7</v>
      </c>
      <c r="O36" s="12">
        <f t="shared" si="1"/>
        <v>23970</v>
      </c>
      <c r="P36" s="6" t="s">
        <v>3499</v>
      </c>
    </row>
    <row r="37" spans="1:16" x14ac:dyDescent="0.25">
      <c r="A37" s="6" t="s">
        <v>3509</v>
      </c>
      <c r="B37" s="7">
        <v>46121</v>
      </c>
      <c r="C37" s="7">
        <v>46127</v>
      </c>
      <c r="D37" s="6">
        <v>3271</v>
      </c>
      <c r="E37" s="6">
        <v>336</v>
      </c>
      <c r="F37" s="6">
        <v>4</v>
      </c>
      <c r="G37" s="42">
        <v>6</v>
      </c>
      <c r="H37" s="42">
        <v>4953</v>
      </c>
      <c r="I37" s="42" t="s">
        <v>543</v>
      </c>
      <c r="J37" s="42">
        <v>52054132</v>
      </c>
      <c r="K37" s="42" t="s">
        <v>2017</v>
      </c>
      <c r="L37" s="42" t="s">
        <v>2021</v>
      </c>
      <c r="M37" s="43">
        <v>79900</v>
      </c>
      <c r="N37" s="64">
        <v>0.7</v>
      </c>
      <c r="O37" s="12">
        <f t="shared" si="1"/>
        <v>23970</v>
      </c>
      <c r="P37" s="6" t="s">
        <v>3499</v>
      </c>
    </row>
    <row r="38" spans="1:16" x14ac:dyDescent="0.25">
      <c r="A38" s="6" t="s">
        <v>3509</v>
      </c>
      <c r="B38" s="7">
        <v>46121</v>
      </c>
      <c r="C38" s="7">
        <v>46127</v>
      </c>
      <c r="D38" s="6">
        <v>3271</v>
      </c>
      <c r="E38" s="6">
        <v>336</v>
      </c>
      <c r="F38" s="6">
        <v>4</v>
      </c>
      <c r="G38" s="42">
        <v>6</v>
      </c>
      <c r="H38" s="42">
        <v>4953</v>
      </c>
      <c r="I38" s="42" t="s">
        <v>543</v>
      </c>
      <c r="J38" s="42">
        <v>52054141</v>
      </c>
      <c r="K38" s="42" t="s">
        <v>2022</v>
      </c>
      <c r="L38" s="42" t="s">
        <v>2023</v>
      </c>
      <c r="M38" s="43">
        <v>79900</v>
      </c>
      <c r="N38" s="64">
        <v>0.7</v>
      </c>
      <c r="O38" s="12">
        <f t="shared" si="1"/>
        <v>23970</v>
      </c>
      <c r="P38" s="6" t="s">
        <v>3499</v>
      </c>
    </row>
    <row r="39" spans="1:16" x14ac:dyDescent="0.25">
      <c r="A39" s="6" t="s">
        <v>3509</v>
      </c>
      <c r="B39" s="7">
        <v>46121</v>
      </c>
      <c r="C39" s="7">
        <v>46127</v>
      </c>
      <c r="D39" s="6">
        <v>3271</v>
      </c>
      <c r="E39" s="6">
        <v>336</v>
      </c>
      <c r="F39" s="6">
        <v>4</v>
      </c>
      <c r="G39" s="42">
        <v>6</v>
      </c>
      <c r="H39" s="42">
        <v>4953</v>
      </c>
      <c r="I39" s="42" t="s">
        <v>543</v>
      </c>
      <c r="J39" s="42">
        <v>52054150</v>
      </c>
      <c r="K39" s="42" t="s">
        <v>2022</v>
      </c>
      <c r="L39" s="42" t="s">
        <v>2024</v>
      </c>
      <c r="M39" s="43">
        <v>79900</v>
      </c>
      <c r="N39" s="64">
        <v>0.7</v>
      </c>
      <c r="O39" s="12">
        <f t="shared" si="1"/>
        <v>23970</v>
      </c>
      <c r="P39" s="6" t="s">
        <v>3499</v>
      </c>
    </row>
    <row r="40" spans="1:16" x14ac:dyDescent="0.25">
      <c r="A40" s="6" t="s">
        <v>3509</v>
      </c>
      <c r="B40" s="7">
        <v>46121</v>
      </c>
      <c r="C40" s="7">
        <v>46127</v>
      </c>
      <c r="D40" s="6">
        <v>3271</v>
      </c>
      <c r="E40" s="6">
        <v>336</v>
      </c>
      <c r="F40" s="6">
        <v>4</v>
      </c>
      <c r="G40" s="42">
        <v>6</v>
      </c>
      <c r="H40" s="42">
        <v>4953</v>
      </c>
      <c r="I40" s="42" t="s">
        <v>543</v>
      </c>
      <c r="J40" s="42">
        <v>52054169</v>
      </c>
      <c r="K40" s="42" t="s">
        <v>2022</v>
      </c>
      <c r="L40" s="42" t="s">
        <v>2025</v>
      </c>
      <c r="M40" s="43">
        <v>79900</v>
      </c>
      <c r="N40" s="64">
        <v>0.7</v>
      </c>
      <c r="O40" s="12">
        <f t="shared" si="1"/>
        <v>23970</v>
      </c>
      <c r="P40" s="6" t="s">
        <v>3499</v>
      </c>
    </row>
    <row r="41" spans="1:16" x14ac:dyDescent="0.25">
      <c r="A41" s="6" t="s">
        <v>3509</v>
      </c>
      <c r="B41" s="7">
        <v>46121</v>
      </c>
      <c r="C41" s="7">
        <v>46127</v>
      </c>
      <c r="D41" s="6">
        <v>3271</v>
      </c>
      <c r="E41" s="6">
        <v>336</v>
      </c>
      <c r="F41" s="6">
        <v>4</v>
      </c>
      <c r="G41" s="42">
        <v>6</v>
      </c>
      <c r="H41" s="42">
        <v>4953</v>
      </c>
      <c r="I41" s="42" t="s">
        <v>543</v>
      </c>
      <c r="J41" s="42">
        <v>52054178</v>
      </c>
      <c r="K41" s="42" t="s">
        <v>2022</v>
      </c>
      <c r="L41" s="42" t="s">
        <v>2026</v>
      </c>
      <c r="M41" s="43">
        <v>79900</v>
      </c>
      <c r="N41" s="64">
        <v>0.7</v>
      </c>
      <c r="O41" s="12">
        <f t="shared" si="1"/>
        <v>23970</v>
      </c>
      <c r="P41" s="6" t="s">
        <v>3499</v>
      </c>
    </row>
    <row r="42" spans="1:16" x14ac:dyDescent="0.25">
      <c r="A42" s="6" t="s">
        <v>3509</v>
      </c>
      <c r="B42" s="7">
        <v>46121</v>
      </c>
      <c r="C42" s="7">
        <v>46127</v>
      </c>
      <c r="D42" s="6">
        <v>3271</v>
      </c>
      <c r="E42" s="6">
        <v>336</v>
      </c>
      <c r="F42" s="6">
        <v>4</v>
      </c>
      <c r="G42" s="42">
        <v>6</v>
      </c>
      <c r="H42" s="42">
        <v>81328</v>
      </c>
      <c r="I42" s="42" t="s">
        <v>543</v>
      </c>
      <c r="J42" s="42">
        <v>51487837</v>
      </c>
      <c r="K42" s="42" t="s">
        <v>2027</v>
      </c>
      <c r="L42" s="42" t="s">
        <v>2028</v>
      </c>
      <c r="M42" s="43">
        <v>79900</v>
      </c>
      <c r="N42" s="64">
        <v>0.7</v>
      </c>
      <c r="O42" s="12">
        <f t="shared" si="1"/>
        <v>23970</v>
      </c>
      <c r="P42" s="6" t="s">
        <v>3499</v>
      </c>
    </row>
    <row r="43" spans="1:16" x14ac:dyDescent="0.25">
      <c r="A43" s="6" t="s">
        <v>3509</v>
      </c>
      <c r="B43" s="7">
        <v>46121</v>
      </c>
      <c r="C43" s="7">
        <v>46127</v>
      </c>
      <c r="D43" s="6">
        <v>3271</v>
      </c>
      <c r="E43" s="6">
        <v>336</v>
      </c>
      <c r="F43" s="6">
        <v>4</v>
      </c>
      <c r="G43" s="42">
        <v>6</v>
      </c>
      <c r="H43" s="42">
        <v>81328</v>
      </c>
      <c r="I43" s="42" t="s">
        <v>543</v>
      </c>
      <c r="J43" s="42">
        <v>51487846</v>
      </c>
      <c r="K43" s="42" t="s">
        <v>2027</v>
      </c>
      <c r="L43" s="42" t="s">
        <v>2029</v>
      </c>
      <c r="M43" s="43">
        <v>79900</v>
      </c>
      <c r="N43" s="64">
        <v>0.7</v>
      </c>
      <c r="O43" s="12">
        <f t="shared" si="1"/>
        <v>23970</v>
      </c>
      <c r="P43" s="6" t="s">
        <v>3499</v>
      </c>
    </row>
    <row r="44" spans="1:16" x14ac:dyDescent="0.25">
      <c r="A44" s="6" t="s">
        <v>3509</v>
      </c>
      <c r="B44" s="7">
        <v>46121</v>
      </c>
      <c r="C44" s="7">
        <v>46127</v>
      </c>
      <c r="D44" s="6">
        <v>3271</v>
      </c>
      <c r="E44" s="6">
        <v>336</v>
      </c>
      <c r="F44" s="6">
        <v>4</v>
      </c>
      <c r="G44" s="42">
        <v>6</v>
      </c>
      <c r="H44" s="42">
        <v>81328</v>
      </c>
      <c r="I44" s="42" t="s">
        <v>543</v>
      </c>
      <c r="J44" s="42">
        <v>51487855</v>
      </c>
      <c r="K44" s="42" t="s">
        <v>2027</v>
      </c>
      <c r="L44" s="42" t="s">
        <v>2030</v>
      </c>
      <c r="M44" s="43">
        <v>79900</v>
      </c>
      <c r="N44" s="64">
        <v>0.7</v>
      </c>
      <c r="O44" s="12">
        <f t="shared" si="1"/>
        <v>23970</v>
      </c>
      <c r="P44" s="6" t="s">
        <v>3499</v>
      </c>
    </row>
    <row r="45" spans="1:16" x14ac:dyDescent="0.25">
      <c r="A45" s="6" t="s">
        <v>3509</v>
      </c>
      <c r="B45" s="7">
        <v>46121</v>
      </c>
      <c r="C45" s="7">
        <v>46127</v>
      </c>
      <c r="D45" s="6">
        <v>3271</v>
      </c>
      <c r="E45" s="6">
        <v>336</v>
      </c>
      <c r="F45" s="6">
        <v>4</v>
      </c>
      <c r="G45" s="42">
        <v>6</v>
      </c>
      <c r="H45" s="42">
        <v>81328</v>
      </c>
      <c r="I45" s="42" t="s">
        <v>543</v>
      </c>
      <c r="J45" s="42">
        <v>51487864</v>
      </c>
      <c r="K45" s="42" t="s">
        <v>2027</v>
      </c>
      <c r="L45" s="42" t="s">
        <v>2031</v>
      </c>
      <c r="M45" s="43">
        <v>79900</v>
      </c>
      <c r="N45" s="64">
        <v>0.7</v>
      </c>
      <c r="O45" s="12">
        <f t="shared" si="1"/>
        <v>23970</v>
      </c>
      <c r="P45" s="6" t="s">
        <v>3499</v>
      </c>
    </row>
    <row r="46" spans="1:16" x14ac:dyDescent="0.25">
      <c r="A46" s="6" t="s">
        <v>3509</v>
      </c>
      <c r="B46" s="7">
        <v>46121</v>
      </c>
      <c r="C46" s="7">
        <v>46127</v>
      </c>
      <c r="D46" s="6">
        <v>3271</v>
      </c>
      <c r="E46" s="6">
        <v>336</v>
      </c>
      <c r="F46" s="6">
        <v>4</v>
      </c>
      <c r="G46" s="42">
        <v>6</v>
      </c>
      <c r="H46" s="42">
        <v>81328</v>
      </c>
      <c r="I46" s="42" t="s">
        <v>543</v>
      </c>
      <c r="J46" s="42">
        <v>51487873</v>
      </c>
      <c r="K46" s="42" t="s">
        <v>2027</v>
      </c>
      <c r="L46" s="42" t="s">
        <v>2032</v>
      </c>
      <c r="M46" s="43">
        <v>79900</v>
      </c>
      <c r="N46" s="64">
        <v>0.7</v>
      </c>
      <c r="O46" s="12">
        <f t="shared" si="1"/>
        <v>23970</v>
      </c>
      <c r="P46" s="6" t="s">
        <v>3499</v>
      </c>
    </row>
    <row r="47" spans="1:16" x14ac:dyDescent="0.25">
      <c r="A47" s="6" t="s">
        <v>3509</v>
      </c>
      <c r="B47" s="7">
        <v>46121</v>
      </c>
      <c r="C47" s="7">
        <v>46127</v>
      </c>
      <c r="D47" s="6">
        <v>3271</v>
      </c>
      <c r="E47" s="6">
        <v>336</v>
      </c>
      <c r="F47" s="6">
        <v>4</v>
      </c>
      <c r="G47" s="42">
        <v>6</v>
      </c>
      <c r="H47" s="42">
        <v>81328</v>
      </c>
      <c r="I47" s="42" t="s">
        <v>543</v>
      </c>
      <c r="J47" s="42">
        <v>51487882</v>
      </c>
      <c r="K47" s="42" t="s">
        <v>2027</v>
      </c>
      <c r="L47" s="42" t="s">
        <v>2033</v>
      </c>
      <c r="M47" s="43">
        <v>79900</v>
      </c>
      <c r="N47" s="64">
        <v>0.7</v>
      </c>
      <c r="O47" s="12">
        <f t="shared" si="1"/>
        <v>23970</v>
      </c>
      <c r="P47" s="6" t="s">
        <v>3499</v>
      </c>
    </row>
    <row r="48" spans="1:16" x14ac:dyDescent="0.25">
      <c r="A48" s="6" t="s">
        <v>3509</v>
      </c>
      <c r="B48" s="7">
        <v>46121</v>
      </c>
      <c r="C48" s="7">
        <v>46127</v>
      </c>
      <c r="D48" s="6">
        <v>3271</v>
      </c>
      <c r="E48" s="6">
        <v>336</v>
      </c>
      <c r="F48" s="6">
        <v>4</v>
      </c>
      <c r="G48" s="42">
        <v>6</v>
      </c>
      <c r="H48" s="42">
        <v>81328</v>
      </c>
      <c r="I48" s="42" t="s">
        <v>543</v>
      </c>
      <c r="J48" s="42">
        <v>51487891</v>
      </c>
      <c r="K48" s="42" t="s">
        <v>2027</v>
      </c>
      <c r="L48" s="42" t="s">
        <v>2034</v>
      </c>
      <c r="M48" s="43">
        <v>79900</v>
      </c>
      <c r="N48" s="64">
        <v>0.7</v>
      </c>
      <c r="O48" s="12">
        <f t="shared" si="1"/>
        <v>23970</v>
      </c>
      <c r="P48" s="6" t="s">
        <v>3499</v>
      </c>
    </row>
    <row r="49" spans="1:16" x14ac:dyDescent="0.25">
      <c r="A49" s="6" t="s">
        <v>3509</v>
      </c>
      <c r="B49" s="7">
        <v>46121</v>
      </c>
      <c r="C49" s="7">
        <v>46127</v>
      </c>
      <c r="D49" s="6">
        <v>3271</v>
      </c>
      <c r="E49" s="6">
        <v>336</v>
      </c>
      <c r="F49" s="6">
        <v>4</v>
      </c>
      <c r="G49" s="42">
        <v>6</v>
      </c>
      <c r="H49" s="42">
        <v>81328</v>
      </c>
      <c r="I49" s="42" t="s">
        <v>543</v>
      </c>
      <c r="J49" s="42">
        <v>51487908</v>
      </c>
      <c r="K49" s="42" t="s">
        <v>2027</v>
      </c>
      <c r="L49" s="42" t="s">
        <v>2035</v>
      </c>
      <c r="M49" s="43">
        <v>79900</v>
      </c>
      <c r="N49" s="64">
        <v>0.7</v>
      </c>
      <c r="O49" s="12">
        <f t="shared" si="1"/>
        <v>23970</v>
      </c>
      <c r="P49" s="6" t="s">
        <v>3499</v>
      </c>
    </row>
    <row r="50" spans="1:16" x14ac:dyDescent="0.25">
      <c r="A50" s="6" t="s">
        <v>3509</v>
      </c>
      <c r="B50" s="7">
        <v>46121</v>
      </c>
      <c r="C50" s="7">
        <v>46127</v>
      </c>
      <c r="D50" s="6">
        <v>3271</v>
      </c>
      <c r="E50" s="6">
        <v>336</v>
      </c>
      <c r="F50" s="6">
        <v>4</v>
      </c>
      <c r="G50" s="42">
        <v>6</v>
      </c>
      <c r="H50" s="42">
        <v>81328</v>
      </c>
      <c r="I50" s="42" t="s">
        <v>543</v>
      </c>
      <c r="J50" s="42">
        <v>51487917</v>
      </c>
      <c r="K50" s="42" t="s">
        <v>2027</v>
      </c>
      <c r="L50" s="42" t="s">
        <v>2036</v>
      </c>
      <c r="M50" s="43">
        <v>79900</v>
      </c>
      <c r="N50" s="64">
        <v>0.7</v>
      </c>
      <c r="O50" s="12">
        <f t="shared" si="1"/>
        <v>23970</v>
      </c>
      <c r="P50" s="6" t="s">
        <v>3499</v>
      </c>
    </row>
    <row r="51" spans="1:16" x14ac:dyDescent="0.25">
      <c r="A51" s="6" t="s">
        <v>3509</v>
      </c>
      <c r="B51" s="7">
        <v>46121</v>
      </c>
      <c r="C51" s="7">
        <v>46127</v>
      </c>
      <c r="D51" s="6">
        <v>3271</v>
      </c>
      <c r="E51" s="6">
        <v>336</v>
      </c>
      <c r="F51" s="6">
        <v>4</v>
      </c>
      <c r="G51" s="42">
        <v>6</v>
      </c>
      <c r="H51" s="42">
        <v>81328</v>
      </c>
      <c r="I51" s="42" t="s">
        <v>543</v>
      </c>
      <c r="J51" s="42">
        <v>51487926</v>
      </c>
      <c r="K51" s="42" t="s">
        <v>2027</v>
      </c>
      <c r="L51" s="42" t="s">
        <v>2037</v>
      </c>
      <c r="M51" s="43">
        <v>79900</v>
      </c>
      <c r="N51" s="64">
        <v>0.7</v>
      </c>
      <c r="O51" s="12">
        <f t="shared" si="1"/>
        <v>23970</v>
      </c>
      <c r="P51" s="6" t="s">
        <v>3499</v>
      </c>
    </row>
    <row r="52" spans="1:16" x14ac:dyDescent="0.25">
      <c r="A52" s="6" t="s">
        <v>3509</v>
      </c>
      <c r="B52" s="7">
        <v>46121</v>
      </c>
      <c r="C52" s="7">
        <v>46127</v>
      </c>
      <c r="D52" s="6">
        <v>3271</v>
      </c>
      <c r="E52" s="6">
        <v>336</v>
      </c>
      <c r="F52" s="6">
        <v>4</v>
      </c>
      <c r="G52" s="42">
        <v>6</v>
      </c>
      <c r="H52" s="42">
        <v>81328</v>
      </c>
      <c r="I52" s="42" t="s">
        <v>543</v>
      </c>
      <c r="J52" s="42">
        <v>51487935</v>
      </c>
      <c r="K52" s="42" t="s">
        <v>2027</v>
      </c>
      <c r="L52" s="42" t="s">
        <v>2038</v>
      </c>
      <c r="M52" s="43">
        <v>79900</v>
      </c>
      <c r="N52" s="64">
        <v>0.7</v>
      </c>
      <c r="O52" s="12">
        <f t="shared" si="1"/>
        <v>23970</v>
      </c>
      <c r="P52" s="6" t="s">
        <v>3499</v>
      </c>
    </row>
    <row r="53" spans="1:16" x14ac:dyDescent="0.25">
      <c r="A53" s="6" t="s">
        <v>3509</v>
      </c>
      <c r="B53" s="7">
        <v>46121</v>
      </c>
      <c r="C53" s="7">
        <v>46127</v>
      </c>
      <c r="D53" s="6">
        <v>3271</v>
      </c>
      <c r="E53" s="6">
        <v>336</v>
      </c>
      <c r="F53" s="6">
        <v>4</v>
      </c>
      <c r="G53" s="42">
        <v>6</v>
      </c>
      <c r="H53" s="42">
        <v>81328</v>
      </c>
      <c r="I53" s="42" t="s">
        <v>543</v>
      </c>
      <c r="J53" s="42">
        <v>51487944</v>
      </c>
      <c r="K53" s="42" t="s">
        <v>2027</v>
      </c>
      <c r="L53" s="42" t="s">
        <v>2039</v>
      </c>
      <c r="M53" s="43">
        <v>79900</v>
      </c>
      <c r="N53" s="64">
        <v>0.7</v>
      </c>
      <c r="O53" s="12">
        <f t="shared" si="1"/>
        <v>23970</v>
      </c>
      <c r="P53" s="6" t="s">
        <v>3499</v>
      </c>
    </row>
    <row r="54" spans="1:16" x14ac:dyDescent="0.25">
      <c r="A54" s="6" t="s">
        <v>3509</v>
      </c>
      <c r="B54" s="7">
        <v>46121</v>
      </c>
      <c r="C54" s="7">
        <v>46127</v>
      </c>
      <c r="D54" s="6">
        <v>3271</v>
      </c>
      <c r="E54" s="6">
        <v>336</v>
      </c>
      <c r="F54" s="6">
        <v>4</v>
      </c>
      <c r="G54" s="42">
        <v>6</v>
      </c>
      <c r="H54" s="42">
        <v>81328</v>
      </c>
      <c r="I54" s="42" t="s">
        <v>543</v>
      </c>
      <c r="J54" s="42">
        <v>51487953</v>
      </c>
      <c r="K54" s="42" t="s">
        <v>2027</v>
      </c>
      <c r="L54" s="42" t="s">
        <v>2040</v>
      </c>
      <c r="M54" s="43">
        <v>79900</v>
      </c>
      <c r="N54" s="64">
        <v>0.7</v>
      </c>
      <c r="O54" s="12">
        <f t="shared" si="1"/>
        <v>23970</v>
      </c>
      <c r="P54" s="6" t="s">
        <v>3499</v>
      </c>
    </row>
    <row r="55" spans="1:16" x14ac:dyDescent="0.25">
      <c r="A55" s="6" t="s">
        <v>3509</v>
      </c>
      <c r="B55" s="7">
        <v>46121</v>
      </c>
      <c r="C55" s="7">
        <v>46127</v>
      </c>
      <c r="D55" s="6">
        <v>3271</v>
      </c>
      <c r="E55" s="6">
        <v>336</v>
      </c>
      <c r="F55" s="6">
        <v>4</v>
      </c>
      <c r="G55" s="42">
        <v>6</v>
      </c>
      <c r="H55" s="42">
        <v>81328</v>
      </c>
      <c r="I55" s="42" t="s">
        <v>543</v>
      </c>
      <c r="J55" s="42">
        <v>51487962</v>
      </c>
      <c r="K55" s="42" t="s">
        <v>2027</v>
      </c>
      <c r="L55" s="42" t="s">
        <v>2041</v>
      </c>
      <c r="M55" s="43">
        <v>79900</v>
      </c>
      <c r="N55" s="64">
        <v>0.7</v>
      </c>
      <c r="O55" s="12">
        <f t="shared" si="1"/>
        <v>23970</v>
      </c>
      <c r="P55" s="6" t="s">
        <v>3499</v>
      </c>
    </row>
    <row r="56" spans="1:16" x14ac:dyDescent="0.25">
      <c r="A56" s="6" t="s">
        <v>3509</v>
      </c>
      <c r="B56" s="7">
        <v>46121</v>
      </c>
      <c r="C56" s="7">
        <v>46127</v>
      </c>
      <c r="D56" s="6">
        <v>3271</v>
      </c>
      <c r="E56" s="6">
        <v>336</v>
      </c>
      <c r="F56" s="6">
        <v>4</v>
      </c>
      <c r="G56" s="42">
        <v>6</v>
      </c>
      <c r="H56" s="42">
        <v>81328</v>
      </c>
      <c r="I56" s="42" t="s">
        <v>543</v>
      </c>
      <c r="J56" s="42">
        <v>51487971</v>
      </c>
      <c r="K56" s="42" t="s">
        <v>2027</v>
      </c>
      <c r="L56" s="42" t="s">
        <v>2042</v>
      </c>
      <c r="M56" s="43">
        <v>79900</v>
      </c>
      <c r="N56" s="64">
        <v>0.7</v>
      </c>
      <c r="O56" s="12">
        <f t="shared" si="1"/>
        <v>23970</v>
      </c>
      <c r="P56" s="6" t="s">
        <v>3499</v>
      </c>
    </row>
    <row r="57" spans="1:16" x14ac:dyDescent="0.25">
      <c r="A57" s="6" t="s">
        <v>3509</v>
      </c>
      <c r="B57" s="7">
        <v>46121</v>
      </c>
      <c r="C57" s="7">
        <v>46127</v>
      </c>
      <c r="D57" s="6">
        <v>3271</v>
      </c>
      <c r="E57" s="6">
        <v>336</v>
      </c>
      <c r="F57" s="6">
        <v>4</v>
      </c>
      <c r="G57" s="42">
        <v>6</v>
      </c>
      <c r="H57" s="42">
        <v>81328</v>
      </c>
      <c r="I57" s="42" t="s">
        <v>543</v>
      </c>
      <c r="J57" s="42">
        <v>51487980</v>
      </c>
      <c r="K57" s="42" t="s">
        <v>2027</v>
      </c>
      <c r="L57" s="42" t="s">
        <v>2043</v>
      </c>
      <c r="M57" s="43">
        <v>79900</v>
      </c>
      <c r="N57" s="64">
        <v>0.7</v>
      </c>
      <c r="O57" s="12">
        <f t="shared" si="1"/>
        <v>23970</v>
      </c>
      <c r="P57" s="6" t="s">
        <v>3499</v>
      </c>
    </row>
    <row r="58" spans="1:16" x14ac:dyDescent="0.25">
      <c r="A58" s="6" t="s">
        <v>3509</v>
      </c>
      <c r="B58" s="7">
        <v>46121</v>
      </c>
      <c r="C58" s="7">
        <v>46127</v>
      </c>
      <c r="D58" s="6">
        <v>3271</v>
      </c>
      <c r="E58" s="6">
        <v>336</v>
      </c>
      <c r="F58" s="6">
        <v>4</v>
      </c>
      <c r="G58" s="42">
        <v>6</v>
      </c>
      <c r="H58" s="42">
        <v>81328</v>
      </c>
      <c r="I58" s="42" t="s">
        <v>543</v>
      </c>
      <c r="J58" s="42">
        <v>51487999</v>
      </c>
      <c r="K58" s="42" t="s">
        <v>2027</v>
      </c>
      <c r="L58" s="42" t="s">
        <v>2044</v>
      </c>
      <c r="M58" s="43">
        <v>79900</v>
      </c>
      <c r="N58" s="64">
        <v>0.7</v>
      </c>
      <c r="O58" s="12">
        <f t="shared" si="1"/>
        <v>23970</v>
      </c>
      <c r="P58" s="6" t="s">
        <v>3499</v>
      </c>
    </row>
    <row r="59" spans="1:16" x14ac:dyDescent="0.25">
      <c r="A59" s="6" t="s">
        <v>3509</v>
      </c>
      <c r="B59" s="7">
        <v>46121</v>
      </c>
      <c r="C59" s="7">
        <v>46127</v>
      </c>
      <c r="D59" s="6">
        <v>3271</v>
      </c>
      <c r="E59" s="6">
        <v>336</v>
      </c>
      <c r="F59" s="6">
        <v>4</v>
      </c>
      <c r="G59" s="42">
        <v>6</v>
      </c>
      <c r="H59" s="42">
        <v>81328</v>
      </c>
      <c r="I59" s="42" t="s">
        <v>543</v>
      </c>
      <c r="J59" s="42">
        <v>51488005</v>
      </c>
      <c r="K59" s="42" t="s">
        <v>2027</v>
      </c>
      <c r="L59" s="42" t="s">
        <v>2045</v>
      </c>
      <c r="M59" s="43">
        <v>79900</v>
      </c>
      <c r="N59" s="64">
        <v>0.7</v>
      </c>
      <c r="O59" s="12">
        <f t="shared" si="1"/>
        <v>23970</v>
      </c>
      <c r="P59" s="6" t="s">
        <v>3499</v>
      </c>
    </row>
    <row r="60" spans="1:16" x14ac:dyDescent="0.25">
      <c r="A60" s="6" t="s">
        <v>3509</v>
      </c>
      <c r="B60" s="7">
        <v>46121</v>
      </c>
      <c r="C60" s="7">
        <v>46127</v>
      </c>
      <c r="D60" s="6">
        <v>3271</v>
      </c>
      <c r="E60" s="6">
        <v>336</v>
      </c>
      <c r="F60" s="6">
        <v>4</v>
      </c>
      <c r="G60" s="42">
        <v>6</v>
      </c>
      <c r="H60" s="42">
        <v>81328</v>
      </c>
      <c r="I60" s="42" t="s">
        <v>543</v>
      </c>
      <c r="J60" s="42">
        <v>51488014</v>
      </c>
      <c r="K60" s="42" t="s">
        <v>2027</v>
      </c>
      <c r="L60" s="42" t="s">
        <v>2046</v>
      </c>
      <c r="M60" s="43">
        <v>79900</v>
      </c>
      <c r="N60" s="64">
        <v>0.7</v>
      </c>
      <c r="O60" s="12">
        <f t="shared" si="1"/>
        <v>23970</v>
      </c>
      <c r="P60" s="6" t="s">
        <v>3499</v>
      </c>
    </row>
    <row r="61" spans="1:16" x14ac:dyDescent="0.25">
      <c r="A61" s="6" t="s">
        <v>3509</v>
      </c>
      <c r="B61" s="7">
        <v>46121</v>
      </c>
      <c r="C61" s="7">
        <v>46127</v>
      </c>
      <c r="D61" s="6">
        <v>3271</v>
      </c>
      <c r="E61" s="6">
        <v>336</v>
      </c>
      <c r="F61" s="6">
        <v>4</v>
      </c>
      <c r="G61" s="42">
        <v>6</v>
      </c>
      <c r="H61" s="42">
        <v>81328</v>
      </c>
      <c r="I61" s="42" t="s">
        <v>543</v>
      </c>
      <c r="J61" s="42">
        <v>51488023</v>
      </c>
      <c r="K61" s="42" t="s">
        <v>2027</v>
      </c>
      <c r="L61" s="42" t="s">
        <v>2047</v>
      </c>
      <c r="M61" s="43">
        <v>79900</v>
      </c>
      <c r="N61" s="64">
        <v>0.7</v>
      </c>
      <c r="O61" s="12">
        <f t="shared" si="1"/>
        <v>23970</v>
      </c>
      <c r="P61" s="6" t="s">
        <v>3499</v>
      </c>
    </row>
    <row r="62" spans="1:16" x14ac:dyDescent="0.25">
      <c r="A62" s="6" t="s">
        <v>3509</v>
      </c>
      <c r="B62" s="7">
        <v>46121</v>
      </c>
      <c r="C62" s="7">
        <v>46127</v>
      </c>
      <c r="D62" s="6">
        <v>3271</v>
      </c>
      <c r="E62" s="6">
        <v>336</v>
      </c>
      <c r="F62" s="6">
        <v>4</v>
      </c>
      <c r="G62" s="42">
        <v>6</v>
      </c>
      <c r="H62" s="42">
        <v>81328</v>
      </c>
      <c r="I62" s="42" t="s">
        <v>543</v>
      </c>
      <c r="J62" s="42">
        <v>51488032</v>
      </c>
      <c r="K62" s="42" t="s">
        <v>2048</v>
      </c>
      <c r="L62" s="42" t="s">
        <v>2049</v>
      </c>
      <c r="M62" s="43">
        <v>79900</v>
      </c>
      <c r="N62" s="64">
        <v>0.7</v>
      </c>
      <c r="O62" s="12">
        <f t="shared" si="1"/>
        <v>23970</v>
      </c>
      <c r="P62" s="6" t="s">
        <v>3499</v>
      </c>
    </row>
    <row r="63" spans="1:16" x14ac:dyDescent="0.25">
      <c r="A63" s="6" t="s">
        <v>3509</v>
      </c>
      <c r="B63" s="7">
        <v>46121</v>
      </c>
      <c r="C63" s="7">
        <v>46127</v>
      </c>
      <c r="D63" s="6">
        <v>3271</v>
      </c>
      <c r="E63" s="6">
        <v>336</v>
      </c>
      <c r="F63" s="6">
        <v>4</v>
      </c>
      <c r="G63" s="42">
        <v>6</v>
      </c>
      <c r="H63" s="42">
        <v>81328</v>
      </c>
      <c r="I63" s="42" t="s">
        <v>543</v>
      </c>
      <c r="J63" s="42">
        <v>51488041</v>
      </c>
      <c r="K63" s="42" t="s">
        <v>2048</v>
      </c>
      <c r="L63" s="42" t="s">
        <v>2050</v>
      </c>
      <c r="M63" s="43">
        <v>79900</v>
      </c>
      <c r="N63" s="64">
        <v>0.7</v>
      </c>
      <c r="O63" s="12">
        <f t="shared" si="1"/>
        <v>23970</v>
      </c>
      <c r="P63" s="6" t="s">
        <v>3499</v>
      </c>
    </row>
    <row r="64" spans="1:16" x14ac:dyDescent="0.25">
      <c r="A64" s="6" t="s">
        <v>3509</v>
      </c>
      <c r="B64" s="7">
        <v>46121</v>
      </c>
      <c r="C64" s="7">
        <v>46127</v>
      </c>
      <c r="D64" s="6">
        <v>3271</v>
      </c>
      <c r="E64" s="6">
        <v>336</v>
      </c>
      <c r="F64" s="6">
        <v>4</v>
      </c>
      <c r="G64" s="42">
        <v>6</v>
      </c>
      <c r="H64" s="42">
        <v>81328</v>
      </c>
      <c r="I64" s="42" t="s">
        <v>543</v>
      </c>
      <c r="J64" s="42">
        <v>51488050</v>
      </c>
      <c r="K64" s="42" t="s">
        <v>2048</v>
      </c>
      <c r="L64" s="42" t="s">
        <v>2051</v>
      </c>
      <c r="M64" s="43">
        <v>79900</v>
      </c>
      <c r="N64" s="64">
        <v>0.7</v>
      </c>
      <c r="O64" s="12">
        <f t="shared" si="1"/>
        <v>23970</v>
      </c>
      <c r="P64" s="6" t="s">
        <v>3499</v>
      </c>
    </row>
    <row r="65" spans="1:16" x14ac:dyDescent="0.25">
      <c r="A65" s="6" t="s">
        <v>3509</v>
      </c>
      <c r="B65" s="7">
        <v>46121</v>
      </c>
      <c r="C65" s="7">
        <v>46127</v>
      </c>
      <c r="D65" s="6">
        <v>3271</v>
      </c>
      <c r="E65" s="6">
        <v>336</v>
      </c>
      <c r="F65" s="6">
        <v>4</v>
      </c>
      <c r="G65" s="42">
        <v>6</v>
      </c>
      <c r="H65" s="42">
        <v>81328</v>
      </c>
      <c r="I65" s="42" t="s">
        <v>543</v>
      </c>
      <c r="J65" s="42">
        <v>51488069</v>
      </c>
      <c r="K65" s="42" t="s">
        <v>2048</v>
      </c>
      <c r="L65" s="42" t="s">
        <v>2052</v>
      </c>
      <c r="M65" s="43">
        <v>79900</v>
      </c>
      <c r="N65" s="64">
        <v>0.7</v>
      </c>
      <c r="O65" s="12">
        <f t="shared" si="1"/>
        <v>23970</v>
      </c>
      <c r="P65" s="6" t="s">
        <v>3499</v>
      </c>
    </row>
    <row r="66" spans="1:16" x14ac:dyDescent="0.25">
      <c r="A66" s="6" t="s">
        <v>3509</v>
      </c>
      <c r="B66" s="7">
        <v>46121</v>
      </c>
      <c r="C66" s="7">
        <v>46127</v>
      </c>
      <c r="D66" s="6">
        <v>3271</v>
      </c>
      <c r="E66" s="6">
        <v>336</v>
      </c>
      <c r="F66" s="6">
        <v>4</v>
      </c>
      <c r="G66" s="42">
        <v>6</v>
      </c>
      <c r="H66" s="42">
        <v>81328</v>
      </c>
      <c r="I66" s="42" t="s">
        <v>543</v>
      </c>
      <c r="J66" s="42">
        <v>51488078</v>
      </c>
      <c r="K66" s="42" t="s">
        <v>2048</v>
      </c>
      <c r="L66" s="42" t="s">
        <v>2053</v>
      </c>
      <c r="M66" s="43">
        <v>79900</v>
      </c>
      <c r="N66" s="64">
        <v>0.7</v>
      </c>
      <c r="O66" s="12">
        <f t="shared" si="1"/>
        <v>23970</v>
      </c>
      <c r="P66" s="6" t="s">
        <v>3499</v>
      </c>
    </row>
    <row r="67" spans="1:16" x14ac:dyDescent="0.25">
      <c r="A67" s="6" t="s">
        <v>3509</v>
      </c>
      <c r="B67" s="7">
        <v>46121</v>
      </c>
      <c r="C67" s="7">
        <v>46127</v>
      </c>
      <c r="D67" s="6">
        <v>3271</v>
      </c>
      <c r="E67" s="6">
        <v>336</v>
      </c>
      <c r="F67" s="6">
        <v>4</v>
      </c>
      <c r="G67" s="42">
        <v>6</v>
      </c>
      <c r="H67" s="42">
        <v>81328</v>
      </c>
      <c r="I67" s="42" t="s">
        <v>543</v>
      </c>
      <c r="J67" s="42">
        <v>51488087</v>
      </c>
      <c r="K67" s="42" t="s">
        <v>2048</v>
      </c>
      <c r="L67" s="42" t="s">
        <v>2054</v>
      </c>
      <c r="M67" s="43">
        <v>79900</v>
      </c>
      <c r="N67" s="64">
        <v>0.7</v>
      </c>
      <c r="O67" s="12">
        <f t="shared" ref="O67:O130" si="2">M67-((70*M67)/100)</f>
        <v>23970</v>
      </c>
      <c r="P67" s="6" t="s">
        <v>3499</v>
      </c>
    </row>
    <row r="68" spans="1:16" x14ac:dyDescent="0.25">
      <c r="A68" s="6" t="s">
        <v>3509</v>
      </c>
      <c r="B68" s="7">
        <v>46121</v>
      </c>
      <c r="C68" s="7">
        <v>46127</v>
      </c>
      <c r="D68" s="6">
        <v>3271</v>
      </c>
      <c r="E68" s="6">
        <v>336</v>
      </c>
      <c r="F68" s="6">
        <v>4</v>
      </c>
      <c r="G68" s="42">
        <v>6</v>
      </c>
      <c r="H68" s="42">
        <v>81328</v>
      </c>
      <c r="I68" s="42" t="s">
        <v>543</v>
      </c>
      <c r="J68" s="42">
        <v>51488096</v>
      </c>
      <c r="K68" s="42" t="s">
        <v>2048</v>
      </c>
      <c r="L68" s="42" t="s">
        <v>2055</v>
      </c>
      <c r="M68" s="43">
        <v>79900</v>
      </c>
      <c r="N68" s="64">
        <v>0.7</v>
      </c>
      <c r="O68" s="12">
        <f t="shared" si="2"/>
        <v>23970</v>
      </c>
      <c r="P68" s="6" t="s">
        <v>3499</v>
      </c>
    </row>
    <row r="69" spans="1:16" x14ac:dyDescent="0.25">
      <c r="A69" s="6" t="s">
        <v>3509</v>
      </c>
      <c r="B69" s="7">
        <v>46121</v>
      </c>
      <c r="C69" s="7">
        <v>46127</v>
      </c>
      <c r="D69" s="6">
        <v>3271</v>
      </c>
      <c r="E69" s="6">
        <v>336</v>
      </c>
      <c r="F69" s="6">
        <v>4</v>
      </c>
      <c r="G69" s="42">
        <v>6</v>
      </c>
      <c r="H69" s="42">
        <v>81328</v>
      </c>
      <c r="I69" s="42" t="s">
        <v>543</v>
      </c>
      <c r="J69" s="42">
        <v>51488103</v>
      </c>
      <c r="K69" s="42" t="s">
        <v>2048</v>
      </c>
      <c r="L69" s="42" t="s">
        <v>2056</v>
      </c>
      <c r="M69" s="43">
        <v>79900</v>
      </c>
      <c r="N69" s="64">
        <v>0.7</v>
      </c>
      <c r="O69" s="12">
        <f t="shared" si="2"/>
        <v>23970</v>
      </c>
      <c r="P69" s="6" t="s">
        <v>3499</v>
      </c>
    </row>
    <row r="70" spans="1:16" x14ac:dyDescent="0.25">
      <c r="A70" s="6" t="s">
        <v>3509</v>
      </c>
      <c r="B70" s="7">
        <v>46121</v>
      </c>
      <c r="C70" s="7">
        <v>46127</v>
      </c>
      <c r="D70" s="6">
        <v>3271</v>
      </c>
      <c r="E70" s="6">
        <v>336</v>
      </c>
      <c r="F70" s="6">
        <v>4</v>
      </c>
      <c r="G70" s="42">
        <v>6</v>
      </c>
      <c r="H70" s="42">
        <v>81328</v>
      </c>
      <c r="I70" s="42" t="s">
        <v>543</v>
      </c>
      <c r="J70" s="42">
        <v>51488112</v>
      </c>
      <c r="K70" s="42" t="s">
        <v>2048</v>
      </c>
      <c r="L70" s="42" t="s">
        <v>2057</v>
      </c>
      <c r="M70" s="43">
        <v>79900</v>
      </c>
      <c r="N70" s="64">
        <v>0.7</v>
      </c>
      <c r="O70" s="12">
        <f t="shared" si="2"/>
        <v>23970</v>
      </c>
      <c r="P70" s="6" t="s">
        <v>3499</v>
      </c>
    </row>
    <row r="71" spans="1:16" x14ac:dyDescent="0.25">
      <c r="A71" s="6" t="s">
        <v>3509</v>
      </c>
      <c r="B71" s="7">
        <v>46121</v>
      </c>
      <c r="C71" s="7">
        <v>46127</v>
      </c>
      <c r="D71" s="6">
        <v>3271</v>
      </c>
      <c r="E71" s="6">
        <v>336</v>
      </c>
      <c r="F71" s="6">
        <v>4</v>
      </c>
      <c r="G71" s="42">
        <v>6</v>
      </c>
      <c r="H71" s="42">
        <v>81328</v>
      </c>
      <c r="I71" s="42" t="s">
        <v>543</v>
      </c>
      <c r="J71" s="42">
        <v>51488121</v>
      </c>
      <c r="K71" s="42" t="s">
        <v>2048</v>
      </c>
      <c r="L71" s="42" t="s">
        <v>2058</v>
      </c>
      <c r="M71" s="43">
        <v>79900</v>
      </c>
      <c r="N71" s="64">
        <v>0.7</v>
      </c>
      <c r="O71" s="12">
        <f t="shared" si="2"/>
        <v>23970</v>
      </c>
      <c r="P71" s="6" t="s">
        <v>3499</v>
      </c>
    </row>
    <row r="72" spans="1:16" x14ac:dyDescent="0.25">
      <c r="A72" s="6" t="s">
        <v>3509</v>
      </c>
      <c r="B72" s="7">
        <v>46121</v>
      </c>
      <c r="C72" s="7">
        <v>46127</v>
      </c>
      <c r="D72" s="6">
        <v>3271</v>
      </c>
      <c r="E72" s="6">
        <v>336</v>
      </c>
      <c r="F72" s="6">
        <v>4</v>
      </c>
      <c r="G72" s="42">
        <v>6</v>
      </c>
      <c r="H72" s="42">
        <v>81328</v>
      </c>
      <c r="I72" s="42" t="s">
        <v>543</v>
      </c>
      <c r="J72" s="42">
        <v>51488130</v>
      </c>
      <c r="K72" s="42" t="s">
        <v>2048</v>
      </c>
      <c r="L72" s="42" t="s">
        <v>2059</v>
      </c>
      <c r="M72" s="43">
        <v>79900</v>
      </c>
      <c r="N72" s="64">
        <v>0.7</v>
      </c>
      <c r="O72" s="12">
        <f t="shared" si="2"/>
        <v>23970</v>
      </c>
      <c r="P72" s="6" t="s">
        <v>3499</v>
      </c>
    </row>
    <row r="73" spans="1:16" x14ac:dyDescent="0.25">
      <c r="A73" s="6" t="s">
        <v>3509</v>
      </c>
      <c r="B73" s="7">
        <v>46121</v>
      </c>
      <c r="C73" s="7">
        <v>46127</v>
      </c>
      <c r="D73" s="6">
        <v>3271</v>
      </c>
      <c r="E73" s="6">
        <v>336</v>
      </c>
      <c r="F73" s="6">
        <v>4</v>
      </c>
      <c r="G73" s="42">
        <v>6</v>
      </c>
      <c r="H73" s="42">
        <v>81328</v>
      </c>
      <c r="I73" s="42" t="s">
        <v>543</v>
      </c>
      <c r="J73" s="42">
        <v>51488149</v>
      </c>
      <c r="K73" s="42" t="s">
        <v>2048</v>
      </c>
      <c r="L73" s="42" t="s">
        <v>2060</v>
      </c>
      <c r="M73" s="43">
        <v>79900</v>
      </c>
      <c r="N73" s="64">
        <v>0.7</v>
      </c>
      <c r="O73" s="12">
        <f t="shared" si="2"/>
        <v>23970</v>
      </c>
      <c r="P73" s="6" t="s">
        <v>3499</v>
      </c>
    </row>
    <row r="74" spans="1:16" x14ac:dyDescent="0.25">
      <c r="A74" s="6" t="s">
        <v>3509</v>
      </c>
      <c r="B74" s="7">
        <v>46121</v>
      </c>
      <c r="C74" s="7">
        <v>46127</v>
      </c>
      <c r="D74" s="6">
        <v>3271</v>
      </c>
      <c r="E74" s="6">
        <v>336</v>
      </c>
      <c r="F74" s="6">
        <v>4</v>
      </c>
      <c r="G74" s="42">
        <v>6</v>
      </c>
      <c r="H74" s="42">
        <v>81328</v>
      </c>
      <c r="I74" s="42" t="s">
        <v>543</v>
      </c>
      <c r="J74" s="42">
        <v>51488158</v>
      </c>
      <c r="K74" s="42" t="s">
        <v>2048</v>
      </c>
      <c r="L74" s="42" t="s">
        <v>2061</v>
      </c>
      <c r="M74" s="43">
        <v>79900</v>
      </c>
      <c r="N74" s="64">
        <v>0.7</v>
      </c>
      <c r="O74" s="12">
        <f t="shared" si="2"/>
        <v>23970</v>
      </c>
      <c r="P74" s="6" t="s">
        <v>3499</v>
      </c>
    </row>
    <row r="75" spans="1:16" x14ac:dyDescent="0.25">
      <c r="A75" s="6" t="s">
        <v>3509</v>
      </c>
      <c r="B75" s="7">
        <v>46121</v>
      </c>
      <c r="C75" s="7">
        <v>46127</v>
      </c>
      <c r="D75" s="6">
        <v>3271</v>
      </c>
      <c r="E75" s="6">
        <v>336</v>
      </c>
      <c r="F75" s="6">
        <v>4</v>
      </c>
      <c r="G75" s="42">
        <v>6</v>
      </c>
      <c r="H75" s="42">
        <v>81328</v>
      </c>
      <c r="I75" s="42" t="s">
        <v>543</v>
      </c>
      <c r="J75" s="42">
        <v>51488167</v>
      </c>
      <c r="K75" s="42" t="s">
        <v>2048</v>
      </c>
      <c r="L75" s="42" t="s">
        <v>2062</v>
      </c>
      <c r="M75" s="43">
        <v>79900</v>
      </c>
      <c r="N75" s="64">
        <v>0.7</v>
      </c>
      <c r="O75" s="12">
        <f t="shared" si="2"/>
        <v>23970</v>
      </c>
      <c r="P75" s="6" t="s">
        <v>3499</v>
      </c>
    </row>
    <row r="76" spans="1:16" x14ac:dyDescent="0.25">
      <c r="A76" s="6" t="s">
        <v>3509</v>
      </c>
      <c r="B76" s="7">
        <v>46121</v>
      </c>
      <c r="C76" s="7">
        <v>46127</v>
      </c>
      <c r="D76" s="6">
        <v>3271</v>
      </c>
      <c r="E76" s="6">
        <v>336</v>
      </c>
      <c r="F76" s="6">
        <v>4</v>
      </c>
      <c r="G76" s="42">
        <v>6</v>
      </c>
      <c r="H76" s="42">
        <v>81328</v>
      </c>
      <c r="I76" s="42" t="s">
        <v>543</v>
      </c>
      <c r="J76" s="42">
        <v>51488176</v>
      </c>
      <c r="K76" s="42" t="s">
        <v>2048</v>
      </c>
      <c r="L76" s="42" t="s">
        <v>2063</v>
      </c>
      <c r="M76" s="43">
        <v>79900</v>
      </c>
      <c r="N76" s="64">
        <v>0.7</v>
      </c>
      <c r="O76" s="12">
        <f t="shared" si="2"/>
        <v>23970</v>
      </c>
      <c r="P76" s="6" t="s">
        <v>3499</v>
      </c>
    </row>
    <row r="77" spans="1:16" x14ac:dyDescent="0.25">
      <c r="A77" s="6" t="s">
        <v>3509</v>
      </c>
      <c r="B77" s="7">
        <v>46121</v>
      </c>
      <c r="C77" s="7">
        <v>46127</v>
      </c>
      <c r="D77" s="6">
        <v>3271</v>
      </c>
      <c r="E77" s="6">
        <v>336</v>
      </c>
      <c r="F77" s="6">
        <v>4</v>
      </c>
      <c r="G77" s="42">
        <v>6</v>
      </c>
      <c r="H77" s="42">
        <v>81328</v>
      </c>
      <c r="I77" s="42" t="s">
        <v>543</v>
      </c>
      <c r="J77" s="42">
        <v>51488185</v>
      </c>
      <c r="K77" s="42" t="s">
        <v>2048</v>
      </c>
      <c r="L77" s="42" t="s">
        <v>2064</v>
      </c>
      <c r="M77" s="43">
        <v>79900</v>
      </c>
      <c r="N77" s="64">
        <v>0.7</v>
      </c>
      <c r="O77" s="12">
        <f t="shared" si="2"/>
        <v>23970</v>
      </c>
      <c r="P77" s="6" t="s">
        <v>3499</v>
      </c>
    </row>
    <row r="78" spans="1:16" x14ac:dyDescent="0.25">
      <c r="A78" s="6" t="s">
        <v>3509</v>
      </c>
      <c r="B78" s="7">
        <v>46121</v>
      </c>
      <c r="C78" s="7">
        <v>46127</v>
      </c>
      <c r="D78" s="6">
        <v>3271</v>
      </c>
      <c r="E78" s="6">
        <v>336</v>
      </c>
      <c r="F78" s="6">
        <v>4</v>
      </c>
      <c r="G78" s="42">
        <v>6</v>
      </c>
      <c r="H78" s="42">
        <v>81328</v>
      </c>
      <c r="I78" s="42" t="s">
        <v>543</v>
      </c>
      <c r="J78" s="42">
        <v>51488194</v>
      </c>
      <c r="K78" s="42" t="s">
        <v>2048</v>
      </c>
      <c r="L78" s="42" t="s">
        <v>2065</v>
      </c>
      <c r="M78" s="43">
        <v>79900</v>
      </c>
      <c r="N78" s="64">
        <v>0.7</v>
      </c>
      <c r="O78" s="12">
        <f t="shared" si="2"/>
        <v>23970</v>
      </c>
      <c r="P78" s="6" t="s">
        <v>3499</v>
      </c>
    </row>
    <row r="79" spans="1:16" x14ac:dyDescent="0.25">
      <c r="A79" s="6" t="s">
        <v>3509</v>
      </c>
      <c r="B79" s="7">
        <v>46121</v>
      </c>
      <c r="C79" s="7">
        <v>46127</v>
      </c>
      <c r="D79" s="6">
        <v>3271</v>
      </c>
      <c r="E79" s="6">
        <v>336</v>
      </c>
      <c r="F79" s="6">
        <v>4</v>
      </c>
      <c r="G79" s="42">
        <v>6</v>
      </c>
      <c r="H79" s="42">
        <v>81328</v>
      </c>
      <c r="I79" s="42" t="s">
        <v>543</v>
      </c>
      <c r="J79" s="42">
        <v>51488201</v>
      </c>
      <c r="K79" s="42" t="s">
        <v>2048</v>
      </c>
      <c r="L79" s="42" t="s">
        <v>2066</v>
      </c>
      <c r="M79" s="43">
        <v>79900</v>
      </c>
      <c r="N79" s="64">
        <v>0.7</v>
      </c>
      <c r="O79" s="12">
        <f t="shared" si="2"/>
        <v>23970</v>
      </c>
      <c r="P79" s="6" t="s">
        <v>3499</v>
      </c>
    </row>
    <row r="80" spans="1:16" x14ac:dyDescent="0.25">
      <c r="A80" s="6" t="s">
        <v>3509</v>
      </c>
      <c r="B80" s="7">
        <v>46121</v>
      </c>
      <c r="C80" s="7">
        <v>46127</v>
      </c>
      <c r="D80" s="6">
        <v>3271</v>
      </c>
      <c r="E80" s="6">
        <v>336</v>
      </c>
      <c r="F80" s="6">
        <v>4</v>
      </c>
      <c r="G80" s="42">
        <v>6</v>
      </c>
      <c r="H80" s="42">
        <v>81328</v>
      </c>
      <c r="I80" s="42" t="s">
        <v>543</v>
      </c>
      <c r="J80" s="42">
        <v>51488210</v>
      </c>
      <c r="K80" s="42" t="s">
        <v>2048</v>
      </c>
      <c r="L80" s="42" t="s">
        <v>2067</v>
      </c>
      <c r="M80" s="43">
        <v>79900</v>
      </c>
      <c r="N80" s="64">
        <v>0.7</v>
      </c>
      <c r="O80" s="12">
        <f t="shared" si="2"/>
        <v>23970</v>
      </c>
      <c r="P80" s="6" t="s">
        <v>3499</v>
      </c>
    </row>
    <row r="81" spans="1:16" x14ac:dyDescent="0.25">
      <c r="A81" s="6" t="s">
        <v>3509</v>
      </c>
      <c r="B81" s="7">
        <v>46121</v>
      </c>
      <c r="C81" s="7">
        <v>46127</v>
      </c>
      <c r="D81" s="6">
        <v>3271</v>
      </c>
      <c r="E81" s="6">
        <v>336</v>
      </c>
      <c r="F81" s="6">
        <v>4</v>
      </c>
      <c r="G81" s="42">
        <v>6</v>
      </c>
      <c r="H81" s="42">
        <v>81328</v>
      </c>
      <c r="I81" s="42" t="s">
        <v>543</v>
      </c>
      <c r="J81" s="42">
        <v>51488229</v>
      </c>
      <c r="K81" s="42" t="s">
        <v>2048</v>
      </c>
      <c r="L81" s="42" t="s">
        <v>2068</v>
      </c>
      <c r="M81" s="43">
        <v>79900</v>
      </c>
      <c r="N81" s="64">
        <v>0.7</v>
      </c>
      <c r="O81" s="12">
        <f t="shared" si="2"/>
        <v>23970</v>
      </c>
      <c r="P81" s="6" t="s">
        <v>3499</v>
      </c>
    </row>
    <row r="82" spans="1:16" x14ac:dyDescent="0.25">
      <c r="A82" s="6" t="s">
        <v>3509</v>
      </c>
      <c r="B82" s="7">
        <v>46121</v>
      </c>
      <c r="C82" s="7">
        <v>46127</v>
      </c>
      <c r="D82" s="6">
        <v>3271</v>
      </c>
      <c r="E82" s="6">
        <v>336</v>
      </c>
      <c r="F82" s="6">
        <v>4</v>
      </c>
      <c r="G82" s="8">
        <v>6</v>
      </c>
      <c r="H82" s="8">
        <v>4953</v>
      </c>
      <c r="I82" s="8" t="s">
        <v>543</v>
      </c>
      <c r="J82" s="8">
        <v>52325581</v>
      </c>
      <c r="K82" s="8" t="s">
        <v>2069</v>
      </c>
      <c r="L82" s="8" t="s">
        <v>2070</v>
      </c>
      <c r="M82" s="10">
        <v>89900</v>
      </c>
      <c r="N82" s="64">
        <v>0.7</v>
      </c>
      <c r="O82" s="12">
        <f t="shared" si="2"/>
        <v>26970</v>
      </c>
      <c r="P82" s="6" t="s">
        <v>3499</v>
      </c>
    </row>
    <row r="83" spans="1:16" x14ac:dyDescent="0.25">
      <c r="A83" s="6" t="s">
        <v>3509</v>
      </c>
      <c r="B83" s="7">
        <v>46121</v>
      </c>
      <c r="C83" s="7">
        <v>46127</v>
      </c>
      <c r="D83" s="6">
        <v>3271</v>
      </c>
      <c r="E83" s="6">
        <v>336</v>
      </c>
      <c r="F83" s="6">
        <v>4</v>
      </c>
      <c r="G83" s="8">
        <v>6</v>
      </c>
      <c r="H83" s="8">
        <v>4953</v>
      </c>
      <c r="I83" s="8" t="s">
        <v>543</v>
      </c>
      <c r="J83" s="8">
        <v>52325590</v>
      </c>
      <c r="K83" s="8" t="s">
        <v>2069</v>
      </c>
      <c r="L83" s="8" t="s">
        <v>2071</v>
      </c>
      <c r="M83" s="10">
        <v>89900</v>
      </c>
      <c r="N83" s="64">
        <v>0.7</v>
      </c>
      <c r="O83" s="12">
        <f t="shared" si="2"/>
        <v>26970</v>
      </c>
      <c r="P83" s="6" t="s">
        <v>3499</v>
      </c>
    </row>
    <row r="84" spans="1:16" x14ac:dyDescent="0.25">
      <c r="A84" s="6" t="s">
        <v>3509</v>
      </c>
      <c r="B84" s="7">
        <v>46121</v>
      </c>
      <c r="C84" s="7">
        <v>46127</v>
      </c>
      <c r="D84" s="6">
        <v>3271</v>
      </c>
      <c r="E84" s="6">
        <v>336</v>
      </c>
      <c r="F84" s="6">
        <v>4</v>
      </c>
      <c r="G84" s="8">
        <v>6</v>
      </c>
      <c r="H84" s="8">
        <v>4953</v>
      </c>
      <c r="I84" s="8" t="s">
        <v>543</v>
      </c>
      <c r="J84" s="8">
        <v>52325607</v>
      </c>
      <c r="K84" s="8" t="s">
        <v>2069</v>
      </c>
      <c r="L84" s="8" t="s">
        <v>2072</v>
      </c>
      <c r="M84" s="10">
        <v>89900</v>
      </c>
      <c r="N84" s="64">
        <v>0.7</v>
      </c>
      <c r="O84" s="12">
        <f t="shared" si="2"/>
        <v>26970</v>
      </c>
      <c r="P84" s="6" t="s">
        <v>3499</v>
      </c>
    </row>
    <row r="85" spans="1:16" x14ac:dyDescent="0.25">
      <c r="A85" s="6" t="s">
        <v>3509</v>
      </c>
      <c r="B85" s="7">
        <v>46121</v>
      </c>
      <c r="C85" s="7">
        <v>46127</v>
      </c>
      <c r="D85" s="6">
        <v>3271</v>
      </c>
      <c r="E85" s="6">
        <v>336</v>
      </c>
      <c r="F85" s="6">
        <v>4</v>
      </c>
      <c r="G85" s="8">
        <v>6</v>
      </c>
      <c r="H85" s="8">
        <v>4953</v>
      </c>
      <c r="I85" s="8" t="s">
        <v>543</v>
      </c>
      <c r="J85" s="8">
        <v>52325616</v>
      </c>
      <c r="K85" s="8" t="s">
        <v>2069</v>
      </c>
      <c r="L85" s="8" t="s">
        <v>2073</v>
      </c>
      <c r="M85" s="10">
        <v>89900</v>
      </c>
      <c r="N85" s="64">
        <v>0.7</v>
      </c>
      <c r="O85" s="12">
        <f t="shared" si="2"/>
        <v>26970</v>
      </c>
      <c r="P85" s="6" t="s">
        <v>3499</v>
      </c>
    </row>
    <row r="86" spans="1:16" x14ac:dyDescent="0.25">
      <c r="A86" s="6" t="s">
        <v>3509</v>
      </c>
      <c r="B86" s="7">
        <v>46121</v>
      </c>
      <c r="C86" s="7">
        <v>46127</v>
      </c>
      <c r="D86" s="6">
        <v>3271</v>
      </c>
      <c r="E86" s="6">
        <v>336</v>
      </c>
      <c r="F86" s="6">
        <v>4</v>
      </c>
      <c r="G86" s="8">
        <v>6</v>
      </c>
      <c r="H86" s="8">
        <v>4953</v>
      </c>
      <c r="I86" s="8" t="s">
        <v>543</v>
      </c>
      <c r="J86" s="8">
        <v>52325625</v>
      </c>
      <c r="K86" s="8" t="s">
        <v>2074</v>
      </c>
      <c r="L86" s="8" t="s">
        <v>2075</v>
      </c>
      <c r="M86" s="10">
        <v>89900</v>
      </c>
      <c r="N86" s="64">
        <v>0.7</v>
      </c>
      <c r="O86" s="12">
        <f t="shared" si="2"/>
        <v>26970</v>
      </c>
      <c r="P86" s="6" t="s">
        <v>3499</v>
      </c>
    </row>
    <row r="87" spans="1:16" x14ac:dyDescent="0.25">
      <c r="A87" s="6" t="s">
        <v>3509</v>
      </c>
      <c r="B87" s="7">
        <v>46121</v>
      </c>
      <c r="C87" s="7">
        <v>46127</v>
      </c>
      <c r="D87" s="6">
        <v>3271</v>
      </c>
      <c r="E87" s="6">
        <v>336</v>
      </c>
      <c r="F87" s="6">
        <v>4</v>
      </c>
      <c r="G87" s="8">
        <v>6</v>
      </c>
      <c r="H87" s="8">
        <v>4953</v>
      </c>
      <c r="I87" s="8" t="s">
        <v>543</v>
      </c>
      <c r="J87" s="8">
        <v>52325634</v>
      </c>
      <c r="K87" s="8" t="s">
        <v>2074</v>
      </c>
      <c r="L87" s="8" t="s">
        <v>2076</v>
      </c>
      <c r="M87" s="10">
        <v>89900</v>
      </c>
      <c r="N87" s="64">
        <v>0.7</v>
      </c>
      <c r="O87" s="12">
        <f t="shared" si="2"/>
        <v>26970</v>
      </c>
      <c r="P87" s="6" t="s">
        <v>3499</v>
      </c>
    </row>
    <row r="88" spans="1:16" x14ac:dyDescent="0.25">
      <c r="A88" s="6" t="s">
        <v>3509</v>
      </c>
      <c r="B88" s="7">
        <v>46121</v>
      </c>
      <c r="C88" s="7">
        <v>46127</v>
      </c>
      <c r="D88" s="6">
        <v>3271</v>
      </c>
      <c r="E88" s="6">
        <v>336</v>
      </c>
      <c r="F88" s="6">
        <v>4</v>
      </c>
      <c r="G88" s="8">
        <v>6</v>
      </c>
      <c r="H88" s="8">
        <v>4953</v>
      </c>
      <c r="I88" s="8" t="s">
        <v>543</v>
      </c>
      <c r="J88" s="8">
        <v>52325643</v>
      </c>
      <c r="K88" s="8" t="s">
        <v>2074</v>
      </c>
      <c r="L88" s="8" t="s">
        <v>2077</v>
      </c>
      <c r="M88" s="10">
        <v>89900</v>
      </c>
      <c r="N88" s="64">
        <v>0.7</v>
      </c>
      <c r="O88" s="12">
        <f t="shared" si="2"/>
        <v>26970</v>
      </c>
      <c r="P88" s="6" t="s">
        <v>3499</v>
      </c>
    </row>
    <row r="89" spans="1:16" x14ac:dyDescent="0.25">
      <c r="A89" s="6" t="s">
        <v>3509</v>
      </c>
      <c r="B89" s="7">
        <v>46121</v>
      </c>
      <c r="C89" s="7">
        <v>46127</v>
      </c>
      <c r="D89" s="6">
        <v>3271</v>
      </c>
      <c r="E89" s="6">
        <v>336</v>
      </c>
      <c r="F89" s="6">
        <v>4</v>
      </c>
      <c r="G89" s="8">
        <v>6</v>
      </c>
      <c r="H89" s="8">
        <v>4953</v>
      </c>
      <c r="I89" s="8" t="s">
        <v>543</v>
      </c>
      <c r="J89" s="8">
        <v>52325652</v>
      </c>
      <c r="K89" s="8" t="s">
        <v>2074</v>
      </c>
      <c r="L89" s="8" t="s">
        <v>2078</v>
      </c>
      <c r="M89" s="10">
        <v>89900</v>
      </c>
      <c r="N89" s="64">
        <v>0.7</v>
      </c>
      <c r="O89" s="12">
        <f t="shared" si="2"/>
        <v>26970</v>
      </c>
      <c r="P89" s="6" t="s">
        <v>3499</v>
      </c>
    </row>
    <row r="90" spans="1:16" x14ac:dyDescent="0.25">
      <c r="A90" s="6" t="s">
        <v>3509</v>
      </c>
      <c r="B90" s="7">
        <v>46121</v>
      </c>
      <c r="C90" s="7">
        <v>46127</v>
      </c>
      <c r="D90" s="6">
        <v>3271</v>
      </c>
      <c r="E90" s="6">
        <v>336</v>
      </c>
      <c r="F90" s="6">
        <v>4</v>
      </c>
      <c r="G90" s="8">
        <v>6</v>
      </c>
      <c r="H90" s="8">
        <v>4953</v>
      </c>
      <c r="I90" s="8" t="s">
        <v>543</v>
      </c>
      <c r="J90" s="8">
        <v>52325661</v>
      </c>
      <c r="K90" s="8" t="s">
        <v>2079</v>
      </c>
      <c r="L90" s="8" t="s">
        <v>2080</v>
      </c>
      <c r="M90" s="10">
        <v>89900</v>
      </c>
      <c r="N90" s="64">
        <v>0.7</v>
      </c>
      <c r="O90" s="12">
        <f t="shared" si="2"/>
        <v>26970</v>
      </c>
      <c r="P90" s="6" t="s">
        <v>3499</v>
      </c>
    </row>
    <row r="91" spans="1:16" x14ac:dyDescent="0.25">
      <c r="A91" s="6" t="s">
        <v>3509</v>
      </c>
      <c r="B91" s="7">
        <v>46121</v>
      </c>
      <c r="C91" s="7">
        <v>46127</v>
      </c>
      <c r="D91" s="6">
        <v>3271</v>
      </c>
      <c r="E91" s="6">
        <v>336</v>
      </c>
      <c r="F91" s="6">
        <v>4</v>
      </c>
      <c r="G91" s="8">
        <v>6</v>
      </c>
      <c r="H91" s="8">
        <v>4953</v>
      </c>
      <c r="I91" s="8" t="s">
        <v>543</v>
      </c>
      <c r="J91" s="8">
        <v>52325670</v>
      </c>
      <c r="K91" s="8" t="s">
        <v>2079</v>
      </c>
      <c r="L91" s="8" t="s">
        <v>2081</v>
      </c>
      <c r="M91" s="10">
        <v>89900</v>
      </c>
      <c r="N91" s="64">
        <v>0.7</v>
      </c>
      <c r="O91" s="12">
        <f t="shared" si="2"/>
        <v>26970</v>
      </c>
      <c r="P91" s="6" t="s">
        <v>3499</v>
      </c>
    </row>
    <row r="92" spans="1:16" x14ac:dyDescent="0.25">
      <c r="A92" s="6" t="s">
        <v>3509</v>
      </c>
      <c r="B92" s="7">
        <v>46121</v>
      </c>
      <c r="C92" s="7">
        <v>46127</v>
      </c>
      <c r="D92" s="6">
        <v>3271</v>
      </c>
      <c r="E92" s="6">
        <v>336</v>
      </c>
      <c r="F92" s="6">
        <v>4</v>
      </c>
      <c r="G92" s="8">
        <v>6</v>
      </c>
      <c r="H92" s="8">
        <v>4953</v>
      </c>
      <c r="I92" s="8" t="s">
        <v>543</v>
      </c>
      <c r="J92" s="8">
        <v>52325689</v>
      </c>
      <c r="K92" s="8" t="s">
        <v>2079</v>
      </c>
      <c r="L92" s="8" t="s">
        <v>2082</v>
      </c>
      <c r="M92" s="10">
        <v>89900</v>
      </c>
      <c r="N92" s="64">
        <v>0.7</v>
      </c>
      <c r="O92" s="12">
        <f t="shared" si="2"/>
        <v>26970</v>
      </c>
      <c r="P92" s="6" t="s">
        <v>3499</v>
      </c>
    </row>
    <row r="93" spans="1:16" x14ac:dyDescent="0.25">
      <c r="A93" s="6" t="s">
        <v>3509</v>
      </c>
      <c r="B93" s="7">
        <v>46121</v>
      </c>
      <c r="C93" s="7">
        <v>46127</v>
      </c>
      <c r="D93" s="6">
        <v>3271</v>
      </c>
      <c r="E93" s="6">
        <v>336</v>
      </c>
      <c r="F93" s="6">
        <v>4</v>
      </c>
      <c r="G93" s="8">
        <v>6</v>
      </c>
      <c r="H93" s="8">
        <v>4953</v>
      </c>
      <c r="I93" s="8" t="s">
        <v>543</v>
      </c>
      <c r="J93" s="8">
        <v>52325698</v>
      </c>
      <c r="K93" s="8" t="s">
        <v>2079</v>
      </c>
      <c r="L93" s="8" t="s">
        <v>2083</v>
      </c>
      <c r="M93" s="10">
        <v>89900</v>
      </c>
      <c r="N93" s="64">
        <v>0.7</v>
      </c>
      <c r="O93" s="12">
        <f t="shared" si="2"/>
        <v>26970</v>
      </c>
      <c r="P93" s="6" t="s">
        <v>3499</v>
      </c>
    </row>
    <row r="94" spans="1:16" x14ac:dyDescent="0.25">
      <c r="A94" s="6" t="s">
        <v>3509</v>
      </c>
      <c r="B94" s="7">
        <v>46121</v>
      </c>
      <c r="C94" s="7">
        <v>46127</v>
      </c>
      <c r="D94" s="6">
        <v>3271</v>
      </c>
      <c r="E94" s="6">
        <v>336</v>
      </c>
      <c r="F94" s="6">
        <v>4</v>
      </c>
      <c r="G94" s="8">
        <v>6</v>
      </c>
      <c r="H94" s="8">
        <v>4953</v>
      </c>
      <c r="I94" s="8" t="s">
        <v>543</v>
      </c>
      <c r="J94" s="8">
        <v>52325705</v>
      </c>
      <c r="K94" s="8" t="s">
        <v>2084</v>
      </c>
      <c r="L94" s="8" t="s">
        <v>2085</v>
      </c>
      <c r="M94" s="10">
        <v>89900</v>
      </c>
      <c r="N94" s="64">
        <v>0.7</v>
      </c>
      <c r="O94" s="12">
        <f t="shared" si="2"/>
        <v>26970</v>
      </c>
      <c r="P94" s="6" t="s">
        <v>3499</v>
      </c>
    </row>
    <row r="95" spans="1:16" x14ac:dyDescent="0.25">
      <c r="A95" s="6" t="s">
        <v>3509</v>
      </c>
      <c r="B95" s="7">
        <v>46121</v>
      </c>
      <c r="C95" s="7">
        <v>46127</v>
      </c>
      <c r="D95" s="6">
        <v>3271</v>
      </c>
      <c r="E95" s="6">
        <v>336</v>
      </c>
      <c r="F95" s="6">
        <v>4</v>
      </c>
      <c r="G95" s="8">
        <v>6</v>
      </c>
      <c r="H95" s="8">
        <v>4953</v>
      </c>
      <c r="I95" s="8" t="s">
        <v>543</v>
      </c>
      <c r="J95" s="8">
        <v>52325714</v>
      </c>
      <c r="K95" s="8" t="s">
        <v>2084</v>
      </c>
      <c r="L95" s="8" t="s">
        <v>2086</v>
      </c>
      <c r="M95" s="10">
        <v>89900</v>
      </c>
      <c r="N95" s="64">
        <v>0.7</v>
      </c>
      <c r="O95" s="12">
        <f t="shared" si="2"/>
        <v>26970</v>
      </c>
      <c r="P95" s="6" t="s">
        <v>3499</v>
      </c>
    </row>
    <row r="96" spans="1:16" x14ac:dyDescent="0.25">
      <c r="A96" s="6" t="s">
        <v>3509</v>
      </c>
      <c r="B96" s="7">
        <v>46121</v>
      </c>
      <c r="C96" s="7">
        <v>46127</v>
      </c>
      <c r="D96" s="6">
        <v>3271</v>
      </c>
      <c r="E96" s="6">
        <v>336</v>
      </c>
      <c r="F96" s="6">
        <v>4</v>
      </c>
      <c r="G96" s="8">
        <v>6</v>
      </c>
      <c r="H96" s="8">
        <v>4953</v>
      </c>
      <c r="I96" s="8" t="s">
        <v>543</v>
      </c>
      <c r="J96" s="8">
        <v>52325723</v>
      </c>
      <c r="K96" s="8" t="s">
        <v>2084</v>
      </c>
      <c r="L96" s="8" t="s">
        <v>2087</v>
      </c>
      <c r="M96" s="10">
        <v>89900</v>
      </c>
      <c r="N96" s="64">
        <v>0.7</v>
      </c>
      <c r="O96" s="12">
        <f t="shared" si="2"/>
        <v>26970</v>
      </c>
      <c r="P96" s="6" t="s">
        <v>3499</v>
      </c>
    </row>
    <row r="97" spans="1:16" x14ac:dyDescent="0.25">
      <c r="A97" s="6" t="s">
        <v>3509</v>
      </c>
      <c r="B97" s="7">
        <v>46121</v>
      </c>
      <c r="C97" s="7">
        <v>46127</v>
      </c>
      <c r="D97" s="6">
        <v>3271</v>
      </c>
      <c r="E97" s="6">
        <v>336</v>
      </c>
      <c r="F97" s="6">
        <v>4</v>
      </c>
      <c r="G97" s="8">
        <v>6</v>
      </c>
      <c r="H97" s="8">
        <v>4953</v>
      </c>
      <c r="I97" s="8" t="s">
        <v>543</v>
      </c>
      <c r="J97" s="8">
        <v>52325732</v>
      </c>
      <c r="K97" s="8" t="s">
        <v>2084</v>
      </c>
      <c r="L97" s="8" t="s">
        <v>2088</v>
      </c>
      <c r="M97" s="10">
        <v>89900</v>
      </c>
      <c r="N97" s="64">
        <v>0.7</v>
      </c>
      <c r="O97" s="12">
        <f t="shared" si="2"/>
        <v>26970</v>
      </c>
      <c r="P97" s="6" t="s">
        <v>3499</v>
      </c>
    </row>
    <row r="98" spans="1:16" x14ac:dyDescent="0.25">
      <c r="A98" s="6" t="s">
        <v>3509</v>
      </c>
      <c r="B98" s="7">
        <v>46121</v>
      </c>
      <c r="C98" s="7">
        <v>46127</v>
      </c>
      <c r="D98" s="6">
        <v>3271</v>
      </c>
      <c r="E98" s="6">
        <v>336</v>
      </c>
      <c r="F98" s="6">
        <v>4</v>
      </c>
      <c r="G98" s="8">
        <v>6</v>
      </c>
      <c r="H98" s="8">
        <v>4953</v>
      </c>
      <c r="I98" s="8" t="s">
        <v>543</v>
      </c>
      <c r="J98" s="8">
        <v>52325741</v>
      </c>
      <c r="K98" s="8" t="s">
        <v>2089</v>
      </c>
      <c r="L98" s="8" t="s">
        <v>2090</v>
      </c>
      <c r="M98" s="10">
        <v>89900</v>
      </c>
      <c r="N98" s="64">
        <v>0.7</v>
      </c>
      <c r="O98" s="12">
        <f t="shared" si="2"/>
        <v>26970</v>
      </c>
      <c r="P98" s="6" t="s">
        <v>3499</v>
      </c>
    </row>
    <row r="99" spans="1:16" x14ac:dyDescent="0.25">
      <c r="A99" s="6" t="s">
        <v>3509</v>
      </c>
      <c r="B99" s="7">
        <v>46121</v>
      </c>
      <c r="C99" s="7">
        <v>46127</v>
      </c>
      <c r="D99" s="6">
        <v>3271</v>
      </c>
      <c r="E99" s="6">
        <v>336</v>
      </c>
      <c r="F99" s="6">
        <v>4</v>
      </c>
      <c r="G99" s="8">
        <v>6</v>
      </c>
      <c r="H99" s="8">
        <v>4953</v>
      </c>
      <c r="I99" s="8" t="s">
        <v>543</v>
      </c>
      <c r="J99" s="8">
        <v>52325750</v>
      </c>
      <c r="K99" s="8" t="s">
        <v>2089</v>
      </c>
      <c r="L99" s="8" t="s">
        <v>2091</v>
      </c>
      <c r="M99" s="10">
        <v>89900</v>
      </c>
      <c r="N99" s="64">
        <v>0.7</v>
      </c>
      <c r="O99" s="12">
        <f t="shared" si="2"/>
        <v>26970</v>
      </c>
      <c r="P99" s="6" t="s">
        <v>3499</v>
      </c>
    </row>
    <row r="100" spans="1:16" x14ac:dyDescent="0.25">
      <c r="A100" s="6" t="s">
        <v>3509</v>
      </c>
      <c r="B100" s="7">
        <v>46121</v>
      </c>
      <c r="C100" s="7">
        <v>46127</v>
      </c>
      <c r="D100" s="6">
        <v>3271</v>
      </c>
      <c r="E100" s="6">
        <v>336</v>
      </c>
      <c r="F100" s="6">
        <v>4</v>
      </c>
      <c r="G100" s="8">
        <v>6</v>
      </c>
      <c r="H100" s="8">
        <v>4953</v>
      </c>
      <c r="I100" s="8" t="s">
        <v>543</v>
      </c>
      <c r="J100" s="8">
        <v>52325769</v>
      </c>
      <c r="K100" s="8" t="s">
        <v>2089</v>
      </c>
      <c r="L100" s="8" t="s">
        <v>2092</v>
      </c>
      <c r="M100" s="10">
        <v>89900</v>
      </c>
      <c r="N100" s="64">
        <v>0.7</v>
      </c>
      <c r="O100" s="12">
        <f t="shared" si="2"/>
        <v>26970</v>
      </c>
      <c r="P100" s="6" t="s">
        <v>3499</v>
      </c>
    </row>
    <row r="101" spans="1:16" x14ac:dyDescent="0.25">
      <c r="A101" s="6" t="s">
        <v>3509</v>
      </c>
      <c r="B101" s="7">
        <v>46121</v>
      </c>
      <c r="C101" s="7">
        <v>46127</v>
      </c>
      <c r="D101" s="6">
        <v>3271</v>
      </c>
      <c r="E101" s="6">
        <v>336</v>
      </c>
      <c r="F101" s="6">
        <v>4</v>
      </c>
      <c r="G101" s="8">
        <v>6</v>
      </c>
      <c r="H101" s="8">
        <v>4953</v>
      </c>
      <c r="I101" s="8" t="s">
        <v>543</v>
      </c>
      <c r="J101" s="8">
        <v>52325778</v>
      </c>
      <c r="K101" s="8" t="s">
        <v>2089</v>
      </c>
      <c r="L101" s="8" t="s">
        <v>2093</v>
      </c>
      <c r="M101" s="10">
        <v>89900</v>
      </c>
      <c r="N101" s="64">
        <v>0.7</v>
      </c>
      <c r="O101" s="12">
        <f t="shared" si="2"/>
        <v>26970</v>
      </c>
      <c r="P101" s="6" t="s">
        <v>3499</v>
      </c>
    </row>
    <row r="102" spans="1:16" x14ac:dyDescent="0.25">
      <c r="A102" s="6" t="s">
        <v>3509</v>
      </c>
      <c r="B102" s="7">
        <v>46121</v>
      </c>
      <c r="C102" s="7">
        <v>46127</v>
      </c>
      <c r="D102" s="6">
        <v>3271</v>
      </c>
      <c r="E102" s="6">
        <v>336</v>
      </c>
      <c r="F102" s="6">
        <v>4</v>
      </c>
      <c r="G102" s="8">
        <v>6</v>
      </c>
      <c r="H102" s="8">
        <v>4953</v>
      </c>
      <c r="I102" s="8" t="s">
        <v>543</v>
      </c>
      <c r="J102" s="8">
        <v>52325787</v>
      </c>
      <c r="K102" s="8" t="s">
        <v>2094</v>
      </c>
      <c r="L102" s="8" t="s">
        <v>2095</v>
      </c>
      <c r="M102" s="10">
        <v>89900</v>
      </c>
      <c r="N102" s="64">
        <v>0.7</v>
      </c>
      <c r="O102" s="12">
        <f t="shared" si="2"/>
        <v>26970</v>
      </c>
      <c r="P102" s="6" t="s">
        <v>3499</v>
      </c>
    </row>
    <row r="103" spans="1:16" x14ac:dyDescent="0.25">
      <c r="A103" s="6" t="s">
        <v>3509</v>
      </c>
      <c r="B103" s="7">
        <v>46121</v>
      </c>
      <c r="C103" s="7">
        <v>46127</v>
      </c>
      <c r="D103" s="6">
        <v>3271</v>
      </c>
      <c r="E103" s="6">
        <v>336</v>
      </c>
      <c r="F103" s="6">
        <v>4</v>
      </c>
      <c r="G103" s="8">
        <v>6</v>
      </c>
      <c r="H103" s="8">
        <v>4953</v>
      </c>
      <c r="I103" s="8" t="s">
        <v>543</v>
      </c>
      <c r="J103" s="8">
        <v>52325796</v>
      </c>
      <c r="K103" s="8" t="s">
        <v>2094</v>
      </c>
      <c r="L103" s="8" t="s">
        <v>2096</v>
      </c>
      <c r="M103" s="10">
        <v>89900</v>
      </c>
      <c r="N103" s="64">
        <v>0.7</v>
      </c>
      <c r="O103" s="12">
        <f t="shared" si="2"/>
        <v>26970</v>
      </c>
      <c r="P103" s="6" t="s">
        <v>3499</v>
      </c>
    </row>
    <row r="104" spans="1:16" x14ac:dyDescent="0.25">
      <c r="A104" s="6" t="s">
        <v>3509</v>
      </c>
      <c r="B104" s="7">
        <v>46121</v>
      </c>
      <c r="C104" s="7">
        <v>46127</v>
      </c>
      <c r="D104" s="6">
        <v>3271</v>
      </c>
      <c r="E104" s="6">
        <v>336</v>
      </c>
      <c r="F104" s="6">
        <v>4</v>
      </c>
      <c r="G104" s="8">
        <v>6</v>
      </c>
      <c r="H104" s="8">
        <v>4953</v>
      </c>
      <c r="I104" s="8" t="s">
        <v>543</v>
      </c>
      <c r="J104" s="8">
        <v>52325803</v>
      </c>
      <c r="K104" s="8" t="s">
        <v>2094</v>
      </c>
      <c r="L104" s="8" t="s">
        <v>2097</v>
      </c>
      <c r="M104" s="10">
        <v>89900</v>
      </c>
      <c r="N104" s="64">
        <v>0.7</v>
      </c>
      <c r="O104" s="12">
        <f t="shared" si="2"/>
        <v>26970</v>
      </c>
      <c r="P104" s="6" t="s">
        <v>3499</v>
      </c>
    </row>
    <row r="105" spans="1:16" x14ac:dyDescent="0.25">
      <c r="A105" s="6" t="s">
        <v>3509</v>
      </c>
      <c r="B105" s="7">
        <v>46121</v>
      </c>
      <c r="C105" s="7">
        <v>46127</v>
      </c>
      <c r="D105" s="6">
        <v>3271</v>
      </c>
      <c r="E105" s="6">
        <v>336</v>
      </c>
      <c r="F105" s="6">
        <v>4</v>
      </c>
      <c r="G105" s="8">
        <v>6</v>
      </c>
      <c r="H105" s="8">
        <v>4953</v>
      </c>
      <c r="I105" s="8" t="s">
        <v>543</v>
      </c>
      <c r="J105" s="8">
        <v>52325812</v>
      </c>
      <c r="K105" s="8" t="s">
        <v>2094</v>
      </c>
      <c r="L105" s="8" t="s">
        <v>2098</v>
      </c>
      <c r="M105" s="10">
        <v>89900</v>
      </c>
      <c r="N105" s="64">
        <v>0.7</v>
      </c>
      <c r="O105" s="12">
        <f t="shared" si="2"/>
        <v>26970</v>
      </c>
      <c r="P105" s="6" t="s">
        <v>3499</v>
      </c>
    </row>
    <row r="106" spans="1:16" x14ac:dyDescent="0.25">
      <c r="A106" s="6" t="s">
        <v>3509</v>
      </c>
      <c r="B106" s="7">
        <v>46121</v>
      </c>
      <c r="C106" s="7">
        <v>46127</v>
      </c>
      <c r="D106" s="6">
        <v>3271</v>
      </c>
      <c r="E106" s="6">
        <v>336</v>
      </c>
      <c r="F106" s="6">
        <v>4</v>
      </c>
      <c r="G106" s="8">
        <v>6</v>
      </c>
      <c r="H106" s="8">
        <v>4953</v>
      </c>
      <c r="I106" s="8" t="s">
        <v>543</v>
      </c>
      <c r="J106" s="8">
        <v>52325821</v>
      </c>
      <c r="K106" s="8" t="s">
        <v>2099</v>
      </c>
      <c r="L106" s="8" t="s">
        <v>2100</v>
      </c>
      <c r="M106" s="10">
        <v>89900</v>
      </c>
      <c r="N106" s="64">
        <v>0.7</v>
      </c>
      <c r="O106" s="12">
        <f t="shared" si="2"/>
        <v>26970</v>
      </c>
      <c r="P106" s="6" t="s">
        <v>3499</v>
      </c>
    </row>
    <row r="107" spans="1:16" x14ac:dyDescent="0.25">
      <c r="A107" s="6" t="s">
        <v>3509</v>
      </c>
      <c r="B107" s="7">
        <v>46121</v>
      </c>
      <c r="C107" s="7">
        <v>46127</v>
      </c>
      <c r="D107" s="6">
        <v>3271</v>
      </c>
      <c r="E107" s="6">
        <v>336</v>
      </c>
      <c r="F107" s="6">
        <v>4</v>
      </c>
      <c r="G107" s="8">
        <v>6</v>
      </c>
      <c r="H107" s="8">
        <v>4953</v>
      </c>
      <c r="I107" s="8" t="s">
        <v>543</v>
      </c>
      <c r="J107" s="8">
        <v>52325830</v>
      </c>
      <c r="K107" s="8" t="s">
        <v>2099</v>
      </c>
      <c r="L107" s="8" t="s">
        <v>2101</v>
      </c>
      <c r="M107" s="10">
        <v>89900</v>
      </c>
      <c r="N107" s="64">
        <v>0.7</v>
      </c>
      <c r="O107" s="12">
        <f t="shared" si="2"/>
        <v>26970</v>
      </c>
      <c r="P107" s="6" t="s">
        <v>3499</v>
      </c>
    </row>
    <row r="108" spans="1:16" x14ac:dyDescent="0.25">
      <c r="A108" s="6" t="s">
        <v>3509</v>
      </c>
      <c r="B108" s="7">
        <v>46121</v>
      </c>
      <c r="C108" s="7">
        <v>46127</v>
      </c>
      <c r="D108" s="6">
        <v>3271</v>
      </c>
      <c r="E108" s="6">
        <v>336</v>
      </c>
      <c r="F108" s="6">
        <v>4</v>
      </c>
      <c r="G108" s="8">
        <v>6</v>
      </c>
      <c r="H108" s="8">
        <v>4953</v>
      </c>
      <c r="I108" s="8" t="s">
        <v>543</v>
      </c>
      <c r="J108" s="8">
        <v>52325849</v>
      </c>
      <c r="K108" s="8" t="s">
        <v>2099</v>
      </c>
      <c r="L108" s="8" t="s">
        <v>2102</v>
      </c>
      <c r="M108" s="10">
        <v>89900</v>
      </c>
      <c r="N108" s="64">
        <v>0.7</v>
      </c>
      <c r="O108" s="12">
        <f t="shared" si="2"/>
        <v>26970</v>
      </c>
      <c r="P108" s="6" t="s">
        <v>3499</v>
      </c>
    </row>
    <row r="109" spans="1:16" x14ac:dyDescent="0.25">
      <c r="A109" s="6" t="s">
        <v>3509</v>
      </c>
      <c r="B109" s="7">
        <v>46121</v>
      </c>
      <c r="C109" s="7">
        <v>46127</v>
      </c>
      <c r="D109" s="6">
        <v>3271</v>
      </c>
      <c r="E109" s="6">
        <v>336</v>
      </c>
      <c r="F109" s="6">
        <v>4</v>
      </c>
      <c r="G109" s="8">
        <v>6</v>
      </c>
      <c r="H109" s="8">
        <v>4953</v>
      </c>
      <c r="I109" s="8" t="s">
        <v>543</v>
      </c>
      <c r="J109" s="8">
        <v>52325858</v>
      </c>
      <c r="K109" s="8" t="s">
        <v>2099</v>
      </c>
      <c r="L109" s="8" t="s">
        <v>2103</v>
      </c>
      <c r="M109" s="10">
        <v>89900</v>
      </c>
      <c r="N109" s="64">
        <v>0.7</v>
      </c>
      <c r="O109" s="12">
        <f t="shared" si="2"/>
        <v>26970</v>
      </c>
      <c r="P109" s="6" t="s">
        <v>3499</v>
      </c>
    </row>
    <row r="110" spans="1:16" x14ac:dyDescent="0.25">
      <c r="A110" s="6" t="s">
        <v>3509</v>
      </c>
      <c r="B110" s="7">
        <v>46121</v>
      </c>
      <c r="C110" s="7">
        <v>46127</v>
      </c>
      <c r="D110" s="6">
        <v>3271</v>
      </c>
      <c r="E110" s="6">
        <v>336</v>
      </c>
      <c r="F110" s="6">
        <v>4</v>
      </c>
      <c r="G110" s="8">
        <v>6</v>
      </c>
      <c r="H110" s="8">
        <v>4953</v>
      </c>
      <c r="I110" s="8" t="s">
        <v>543</v>
      </c>
      <c r="J110" s="8">
        <v>52325867</v>
      </c>
      <c r="K110" s="8" t="s">
        <v>2104</v>
      </c>
      <c r="L110" s="8" t="s">
        <v>2105</v>
      </c>
      <c r="M110" s="10">
        <v>89900</v>
      </c>
      <c r="N110" s="64">
        <v>0.7</v>
      </c>
      <c r="O110" s="12">
        <f t="shared" si="2"/>
        <v>26970</v>
      </c>
      <c r="P110" s="6" t="s">
        <v>3499</v>
      </c>
    </row>
    <row r="111" spans="1:16" x14ac:dyDescent="0.25">
      <c r="A111" s="6" t="s">
        <v>3509</v>
      </c>
      <c r="B111" s="7">
        <v>46121</v>
      </c>
      <c r="C111" s="7">
        <v>46127</v>
      </c>
      <c r="D111" s="6">
        <v>3271</v>
      </c>
      <c r="E111" s="6">
        <v>336</v>
      </c>
      <c r="F111" s="6">
        <v>4</v>
      </c>
      <c r="G111" s="8">
        <v>6</v>
      </c>
      <c r="H111" s="8">
        <v>4953</v>
      </c>
      <c r="I111" s="8" t="s">
        <v>543</v>
      </c>
      <c r="J111" s="8">
        <v>52325876</v>
      </c>
      <c r="K111" s="8" t="s">
        <v>2104</v>
      </c>
      <c r="L111" s="8" t="s">
        <v>2106</v>
      </c>
      <c r="M111" s="10">
        <v>89900</v>
      </c>
      <c r="N111" s="64">
        <v>0.7</v>
      </c>
      <c r="O111" s="12">
        <f t="shared" si="2"/>
        <v>26970</v>
      </c>
      <c r="P111" s="6" t="s">
        <v>3499</v>
      </c>
    </row>
    <row r="112" spans="1:16" x14ac:dyDescent="0.25">
      <c r="A112" s="6" t="s">
        <v>3509</v>
      </c>
      <c r="B112" s="7">
        <v>46121</v>
      </c>
      <c r="C112" s="7">
        <v>46127</v>
      </c>
      <c r="D112" s="6">
        <v>3271</v>
      </c>
      <c r="E112" s="6">
        <v>336</v>
      </c>
      <c r="F112" s="6">
        <v>4</v>
      </c>
      <c r="G112" s="8">
        <v>6</v>
      </c>
      <c r="H112" s="8">
        <v>4953</v>
      </c>
      <c r="I112" s="8" t="s">
        <v>543</v>
      </c>
      <c r="J112" s="8">
        <v>52325885</v>
      </c>
      <c r="K112" s="8" t="s">
        <v>2104</v>
      </c>
      <c r="L112" s="8" t="s">
        <v>2107</v>
      </c>
      <c r="M112" s="10">
        <v>89900</v>
      </c>
      <c r="N112" s="64">
        <v>0.7</v>
      </c>
      <c r="O112" s="12">
        <f t="shared" si="2"/>
        <v>26970</v>
      </c>
      <c r="P112" s="6" t="s">
        <v>3499</v>
      </c>
    </row>
    <row r="113" spans="1:16" x14ac:dyDescent="0.25">
      <c r="A113" s="6" t="s">
        <v>3509</v>
      </c>
      <c r="B113" s="7">
        <v>46121</v>
      </c>
      <c r="C113" s="7">
        <v>46127</v>
      </c>
      <c r="D113" s="6">
        <v>3271</v>
      </c>
      <c r="E113" s="6">
        <v>336</v>
      </c>
      <c r="F113" s="6">
        <v>4</v>
      </c>
      <c r="G113" s="8">
        <v>6</v>
      </c>
      <c r="H113" s="8">
        <v>4953</v>
      </c>
      <c r="I113" s="8" t="s">
        <v>543</v>
      </c>
      <c r="J113" s="8">
        <v>52325894</v>
      </c>
      <c r="K113" s="8" t="s">
        <v>2104</v>
      </c>
      <c r="L113" s="8" t="s">
        <v>2108</v>
      </c>
      <c r="M113" s="10">
        <v>89900</v>
      </c>
      <c r="N113" s="64">
        <v>0.7</v>
      </c>
      <c r="O113" s="12">
        <f t="shared" si="2"/>
        <v>26970</v>
      </c>
      <c r="P113" s="6" t="s">
        <v>3499</v>
      </c>
    </row>
    <row r="114" spans="1:16" x14ac:dyDescent="0.25">
      <c r="A114" s="6" t="s">
        <v>3509</v>
      </c>
      <c r="B114" s="7">
        <v>46121</v>
      </c>
      <c r="C114" s="7">
        <v>46127</v>
      </c>
      <c r="D114" s="6">
        <v>3271</v>
      </c>
      <c r="E114" s="6">
        <v>336</v>
      </c>
      <c r="F114" s="6">
        <v>4</v>
      </c>
      <c r="G114" s="8">
        <v>6</v>
      </c>
      <c r="H114" s="8">
        <v>4953</v>
      </c>
      <c r="I114" s="8" t="s">
        <v>543</v>
      </c>
      <c r="J114" s="8">
        <v>52325901</v>
      </c>
      <c r="K114" s="8" t="s">
        <v>2109</v>
      </c>
      <c r="L114" s="8" t="s">
        <v>2110</v>
      </c>
      <c r="M114" s="10">
        <v>89900</v>
      </c>
      <c r="N114" s="64">
        <v>0.7</v>
      </c>
      <c r="O114" s="12">
        <f t="shared" si="2"/>
        <v>26970</v>
      </c>
      <c r="P114" s="6" t="s">
        <v>3499</v>
      </c>
    </row>
    <row r="115" spans="1:16" x14ac:dyDescent="0.25">
      <c r="A115" s="6" t="s">
        <v>3509</v>
      </c>
      <c r="B115" s="7">
        <v>46121</v>
      </c>
      <c r="C115" s="7">
        <v>46127</v>
      </c>
      <c r="D115" s="6">
        <v>3271</v>
      </c>
      <c r="E115" s="6">
        <v>336</v>
      </c>
      <c r="F115" s="6">
        <v>4</v>
      </c>
      <c r="G115" s="8">
        <v>6</v>
      </c>
      <c r="H115" s="8">
        <v>4953</v>
      </c>
      <c r="I115" s="8" t="s">
        <v>543</v>
      </c>
      <c r="J115" s="8">
        <v>52325910</v>
      </c>
      <c r="K115" s="8" t="s">
        <v>2109</v>
      </c>
      <c r="L115" s="8" t="s">
        <v>2111</v>
      </c>
      <c r="M115" s="10">
        <v>89900</v>
      </c>
      <c r="N115" s="64">
        <v>0.7</v>
      </c>
      <c r="O115" s="12">
        <f t="shared" si="2"/>
        <v>26970</v>
      </c>
      <c r="P115" s="6" t="s">
        <v>3499</v>
      </c>
    </row>
    <row r="116" spans="1:16" x14ac:dyDescent="0.25">
      <c r="A116" s="6" t="s">
        <v>3509</v>
      </c>
      <c r="B116" s="7">
        <v>46121</v>
      </c>
      <c r="C116" s="7">
        <v>46127</v>
      </c>
      <c r="D116" s="6">
        <v>3271</v>
      </c>
      <c r="E116" s="6">
        <v>336</v>
      </c>
      <c r="F116" s="6">
        <v>4</v>
      </c>
      <c r="G116" s="8">
        <v>6</v>
      </c>
      <c r="H116" s="8">
        <v>4953</v>
      </c>
      <c r="I116" s="8" t="s">
        <v>543</v>
      </c>
      <c r="J116" s="8">
        <v>52325929</v>
      </c>
      <c r="K116" s="8" t="s">
        <v>2109</v>
      </c>
      <c r="L116" s="8" t="s">
        <v>2112</v>
      </c>
      <c r="M116" s="10">
        <v>89900</v>
      </c>
      <c r="N116" s="64">
        <v>0.7</v>
      </c>
      <c r="O116" s="12">
        <f t="shared" si="2"/>
        <v>26970</v>
      </c>
      <c r="P116" s="6" t="s">
        <v>3499</v>
      </c>
    </row>
    <row r="117" spans="1:16" x14ac:dyDescent="0.25">
      <c r="A117" s="6" t="s">
        <v>3509</v>
      </c>
      <c r="B117" s="7">
        <v>46121</v>
      </c>
      <c r="C117" s="7">
        <v>46127</v>
      </c>
      <c r="D117" s="6">
        <v>3271</v>
      </c>
      <c r="E117" s="6">
        <v>336</v>
      </c>
      <c r="F117" s="6">
        <v>4</v>
      </c>
      <c r="G117" s="8">
        <v>6</v>
      </c>
      <c r="H117" s="8">
        <v>4953</v>
      </c>
      <c r="I117" s="8" t="s">
        <v>543</v>
      </c>
      <c r="J117" s="8">
        <v>52325938</v>
      </c>
      <c r="K117" s="8" t="s">
        <v>2109</v>
      </c>
      <c r="L117" s="8" t="s">
        <v>2113</v>
      </c>
      <c r="M117" s="10">
        <v>89900</v>
      </c>
      <c r="N117" s="64">
        <v>0.7</v>
      </c>
      <c r="O117" s="12">
        <f t="shared" si="2"/>
        <v>26970</v>
      </c>
      <c r="P117" s="6" t="s">
        <v>3499</v>
      </c>
    </row>
    <row r="118" spans="1:16" x14ac:dyDescent="0.25">
      <c r="A118" s="6" t="s">
        <v>3509</v>
      </c>
      <c r="B118" s="7">
        <v>46121</v>
      </c>
      <c r="C118" s="7">
        <v>46127</v>
      </c>
      <c r="D118" s="6">
        <v>3271</v>
      </c>
      <c r="E118" s="6">
        <v>336</v>
      </c>
      <c r="F118" s="6">
        <v>4</v>
      </c>
      <c r="G118" s="8">
        <v>6</v>
      </c>
      <c r="H118" s="8">
        <v>4953</v>
      </c>
      <c r="I118" s="8" t="s">
        <v>543</v>
      </c>
      <c r="J118" s="8">
        <v>52325947</v>
      </c>
      <c r="K118" s="8" t="s">
        <v>2114</v>
      </c>
      <c r="L118" s="8" t="s">
        <v>2115</v>
      </c>
      <c r="M118" s="10">
        <v>89900</v>
      </c>
      <c r="N118" s="64">
        <v>0.7</v>
      </c>
      <c r="O118" s="12">
        <f t="shared" si="2"/>
        <v>26970</v>
      </c>
      <c r="P118" s="6" t="s">
        <v>3499</v>
      </c>
    </row>
    <row r="119" spans="1:16" x14ac:dyDescent="0.25">
      <c r="A119" s="6" t="s">
        <v>3509</v>
      </c>
      <c r="B119" s="7">
        <v>46121</v>
      </c>
      <c r="C119" s="7">
        <v>46127</v>
      </c>
      <c r="D119" s="6">
        <v>3271</v>
      </c>
      <c r="E119" s="6">
        <v>336</v>
      </c>
      <c r="F119" s="6">
        <v>4</v>
      </c>
      <c r="G119" s="8">
        <v>6</v>
      </c>
      <c r="H119" s="8">
        <v>4953</v>
      </c>
      <c r="I119" s="8" t="s">
        <v>543</v>
      </c>
      <c r="J119" s="8">
        <v>52325956</v>
      </c>
      <c r="K119" s="8" t="s">
        <v>2114</v>
      </c>
      <c r="L119" s="8" t="s">
        <v>2116</v>
      </c>
      <c r="M119" s="10">
        <v>89900</v>
      </c>
      <c r="N119" s="64">
        <v>0.7</v>
      </c>
      <c r="O119" s="12">
        <f t="shared" si="2"/>
        <v>26970</v>
      </c>
      <c r="P119" s="6" t="s">
        <v>3499</v>
      </c>
    </row>
    <row r="120" spans="1:16" x14ac:dyDescent="0.25">
      <c r="A120" s="6" t="s">
        <v>3509</v>
      </c>
      <c r="B120" s="7">
        <v>46121</v>
      </c>
      <c r="C120" s="7">
        <v>46127</v>
      </c>
      <c r="D120" s="6">
        <v>3271</v>
      </c>
      <c r="E120" s="6">
        <v>336</v>
      </c>
      <c r="F120" s="6">
        <v>4</v>
      </c>
      <c r="G120" s="8">
        <v>6</v>
      </c>
      <c r="H120" s="8">
        <v>4953</v>
      </c>
      <c r="I120" s="8" t="s">
        <v>543</v>
      </c>
      <c r="J120" s="8">
        <v>52325965</v>
      </c>
      <c r="K120" s="8" t="s">
        <v>2114</v>
      </c>
      <c r="L120" s="8" t="s">
        <v>2117</v>
      </c>
      <c r="M120" s="10">
        <v>89900</v>
      </c>
      <c r="N120" s="64">
        <v>0.7</v>
      </c>
      <c r="O120" s="12">
        <f t="shared" si="2"/>
        <v>26970</v>
      </c>
      <c r="P120" s="6" t="s">
        <v>3499</v>
      </c>
    </row>
    <row r="121" spans="1:16" x14ac:dyDescent="0.25">
      <c r="A121" s="6" t="s">
        <v>3509</v>
      </c>
      <c r="B121" s="7">
        <v>46121</v>
      </c>
      <c r="C121" s="7">
        <v>46127</v>
      </c>
      <c r="D121" s="6">
        <v>3271</v>
      </c>
      <c r="E121" s="6">
        <v>336</v>
      </c>
      <c r="F121" s="6">
        <v>4</v>
      </c>
      <c r="G121" s="8">
        <v>6</v>
      </c>
      <c r="H121" s="8">
        <v>4953</v>
      </c>
      <c r="I121" s="8" t="s">
        <v>543</v>
      </c>
      <c r="J121" s="8">
        <v>52325974</v>
      </c>
      <c r="K121" s="8" t="s">
        <v>2114</v>
      </c>
      <c r="L121" s="8" t="s">
        <v>2118</v>
      </c>
      <c r="M121" s="10">
        <v>89900</v>
      </c>
      <c r="N121" s="64">
        <v>0.7</v>
      </c>
      <c r="O121" s="12">
        <f t="shared" si="2"/>
        <v>26970</v>
      </c>
      <c r="P121" s="6" t="s">
        <v>3499</v>
      </c>
    </row>
    <row r="122" spans="1:16" x14ac:dyDescent="0.25">
      <c r="A122" s="6" t="s">
        <v>3509</v>
      </c>
      <c r="B122" s="7">
        <v>46121</v>
      </c>
      <c r="C122" s="7">
        <v>46127</v>
      </c>
      <c r="D122" s="6">
        <v>3271</v>
      </c>
      <c r="E122" s="6">
        <v>336</v>
      </c>
      <c r="F122" s="6">
        <v>4</v>
      </c>
      <c r="G122" s="8">
        <v>6</v>
      </c>
      <c r="H122" s="8">
        <v>4953</v>
      </c>
      <c r="I122" s="8" t="s">
        <v>543</v>
      </c>
      <c r="J122" s="8">
        <v>52325983</v>
      </c>
      <c r="K122" s="8" t="s">
        <v>2119</v>
      </c>
      <c r="L122" s="8" t="s">
        <v>2120</v>
      </c>
      <c r="M122" s="10">
        <v>89900</v>
      </c>
      <c r="N122" s="64">
        <v>0.7</v>
      </c>
      <c r="O122" s="12">
        <f t="shared" si="2"/>
        <v>26970</v>
      </c>
      <c r="P122" s="6" t="s">
        <v>3499</v>
      </c>
    </row>
    <row r="123" spans="1:16" x14ac:dyDescent="0.25">
      <c r="A123" s="6" t="s">
        <v>3509</v>
      </c>
      <c r="B123" s="7">
        <v>46121</v>
      </c>
      <c r="C123" s="7">
        <v>46127</v>
      </c>
      <c r="D123" s="6">
        <v>3271</v>
      </c>
      <c r="E123" s="6">
        <v>336</v>
      </c>
      <c r="F123" s="6">
        <v>4</v>
      </c>
      <c r="G123" s="8">
        <v>6</v>
      </c>
      <c r="H123" s="8">
        <v>4953</v>
      </c>
      <c r="I123" s="8" t="s">
        <v>543</v>
      </c>
      <c r="J123" s="8">
        <v>52325992</v>
      </c>
      <c r="K123" s="8" t="s">
        <v>2119</v>
      </c>
      <c r="L123" s="8" t="s">
        <v>2121</v>
      </c>
      <c r="M123" s="10">
        <v>89900</v>
      </c>
      <c r="N123" s="64">
        <v>0.7</v>
      </c>
      <c r="O123" s="12">
        <f t="shared" si="2"/>
        <v>26970</v>
      </c>
      <c r="P123" s="6" t="s">
        <v>3499</v>
      </c>
    </row>
    <row r="124" spans="1:16" x14ac:dyDescent="0.25">
      <c r="A124" s="6" t="s">
        <v>3509</v>
      </c>
      <c r="B124" s="7">
        <v>46121</v>
      </c>
      <c r="C124" s="7">
        <v>46127</v>
      </c>
      <c r="D124" s="6">
        <v>3271</v>
      </c>
      <c r="E124" s="6">
        <v>336</v>
      </c>
      <c r="F124" s="6">
        <v>4</v>
      </c>
      <c r="G124" s="8">
        <v>6</v>
      </c>
      <c r="H124" s="8">
        <v>4953</v>
      </c>
      <c r="I124" s="8" t="s">
        <v>543</v>
      </c>
      <c r="J124" s="8">
        <v>52326008</v>
      </c>
      <c r="K124" s="8" t="s">
        <v>2119</v>
      </c>
      <c r="L124" s="8" t="s">
        <v>2122</v>
      </c>
      <c r="M124" s="10">
        <v>89900</v>
      </c>
      <c r="N124" s="64">
        <v>0.7</v>
      </c>
      <c r="O124" s="12">
        <f t="shared" si="2"/>
        <v>26970</v>
      </c>
      <c r="P124" s="6" t="s">
        <v>3499</v>
      </c>
    </row>
    <row r="125" spans="1:16" x14ac:dyDescent="0.25">
      <c r="A125" s="6" t="s">
        <v>3509</v>
      </c>
      <c r="B125" s="7">
        <v>46121</v>
      </c>
      <c r="C125" s="7">
        <v>46127</v>
      </c>
      <c r="D125" s="6">
        <v>3271</v>
      </c>
      <c r="E125" s="6">
        <v>336</v>
      </c>
      <c r="F125" s="6">
        <v>4</v>
      </c>
      <c r="G125" s="8">
        <v>6</v>
      </c>
      <c r="H125" s="8">
        <v>4953</v>
      </c>
      <c r="I125" s="8" t="s">
        <v>543</v>
      </c>
      <c r="J125" s="8">
        <v>52326017</v>
      </c>
      <c r="K125" s="8" t="s">
        <v>2119</v>
      </c>
      <c r="L125" s="8" t="s">
        <v>2123</v>
      </c>
      <c r="M125" s="10">
        <v>89900</v>
      </c>
      <c r="N125" s="64">
        <v>0.7</v>
      </c>
      <c r="O125" s="12">
        <f t="shared" si="2"/>
        <v>26970</v>
      </c>
      <c r="P125" s="6" t="s">
        <v>3499</v>
      </c>
    </row>
    <row r="126" spans="1:16" x14ac:dyDescent="0.25">
      <c r="A126" s="6" t="s">
        <v>3509</v>
      </c>
      <c r="B126" s="7">
        <v>46121</v>
      </c>
      <c r="C126" s="7">
        <v>46127</v>
      </c>
      <c r="D126" s="6">
        <v>3271</v>
      </c>
      <c r="E126" s="6">
        <v>336</v>
      </c>
      <c r="F126" s="6">
        <v>4</v>
      </c>
      <c r="G126" s="8">
        <v>6</v>
      </c>
      <c r="H126" s="8">
        <v>4953</v>
      </c>
      <c r="I126" s="8" t="s">
        <v>543</v>
      </c>
      <c r="J126" s="8">
        <v>52326026</v>
      </c>
      <c r="K126" s="8" t="s">
        <v>2124</v>
      </c>
      <c r="L126" s="8" t="s">
        <v>2125</v>
      </c>
      <c r="M126" s="10">
        <v>89900</v>
      </c>
      <c r="N126" s="64">
        <v>0.7</v>
      </c>
      <c r="O126" s="12">
        <f t="shared" si="2"/>
        <v>26970</v>
      </c>
      <c r="P126" s="6" t="s">
        <v>3499</v>
      </c>
    </row>
    <row r="127" spans="1:16" x14ac:dyDescent="0.25">
      <c r="A127" s="6" t="s">
        <v>3509</v>
      </c>
      <c r="B127" s="7">
        <v>46121</v>
      </c>
      <c r="C127" s="7">
        <v>46127</v>
      </c>
      <c r="D127" s="6">
        <v>3271</v>
      </c>
      <c r="E127" s="6">
        <v>336</v>
      </c>
      <c r="F127" s="6">
        <v>4</v>
      </c>
      <c r="G127" s="8">
        <v>6</v>
      </c>
      <c r="H127" s="8">
        <v>4953</v>
      </c>
      <c r="I127" s="8" t="s">
        <v>543</v>
      </c>
      <c r="J127" s="8">
        <v>52326035</v>
      </c>
      <c r="K127" s="8" t="s">
        <v>2124</v>
      </c>
      <c r="L127" s="8" t="s">
        <v>2126</v>
      </c>
      <c r="M127" s="10">
        <v>89900</v>
      </c>
      <c r="N127" s="64">
        <v>0.7</v>
      </c>
      <c r="O127" s="12">
        <f t="shared" si="2"/>
        <v>26970</v>
      </c>
      <c r="P127" s="6" t="s">
        <v>3499</v>
      </c>
    </row>
    <row r="128" spans="1:16" x14ac:dyDescent="0.25">
      <c r="A128" s="6" t="s">
        <v>3509</v>
      </c>
      <c r="B128" s="7">
        <v>46121</v>
      </c>
      <c r="C128" s="7">
        <v>46127</v>
      </c>
      <c r="D128" s="6">
        <v>3271</v>
      </c>
      <c r="E128" s="6">
        <v>336</v>
      </c>
      <c r="F128" s="6">
        <v>4</v>
      </c>
      <c r="G128" s="8">
        <v>6</v>
      </c>
      <c r="H128" s="8">
        <v>4953</v>
      </c>
      <c r="I128" s="8" t="s">
        <v>543</v>
      </c>
      <c r="J128" s="8">
        <v>52326044</v>
      </c>
      <c r="K128" s="8" t="s">
        <v>2124</v>
      </c>
      <c r="L128" s="8" t="s">
        <v>2127</v>
      </c>
      <c r="M128" s="10">
        <v>89900</v>
      </c>
      <c r="N128" s="64">
        <v>0.7</v>
      </c>
      <c r="O128" s="12">
        <f t="shared" si="2"/>
        <v>26970</v>
      </c>
      <c r="P128" s="6" t="s">
        <v>3499</v>
      </c>
    </row>
    <row r="129" spans="1:16" x14ac:dyDescent="0.25">
      <c r="A129" s="6" t="s">
        <v>3509</v>
      </c>
      <c r="B129" s="7">
        <v>46121</v>
      </c>
      <c r="C129" s="7">
        <v>46127</v>
      </c>
      <c r="D129" s="6">
        <v>3271</v>
      </c>
      <c r="E129" s="6">
        <v>336</v>
      </c>
      <c r="F129" s="6">
        <v>4</v>
      </c>
      <c r="G129" s="8">
        <v>6</v>
      </c>
      <c r="H129" s="8">
        <v>4953</v>
      </c>
      <c r="I129" s="8" t="s">
        <v>543</v>
      </c>
      <c r="J129" s="8">
        <v>52326053</v>
      </c>
      <c r="K129" s="8" t="s">
        <v>2124</v>
      </c>
      <c r="L129" s="8" t="s">
        <v>2128</v>
      </c>
      <c r="M129" s="10">
        <v>89900</v>
      </c>
      <c r="N129" s="64">
        <v>0.7</v>
      </c>
      <c r="O129" s="12">
        <f t="shared" si="2"/>
        <v>26970</v>
      </c>
      <c r="P129" s="6" t="s">
        <v>3499</v>
      </c>
    </row>
    <row r="130" spans="1:16" x14ac:dyDescent="0.25">
      <c r="A130" s="6" t="s">
        <v>3509</v>
      </c>
      <c r="B130" s="7">
        <v>46121</v>
      </c>
      <c r="C130" s="7">
        <v>46127</v>
      </c>
      <c r="D130" s="6">
        <v>3271</v>
      </c>
      <c r="E130" s="6">
        <v>336</v>
      </c>
      <c r="F130" s="6">
        <v>4</v>
      </c>
      <c r="G130" s="8">
        <v>6</v>
      </c>
      <c r="H130" s="8">
        <v>4953</v>
      </c>
      <c r="I130" s="8" t="s">
        <v>543</v>
      </c>
      <c r="J130" s="8">
        <v>52326062</v>
      </c>
      <c r="K130" s="8" t="s">
        <v>2129</v>
      </c>
      <c r="L130" s="8" t="s">
        <v>2130</v>
      </c>
      <c r="M130" s="10">
        <v>89900</v>
      </c>
      <c r="N130" s="64">
        <v>0.7</v>
      </c>
      <c r="O130" s="12">
        <f t="shared" si="2"/>
        <v>26970</v>
      </c>
      <c r="P130" s="6" t="s">
        <v>3499</v>
      </c>
    </row>
    <row r="131" spans="1:16" x14ac:dyDescent="0.25">
      <c r="A131" s="6" t="s">
        <v>3509</v>
      </c>
      <c r="B131" s="7">
        <v>46121</v>
      </c>
      <c r="C131" s="7">
        <v>46127</v>
      </c>
      <c r="D131" s="6">
        <v>3271</v>
      </c>
      <c r="E131" s="6">
        <v>336</v>
      </c>
      <c r="F131" s="6">
        <v>4</v>
      </c>
      <c r="G131" s="8">
        <v>6</v>
      </c>
      <c r="H131" s="8">
        <v>4953</v>
      </c>
      <c r="I131" s="8" t="s">
        <v>543</v>
      </c>
      <c r="J131" s="8">
        <v>52326071</v>
      </c>
      <c r="K131" s="8" t="s">
        <v>2129</v>
      </c>
      <c r="L131" s="8" t="s">
        <v>2131</v>
      </c>
      <c r="M131" s="10">
        <v>89900</v>
      </c>
      <c r="N131" s="64">
        <v>0.7</v>
      </c>
      <c r="O131" s="12">
        <f t="shared" ref="O131:O194" si="3">M131-((70*M131)/100)</f>
        <v>26970</v>
      </c>
      <c r="P131" s="6" t="s">
        <v>3499</v>
      </c>
    </row>
    <row r="132" spans="1:16" x14ac:dyDescent="0.25">
      <c r="A132" s="6" t="s">
        <v>3509</v>
      </c>
      <c r="B132" s="7">
        <v>46121</v>
      </c>
      <c r="C132" s="7">
        <v>46127</v>
      </c>
      <c r="D132" s="6">
        <v>3271</v>
      </c>
      <c r="E132" s="6">
        <v>336</v>
      </c>
      <c r="F132" s="6">
        <v>4</v>
      </c>
      <c r="G132" s="8">
        <v>6</v>
      </c>
      <c r="H132" s="8">
        <v>4953</v>
      </c>
      <c r="I132" s="8" t="s">
        <v>543</v>
      </c>
      <c r="J132" s="8">
        <v>52326080</v>
      </c>
      <c r="K132" s="8" t="s">
        <v>2129</v>
      </c>
      <c r="L132" s="8" t="s">
        <v>2132</v>
      </c>
      <c r="M132" s="10">
        <v>89900</v>
      </c>
      <c r="N132" s="64">
        <v>0.7</v>
      </c>
      <c r="O132" s="12">
        <f t="shared" si="3"/>
        <v>26970</v>
      </c>
      <c r="P132" s="6" t="s">
        <v>3499</v>
      </c>
    </row>
    <row r="133" spans="1:16" x14ac:dyDescent="0.25">
      <c r="A133" s="6" t="s">
        <v>3509</v>
      </c>
      <c r="B133" s="7">
        <v>46121</v>
      </c>
      <c r="C133" s="7">
        <v>46127</v>
      </c>
      <c r="D133" s="6">
        <v>3271</v>
      </c>
      <c r="E133" s="6">
        <v>336</v>
      </c>
      <c r="F133" s="6">
        <v>4</v>
      </c>
      <c r="G133" s="8">
        <v>6</v>
      </c>
      <c r="H133" s="8">
        <v>4953</v>
      </c>
      <c r="I133" s="8" t="s">
        <v>543</v>
      </c>
      <c r="J133" s="8">
        <v>52326099</v>
      </c>
      <c r="K133" s="8" t="s">
        <v>2129</v>
      </c>
      <c r="L133" s="8" t="s">
        <v>2133</v>
      </c>
      <c r="M133" s="10">
        <v>89900</v>
      </c>
      <c r="N133" s="64">
        <v>0.7</v>
      </c>
      <c r="O133" s="12">
        <f t="shared" si="3"/>
        <v>26970</v>
      </c>
      <c r="P133" s="6" t="s">
        <v>3499</v>
      </c>
    </row>
    <row r="134" spans="1:16" x14ac:dyDescent="0.25">
      <c r="A134" s="6" t="s">
        <v>3509</v>
      </c>
      <c r="B134" s="7">
        <v>46121</v>
      </c>
      <c r="C134" s="7">
        <v>46127</v>
      </c>
      <c r="D134" s="6">
        <v>3271</v>
      </c>
      <c r="E134" s="6">
        <v>336</v>
      </c>
      <c r="F134" s="6">
        <v>4</v>
      </c>
      <c r="G134" s="8">
        <v>6</v>
      </c>
      <c r="H134" s="8">
        <v>4953</v>
      </c>
      <c r="I134" s="8" t="s">
        <v>543</v>
      </c>
      <c r="J134" s="8">
        <v>52326106</v>
      </c>
      <c r="K134" s="8" t="s">
        <v>2134</v>
      </c>
      <c r="L134" s="8" t="s">
        <v>2135</v>
      </c>
      <c r="M134" s="10">
        <v>89900</v>
      </c>
      <c r="N134" s="64">
        <v>0.7</v>
      </c>
      <c r="O134" s="12">
        <f t="shared" si="3"/>
        <v>26970</v>
      </c>
      <c r="P134" s="6" t="s">
        <v>3499</v>
      </c>
    </row>
    <row r="135" spans="1:16" x14ac:dyDescent="0.25">
      <c r="A135" s="6" t="s">
        <v>3509</v>
      </c>
      <c r="B135" s="7">
        <v>46121</v>
      </c>
      <c r="C135" s="7">
        <v>46127</v>
      </c>
      <c r="D135" s="6">
        <v>3271</v>
      </c>
      <c r="E135" s="6">
        <v>336</v>
      </c>
      <c r="F135" s="6">
        <v>4</v>
      </c>
      <c r="G135" s="8">
        <v>6</v>
      </c>
      <c r="H135" s="8">
        <v>4953</v>
      </c>
      <c r="I135" s="8" t="s">
        <v>543</v>
      </c>
      <c r="J135" s="8">
        <v>52326115</v>
      </c>
      <c r="K135" s="8" t="s">
        <v>2134</v>
      </c>
      <c r="L135" s="8" t="s">
        <v>2136</v>
      </c>
      <c r="M135" s="10">
        <v>89900</v>
      </c>
      <c r="N135" s="64">
        <v>0.7</v>
      </c>
      <c r="O135" s="12">
        <f t="shared" si="3"/>
        <v>26970</v>
      </c>
      <c r="P135" s="6" t="s">
        <v>3499</v>
      </c>
    </row>
    <row r="136" spans="1:16" x14ac:dyDescent="0.25">
      <c r="A136" s="6" t="s">
        <v>3509</v>
      </c>
      <c r="B136" s="7">
        <v>46121</v>
      </c>
      <c r="C136" s="7">
        <v>46127</v>
      </c>
      <c r="D136" s="6">
        <v>3271</v>
      </c>
      <c r="E136" s="6">
        <v>336</v>
      </c>
      <c r="F136" s="6">
        <v>4</v>
      </c>
      <c r="G136" s="8">
        <v>6</v>
      </c>
      <c r="H136" s="8">
        <v>4953</v>
      </c>
      <c r="I136" s="8" t="s">
        <v>543</v>
      </c>
      <c r="J136" s="8">
        <v>52326124</v>
      </c>
      <c r="K136" s="8" t="s">
        <v>2134</v>
      </c>
      <c r="L136" s="8" t="s">
        <v>2137</v>
      </c>
      <c r="M136" s="10">
        <v>89900</v>
      </c>
      <c r="N136" s="64">
        <v>0.7</v>
      </c>
      <c r="O136" s="12">
        <f t="shared" si="3"/>
        <v>26970</v>
      </c>
      <c r="P136" s="6" t="s">
        <v>3499</v>
      </c>
    </row>
    <row r="137" spans="1:16" x14ac:dyDescent="0.25">
      <c r="A137" s="6" t="s">
        <v>3509</v>
      </c>
      <c r="B137" s="7">
        <v>46121</v>
      </c>
      <c r="C137" s="7">
        <v>46127</v>
      </c>
      <c r="D137" s="6">
        <v>3271</v>
      </c>
      <c r="E137" s="6">
        <v>336</v>
      </c>
      <c r="F137" s="6">
        <v>4</v>
      </c>
      <c r="G137" s="8">
        <v>6</v>
      </c>
      <c r="H137" s="8">
        <v>4953</v>
      </c>
      <c r="I137" s="8" t="s">
        <v>543</v>
      </c>
      <c r="J137" s="8">
        <v>52326133</v>
      </c>
      <c r="K137" s="8" t="s">
        <v>2134</v>
      </c>
      <c r="L137" s="8" t="s">
        <v>2138</v>
      </c>
      <c r="M137" s="10">
        <v>89900</v>
      </c>
      <c r="N137" s="64">
        <v>0.7</v>
      </c>
      <c r="O137" s="12">
        <f t="shared" si="3"/>
        <v>26970</v>
      </c>
      <c r="P137" s="6" t="s">
        <v>3499</v>
      </c>
    </row>
    <row r="138" spans="1:16" x14ac:dyDescent="0.25">
      <c r="A138" s="6" t="s">
        <v>3509</v>
      </c>
      <c r="B138" s="7">
        <v>46121</v>
      </c>
      <c r="C138" s="7">
        <v>46127</v>
      </c>
      <c r="D138" s="6">
        <v>3271</v>
      </c>
      <c r="E138" s="6">
        <v>336</v>
      </c>
      <c r="F138" s="6">
        <v>4</v>
      </c>
      <c r="G138" s="8">
        <v>6</v>
      </c>
      <c r="H138" s="8">
        <v>4953</v>
      </c>
      <c r="I138" s="8" t="s">
        <v>543</v>
      </c>
      <c r="J138" s="8">
        <v>52326142</v>
      </c>
      <c r="K138" s="8" t="s">
        <v>2139</v>
      </c>
      <c r="L138" s="8" t="s">
        <v>2140</v>
      </c>
      <c r="M138" s="10">
        <v>89900</v>
      </c>
      <c r="N138" s="64">
        <v>0.7</v>
      </c>
      <c r="O138" s="12">
        <f t="shared" si="3"/>
        <v>26970</v>
      </c>
      <c r="P138" s="6" t="s">
        <v>3499</v>
      </c>
    </row>
    <row r="139" spans="1:16" x14ac:dyDescent="0.25">
      <c r="A139" s="6" t="s">
        <v>3509</v>
      </c>
      <c r="B139" s="7">
        <v>46121</v>
      </c>
      <c r="C139" s="7">
        <v>46127</v>
      </c>
      <c r="D139" s="6">
        <v>3271</v>
      </c>
      <c r="E139" s="6">
        <v>336</v>
      </c>
      <c r="F139" s="6">
        <v>4</v>
      </c>
      <c r="G139" s="8">
        <v>6</v>
      </c>
      <c r="H139" s="8">
        <v>4953</v>
      </c>
      <c r="I139" s="8" t="s">
        <v>543</v>
      </c>
      <c r="J139" s="8">
        <v>52326151</v>
      </c>
      <c r="K139" s="8" t="s">
        <v>2139</v>
      </c>
      <c r="L139" s="8" t="s">
        <v>2141</v>
      </c>
      <c r="M139" s="10">
        <v>89900</v>
      </c>
      <c r="N139" s="64">
        <v>0.7</v>
      </c>
      <c r="O139" s="12">
        <f t="shared" si="3"/>
        <v>26970</v>
      </c>
      <c r="P139" s="6" t="s">
        <v>3499</v>
      </c>
    </row>
    <row r="140" spans="1:16" x14ac:dyDescent="0.25">
      <c r="A140" s="6" t="s">
        <v>3509</v>
      </c>
      <c r="B140" s="7">
        <v>46121</v>
      </c>
      <c r="C140" s="7">
        <v>46127</v>
      </c>
      <c r="D140" s="6">
        <v>3271</v>
      </c>
      <c r="E140" s="6">
        <v>336</v>
      </c>
      <c r="F140" s="6">
        <v>4</v>
      </c>
      <c r="G140" s="8">
        <v>6</v>
      </c>
      <c r="H140" s="8">
        <v>4953</v>
      </c>
      <c r="I140" s="8" t="s">
        <v>543</v>
      </c>
      <c r="J140" s="8">
        <v>52326160</v>
      </c>
      <c r="K140" s="8" t="s">
        <v>2139</v>
      </c>
      <c r="L140" s="8" t="s">
        <v>2142</v>
      </c>
      <c r="M140" s="10">
        <v>89900</v>
      </c>
      <c r="N140" s="64">
        <v>0.7</v>
      </c>
      <c r="O140" s="12">
        <f t="shared" si="3"/>
        <v>26970</v>
      </c>
      <c r="P140" s="6" t="s">
        <v>3499</v>
      </c>
    </row>
    <row r="141" spans="1:16" x14ac:dyDescent="0.25">
      <c r="A141" s="6" t="s">
        <v>3509</v>
      </c>
      <c r="B141" s="7">
        <v>46121</v>
      </c>
      <c r="C141" s="7">
        <v>46127</v>
      </c>
      <c r="D141" s="6">
        <v>3271</v>
      </c>
      <c r="E141" s="6">
        <v>336</v>
      </c>
      <c r="F141" s="6">
        <v>4</v>
      </c>
      <c r="G141" s="8">
        <v>6</v>
      </c>
      <c r="H141" s="8">
        <v>4953</v>
      </c>
      <c r="I141" s="8" t="s">
        <v>543</v>
      </c>
      <c r="J141" s="8">
        <v>52326179</v>
      </c>
      <c r="K141" s="8" t="s">
        <v>2139</v>
      </c>
      <c r="L141" s="8" t="s">
        <v>2143</v>
      </c>
      <c r="M141" s="10">
        <v>89900</v>
      </c>
      <c r="N141" s="64">
        <v>0.7</v>
      </c>
      <c r="O141" s="12">
        <f t="shared" si="3"/>
        <v>26970</v>
      </c>
      <c r="P141" s="6" t="s">
        <v>3499</v>
      </c>
    </row>
    <row r="142" spans="1:16" x14ac:dyDescent="0.25">
      <c r="A142" s="6" t="s">
        <v>3509</v>
      </c>
      <c r="B142" s="7">
        <v>46121</v>
      </c>
      <c r="C142" s="7">
        <v>46127</v>
      </c>
      <c r="D142" s="6">
        <v>3271</v>
      </c>
      <c r="E142" s="6">
        <v>336</v>
      </c>
      <c r="F142" s="6">
        <v>4</v>
      </c>
      <c r="G142" s="8">
        <v>6</v>
      </c>
      <c r="H142" s="8">
        <v>81305</v>
      </c>
      <c r="I142" s="8" t="s">
        <v>543</v>
      </c>
      <c r="J142" s="8">
        <v>52326302</v>
      </c>
      <c r="K142" s="8" t="s">
        <v>2144</v>
      </c>
      <c r="L142" s="8" t="s">
        <v>2145</v>
      </c>
      <c r="M142" s="10">
        <v>89900</v>
      </c>
      <c r="N142" s="64">
        <v>0.7</v>
      </c>
      <c r="O142" s="12">
        <f t="shared" si="3"/>
        <v>26970</v>
      </c>
      <c r="P142" s="6" t="s">
        <v>3499</v>
      </c>
    </row>
    <row r="143" spans="1:16" x14ac:dyDescent="0.25">
      <c r="A143" s="6" t="s">
        <v>3509</v>
      </c>
      <c r="B143" s="7">
        <v>46121</v>
      </c>
      <c r="C143" s="7">
        <v>46127</v>
      </c>
      <c r="D143" s="6">
        <v>3271</v>
      </c>
      <c r="E143" s="6">
        <v>336</v>
      </c>
      <c r="F143" s="6">
        <v>4</v>
      </c>
      <c r="G143" s="8">
        <v>6</v>
      </c>
      <c r="H143" s="8">
        <v>81305</v>
      </c>
      <c r="I143" s="8" t="s">
        <v>543</v>
      </c>
      <c r="J143" s="8">
        <v>52326311</v>
      </c>
      <c r="K143" s="8" t="s">
        <v>2144</v>
      </c>
      <c r="L143" s="8" t="s">
        <v>2146</v>
      </c>
      <c r="M143" s="10">
        <v>89900</v>
      </c>
      <c r="N143" s="64">
        <v>0.7</v>
      </c>
      <c r="O143" s="12">
        <f t="shared" si="3"/>
        <v>26970</v>
      </c>
      <c r="P143" s="6" t="s">
        <v>3499</v>
      </c>
    </row>
    <row r="144" spans="1:16" x14ac:dyDescent="0.25">
      <c r="A144" s="6" t="s">
        <v>3509</v>
      </c>
      <c r="B144" s="7">
        <v>46121</v>
      </c>
      <c r="C144" s="7">
        <v>46127</v>
      </c>
      <c r="D144" s="6">
        <v>3271</v>
      </c>
      <c r="E144" s="6">
        <v>336</v>
      </c>
      <c r="F144" s="6">
        <v>4</v>
      </c>
      <c r="G144" s="8">
        <v>6</v>
      </c>
      <c r="H144" s="8">
        <v>81305</v>
      </c>
      <c r="I144" s="8" t="s">
        <v>543</v>
      </c>
      <c r="J144" s="8">
        <v>52326320</v>
      </c>
      <c r="K144" s="8" t="s">
        <v>2144</v>
      </c>
      <c r="L144" s="8" t="s">
        <v>2147</v>
      </c>
      <c r="M144" s="10">
        <v>89900</v>
      </c>
      <c r="N144" s="64">
        <v>0.7</v>
      </c>
      <c r="O144" s="12">
        <f t="shared" si="3"/>
        <v>26970</v>
      </c>
      <c r="P144" s="6" t="s">
        <v>3499</v>
      </c>
    </row>
    <row r="145" spans="1:16" x14ac:dyDescent="0.25">
      <c r="A145" s="6" t="s">
        <v>3509</v>
      </c>
      <c r="B145" s="7">
        <v>46121</v>
      </c>
      <c r="C145" s="7">
        <v>46127</v>
      </c>
      <c r="D145" s="6">
        <v>3271</v>
      </c>
      <c r="E145" s="6">
        <v>336</v>
      </c>
      <c r="F145" s="6">
        <v>4</v>
      </c>
      <c r="G145" s="8">
        <v>6</v>
      </c>
      <c r="H145" s="8">
        <v>81305</v>
      </c>
      <c r="I145" s="8" t="s">
        <v>543</v>
      </c>
      <c r="J145" s="8">
        <v>52326339</v>
      </c>
      <c r="K145" s="8" t="s">
        <v>2144</v>
      </c>
      <c r="L145" s="8" t="s">
        <v>2148</v>
      </c>
      <c r="M145" s="10">
        <v>89900</v>
      </c>
      <c r="N145" s="64">
        <v>0.7</v>
      </c>
      <c r="O145" s="12">
        <f t="shared" si="3"/>
        <v>26970</v>
      </c>
      <c r="P145" s="6" t="s">
        <v>3499</v>
      </c>
    </row>
    <row r="146" spans="1:16" x14ac:dyDescent="0.25">
      <c r="A146" s="6" t="s">
        <v>3509</v>
      </c>
      <c r="B146" s="7">
        <v>46121</v>
      </c>
      <c r="C146" s="7">
        <v>46127</v>
      </c>
      <c r="D146" s="6">
        <v>3271</v>
      </c>
      <c r="E146" s="6">
        <v>336</v>
      </c>
      <c r="F146" s="6">
        <v>4</v>
      </c>
      <c r="G146" s="8">
        <v>6</v>
      </c>
      <c r="H146" s="8">
        <v>4953</v>
      </c>
      <c r="I146" s="8" t="s">
        <v>543</v>
      </c>
      <c r="J146" s="8">
        <v>52476767</v>
      </c>
      <c r="K146" s="8" t="s">
        <v>2149</v>
      </c>
      <c r="L146" s="8" t="s">
        <v>2150</v>
      </c>
      <c r="M146" s="44">
        <v>79900</v>
      </c>
      <c r="N146" s="64">
        <v>0.7</v>
      </c>
      <c r="O146" s="12">
        <f t="shared" si="3"/>
        <v>23970</v>
      </c>
      <c r="P146" s="6" t="s">
        <v>3499</v>
      </c>
    </row>
    <row r="147" spans="1:16" x14ac:dyDescent="0.25">
      <c r="A147" s="6" t="s">
        <v>3509</v>
      </c>
      <c r="B147" s="7">
        <v>46121</v>
      </c>
      <c r="C147" s="7">
        <v>46127</v>
      </c>
      <c r="D147" s="6">
        <v>3271</v>
      </c>
      <c r="E147" s="6">
        <v>336</v>
      </c>
      <c r="F147" s="6">
        <v>4</v>
      </c>
      <c r="G147" s="8">
        <v>6</v>
      </c>
      <c r="H147" s="8">
        <v>4953</v>
      </c>
      <c r="I147" s="8" t="s">
        <v>543</v>
      </c>
      <c r="J147" s="8">
        <v>52476776</v>
      </c>
      <c r="K147" s="8" t="s">
        <v>2149</v>
      </c>
      <c r="L147" s="8" t="s">
        <v>2151</v>
      </c>
      <c r="M147" s="44">
        <v>79900</v>
      </c>
      <c r="N147" s="64">
        <v>0.7</v>
      </c>
      <c r="O147" s="12">
        <f t="shared" si="3"/>
        <v>23970</v>
      </c>
      <c r="P147" s="6" t="s">
        <v>3499</v>
      </c>
    </row>
    <row r="148" spans="1:16" x14ac:dyDescent="0.25">
      <c r="A148" s="6" t="s">
        <v>3509</v>
      </c>
      <c r="B148" s="7">
        <v>46121</v>
      </c>
      <c r="C148" s="7">
        <v>46127</v>
      </c>
      <c r="D148" s="6">
        <v>3271</v>
      </c>
      <c r="E148" s="6">
        <v>336</v>
      </c>
      <c r="F148" s="6">
        <v>4</v>
      </c>
      <c r="G148" s="8">
        <v>6</v>
      </c>
      <c r="H148" s="8">
        <v>4953</v>
      </c>
      <c r="I148" s="8" t="s">
        <v>543</v>
      </c>
      <c r="J148" s="8">
        <v>52476785</v>
      </c>
      <c r="K148" s="8" t="s">
        <v>2149</v>
      </c>
      <c r="L148" s="8" t="s">
        <v>2152</v>
      </c>
      <c r="M148" s="44">
        <v>79900</v>
      </c>
      <c r="N148" s="64">
        <v>0.7</v>
      </c>
      <c r="O148" s="12">
        <f t="shared" si="3"/>
        <v>23970</v>
      </c>
      <c r="P148" s="6" t="s">
        <v>3499</v>
      </c>
    </row>
    <row r="149" spans="1:16" x14ac:dyDescent="0.25">
      <c r="A149" s="6" t="s">
        <v>3509</v>
      </c>
      <c r="B149" s="7">
        <v>46121</v>
      </c>
      <c r="C149" s="7">
        <v>46127</v>
      </c>
      <c r="D149" s="6">
        <v>3271</v>
      </c>
      <c r="E149" s="6">
        <v>336</v>
      </c>
      <c r="F149" s="6">
        <v>4</v>
      </c>
      <c r="G149" s="8">
        <v>6</v>
      </c>
      <c r="H149" s="8">
        <v>4953</v>
      </c>
      <c r="I149" s="8" t="s">
        <v>543</v>
      </c>
      <c r="J149" s="8">
        <v>52476794</v>
      </c>
      <c r="K149" s="8" t="s">
        <v>2149</v>
      </c>
      <c r="L149" s="8" t="s">
        <v>2153</v>
      </c>
      <c r="M149" s="44">
        <v>79900</v>
      </c>
      <c r="N149" s="64">
        <v>0.7</v>
      </c>
      <c r="O149" s="12">
        <f t="shared" si="3"/>
        <v>23970</v>
      </c>
      <c r="P149" s="6" t="s">
        <v>3499</v>
      </c>
    </row>
    <row r="150" spans="1:16" x14ac:dyDescent="0.25">
      <c r="A150" s="6" t="s">
        <v>3509</v>
      </c>
      <c r="B150" s="7">
        <v>46121</v>
      </c>
      <c r="C150" s="7">
        <v>46127</v>
      </c>
      <c r="D150" s="6">
        <v>3271</v>
      </c>
      <c r="E150" s="6">
        <v>336</v>
      </c>
      <c r="F150" s="6">
        <v>4</v>
      </c>
      <c r="G150" s="8">
        <v>6</v>
      </c>
      <c r="H150" s="8">
        <v>4953</v>
      </c>
      <c r="I150" s="8" t="s">
        <v>543</v>
      </c>
      <c r="J150" s="8">
        <v>52476801</v>
      </c>
      <c r="K150" s="8" t="s">
        <v>2154</v>
      </c>
      <c r="L150" s="8" t="s">
        <v>2155</v>
      </c>
      <c r="M150" s="44">
        <v>79900</v>
      </c>
      <c r="N150" s="64">
        <v>0.7</v>
      </c>
      <c r="O150" s="12">
        <f t="shared" si="3"/>
        <v>23970</v>
      </c>
      <c r="P150" s="6" t="s">
        <v>3499</v>
      </c>
    </row>
    <row r="151" spans="1:16" x14ac:dyDescent="0.25">
      <c r="A151" s="6" t="s">
        <v>3509</v>
      </c>
      <c r="B151" s="7">
        <v>46121</v>
      </c>
      <c r="C151" s="7">
        <v>46127</v>
      </c>
      <c r="D151" s="6">
        <v>3271</v>
      </c>
      <c r="E151" s="6">
        <v>336</v>
      </c>
      <c r="F151" s="6">
        <v>4</v>
      </c>
      <c r="G151" s="8">
        <v>6</v>
      </c>
      <c r="H151" s="8">
        <v>4953</v>
      </c>
      <c r="I151" s="8" t="s">
        <v>543</v>
      </c>
      <c r="J151" s="8">
        <v>52476810</v>
      </c>
      <c r="K151" s="8" t="s">
        <v>2154</v>
      </c>
      <c r="L151" s="8" t="s">
        <v>2156</v>
      </c>
      <c r="M151" s="44">
        <v>79900</v>
      </c>
      <c r="N151" s="64">
        <v>0.7</v>
      </c>
      <c r="O151" s="12">
        <f t="shared" si="3"/>
        <v>23970</v>
      </c>
      <c r="P151" s="6" t="s">
        <v>3499</v>
      </c>
    </row>
    <row r="152" spans="1:16" x14ac:dyDescent="0.25">
      <c r="A152" s="6" t="s">
        <v>3509</v>
      </c>
      <c r="B152" s="7">
        <v>46121</v>
      </c>
      <c r="C152" s="7">
        <v>46127</v>
      </c>
      <c r="D152" s="6">
        <v>3271</v>
      </c>
      <c r="E152" s="6">
        <v>336</v>
      </c>
      <c r="F152" s="6">
        <v>4</v>
      </c>
      <c r="G152" s="8">
        <v>6</v>
      </c>
      <c r="H152" s="8">
        <v>4953</v>
      </c>
      <c r="I152" s="8" t="s">
        <v>543</v>
      </c>
      <c r="J152" s="8">
        <v>52476829</v>
      </c>
      <c r="K152" s="8" t="s">
        <v>2154</v>
      </c>
      <c r="L152" s="8" t="s">
        <v>2157</v>
      </c>
      <c r="M152" s="44">
        <v>79900</v>
      </c>
      <c r="N152" s="64">
        <v>0.7</v>
      </c>
      <c r="O152" s="12">
        <f t="shared" si="3"/>
        <v>23970</v>
      </c>
      <c r="P152" s="6" t="s">
        <v>3499</v>
      </c>
    </row>
    <row r="153" spans="1:16" x14ac:dyDescent="0.25">
      <c r="A153" s="6" t="s">
        <v>3509</v>
      </c>
      <c r="B153" s="7">
        <v>46121</v>
      </c>
      <c r="C153" s="7">
        <v>46127</v>
      </c>
      <c r="D153" s="6">
        <v>3271</v>
      </c>
      <c r="E153" s="6">
        <v>336</v>
      </c>
      <c r="F153" s="6">
        <v>4</v>
      </c>
      <c r="G153" s="8">
        <v>6</v>
      </c>
      <c r="H153" s="8">
        <v>4953</v>
      </c>
      <c r="I153" s="8" t="s">
        <v>543</v>
      </c>
      <c r="J153" s="8">
        <v>52476838</v>
      </c>
      <c r="K153" s="8" t="s">
        <v>2154</v>
      </c>
      <c r="L153" s="8" t="s">
        <v>2158</v>
      </c>
      <c r="M153" s="44">
        <v>79900</v>
      </c>
      <c r="N153" s="64">
        <v>0.7</v>
      </c>
      <c r="O153" s="12">
        <f t="shared" si="3"/>
        <v>23970</v>
      </c>
      <c r="P153" s="6" t="s">
        <v>3499</v>
      </c>
    </row>
    <row r="154" spans="1:16" x14ac:dyDescent="0.25">
      <c r="A154" s="6" t="s">
        <v>3509</v>
      </c>
      <c r="B154" s="7">
        <v>46121</v>
      </c>
      <c r="C154" s="7">
        <v>46127</v>
      </c>
      <c r="D154" s="6">
        <v>3271</v>
      </c>
      <c r="E154" s="6">
        <v>336</v>
      </c>
      <c r="F154" s="6">
        <v>4</v>
      </c>
      <c r="G154" s="8">
        <v>6</v>
      </c>
      <c r="H154" s="8">
        <v>4953</v>
      </c>
      <c r="I154" s="8" t="s">
        <v>543</v>
      </c>
      <c r="J154" s="8">
        <v>52476847</v>
      </c>
      <c r="K154" s="8" t="s">
        <v>2159</v>
      </c>
      <c r="L154" s="8" t="s">
        <v>2160</v>
      </c>
      <c r="M154" s="44">
        <v>79900</v>
      </c>
      <c r="N154" s="64">
        <v>0.7</v>
      </c>
      <c r="O154" s="12">
        <f t="shared" si="3"/>
        <v>23970</v>
      </c>
      <c r="P154" s="6" t="s">
        <v>3499</v>
      </c>
    </row>
    <row r="155" spans="1:16" x14ac:dyDescent="0.25">
      <c r="A155" s="6" t="s">
        <v>3509</v>
      </c>
      <c r="B155" s="7">
        <v>46121</v>
      </c>
      <c r="C155" s="7">
        <v>46127</v>
      </c>
      <c r="D155" s="6">
        <v>3271</v>
      </c>
      <c r="E155" s="6">
        <v>336</v>
      </c>
      <c r="F155" s="6">
        <v>4</v>
      </c>
      <c r="G155" s="8">
        <v>6</v>
      </c>
      <c r="H155" s="8">
        <v>4953</v>
      </c>
      <c r="I155" s="8" t="s">
        <v>543</v>
      </c>
      <c r="J155" s="8">
        <v>52476856</v>
      </c>
      <c r="K155" s="8" t="s">
        <v>2159</v>
      </c>
      <c r="L155" s="8" t="s">
        <v>2161</v>
      </c>
      <c r="M155" s="44">
        <v>79900</v>
      </c>
      <c r="N155" s="64">
        <v>0.7</v>
      </c>
      <c r="O155" s="12">
        <f t="shared" si="3"/>
        <v>23970</v>
      </c>
      <c r="P155" s="6" t="s">
        <v>3499</v>
      </c>
    </row>
    <row r="156" spans="1:16" x14ac:dyDescent="0.25">
      <c r="A156" s="6" t="s">
        <v>3509</v>
      </c>
      <c r="B156" s="7">
        <v>46121</v>
      </c>
      <c r="C156" s="7">
        <v>46127</v>
      </c>
      <c r="D156" s="6">
        <v>3271</v>
      </c>
      <c r="E156" s="6">
        <v>336</v>
      </c>
      <c r="F156" s="6">
        <v>4</v>
      </c>
      <c r="G156" s="8">
        <v>6</v>
      </c>
      <c r="H156" s="8">
        <v>4953</v>
      </c>
      <c r="I156" s="8" t="s">
        <v>543</v>
      </c>
      <c r="J156" s="8">
        <v>52476865</v>
      </c>
      <c r="K156" s="8" t="s">
        <v>2159</v>
      </c>
      <c r="L156" s="8" t="s">
        <v>2162</v>
      </c>
      <c r="M156" s="44">
        <v>79900</v>
      </c>
      <c r="N156" s="64">
        <v>0.7</v>
      </c>
      <c r="O156" s="12">
        <f t="shared" si="3"/>
        <v>23970</v>
      </c>
      <c r="P156" s="6" t="s">
        <v>3499</v>
      </c>
    </row>
    <row r="157" spans="1:16" x14ac:dyDescent="0.25">
      <c r="A157" s="6" t="s">
        <v>3509</v>
      </c>
      <c r="B157" s="7">
        <v>46121</v>
      </c>
      <c r="C157" s="7">
        <v>46127</v>
      </c>
      <c r="D157" s="6">
        <v>3271</v>
      </c>
      <c r="E157" s="6">
        <v>336</v>
      </c>
      <c r="F157" s="6">
        <v>4</v>
      </c>
      <c r="G157" s="8">
        <v>6</v>
      </c>
      <c r="H157" s="8">
        <v>4953</v>
      </c>
      <c r="I157" s="8" t="s">
        <v>543</v>
      </c>
      <c r="J157" s="8">
        <v>52476874</v>
      </c>
      <c r="K157" s="8" t="s">
        <v>2159</v>
      </c>
      <c r="L157" s="8" t="s">
        <v>2163</v>
      </c>
      <c r="M157" s="44">
        <v>79900</v>
      </c>
      <c r="N157" s="64">
        <v>0.7</v>
      </c>
      <c r="O157" s="12">
        <f t="shared" si="3"/>
        <v>23970</v>
      </c>
      <c r="P157" s="6" t="s">
        <v>3499</v>
      </c>
    </row>
    <row r="158" spans="1:16" x14ac:dyDescent="0.25">
      <c r="A158" s="6" t="s">
        <v>3509</v>
      </c>
      <c r="B158" s="7">
        <v>46121</v>
      </c>
      <c r="C158" s="7">
        <v>46127</v>
      </c>
      <c r="D158" s="6">
        <v>3271</v>
      </c>
      <c r="E158" s="6">
        <v>336</v>
      </c>
      <c r="F158" s="6">
        <v>4</v>
      </c>
      <c r="G158" s="8">
        <v>6</v>
      </c>
      <c r="H158" s="8">
        <v>4953</v>
      </c>
      <c r="I158" s="8" t="s">
        <v>543</v>
      </c>
      <c r="J158" s="8">
        <v>52476883</v>
      </c>
      <c r="K158" s="8" t="s">
        <v>2164</v>
      </c>
      <c r="L158" s="8" t="s">
        <v>2165</v>
      </c>
      <c r="M158" s="44">
        <v>79900</v>
      </c>
      <c r="N158" s="64">
        <v>0.7</v>
      </c>
      <c r="O158" s="12">
        <f t="shared" si="3"/>
        <v>23970</v>
      </c>
      <c r="P158" s="6" t="s">
        <v>3499</v>
      </c>
    </row>
    <row r="159" spans="1:16" x14ac:dyDescent="0.25">
      <c r="A159" s="6" t="s">
        <v>3509</v>
      </c>
      <c r="B159" s="7">
        <v>46121</v>
      </c>
      <c r="C159" s="7">
        <v>46127</v>
      </c>
      <c r="D159" s="6">
        <v>3271</v>
      </c>
      <c r="E159" s="6">
        <v>336</v>
      </c>
      <c r="F159" s="6">
        <v>4</v>
      </c>
      <c r="G159" s="8">
        <v>6</v>
      </c>
      <c r="H159" s="8">
        <v>4953</v>
      </c>
      <c r="I159" s="8" t="s">
        <v>543</v>
      </c>
      <c r="J159" s="8">
        <v>52476892</v>
      </c>
      <c r="K159" s="8" t="s">
        <v>2164</v>
      </c>
      <c r="L159" s="8" t="s">
        <v>2166</v>
      </c>
      <c r="M159" s="44">
        <v>79900</v>
      </c>
      <c r="N159" s="64">
        <v>0.7</v>
      </c>
      <c r="O159" s="12">
        <f t="shared" si="3"/>
        <v>23970</v>
      </c>
      <c r="P159" s="6" t="s">
        <v>3499</v>
      </c>
    </row>
    <row r="160" spans="1:16" x14ac:dyDescent="0.25">
      <c r="A160" s="6" t="s">
        <v>3509</v>
      </c>
      <c r="B160" s="7">
        <v>46121</v>
      </c>
      <c r="C160" s="7">
        <v>46127</v>
      </c>
      <c r="D160" s="6">
        <v>3271</v>
      </c>
      <c r="E160" s="6">
        <v>336</v>
      </c>
      <c r="F160" s="6">
        <v>4</v>
      </c>
      <c r="G160" s="8">
        <v>6</v>
      </c>
      <c r="H160" s="8">
        <v>4953</v>
      </c>
      <c r="I160" s="8" t="s">
        <v>543</v>
      </c>
      <c r="J160" s="8">
        <v>52476909</v>
      </c>
      <c r="K160" s="8" t="s">
        <v>2164</v>
      </c>
      <c r="L160" s="8" t="s">
        <v>2167</v>
      </c>
      <c r="M160" s="44">
        <v>79900</v>
      </c>
      <c r="N160" s="64">
        <v>0.7</v>
      </c>
      <c r="O160" s="12">
        <f t="shared" si="3"/>
        <v>23970</v>
      </c>
      <c r="P160" s="6" t="s">
        <v>3499</v>
      </c>
    </row>
    <row r="161" spans="1:16" x14ac:dyDescent="0.25">
      <c r="A161" s="6" t="s">
        <v>3509</v>
      </c>
      <c r="B161" s="7">
        <v>46121</v>
      </c>
      <c r="C161" s="7">
        <v>46127</v>
      </c>
      <c r="D161" s="6">
        <v>3271</v>
      </c>
      <c r="E161" s="6">
        <v>336</v>
      </c>
      <c r="F161" s="6">
        <v>4</v>
      </c>
      <c r="G161" s="8">
        <v>6</v>
      </c>
      <c r="H161" s="8">
        <v>4953</v>
      </c>
      <c r="I161" s="8" t="s">
        <v>543</v>
      </c>
      <c r="J161" s="8">
        <v>52476918</v>
      </c>
      <c r="K161" s="8" t="s">
        <v>2164</v>
      </c>
      <c r="L161" s="8" t="s">
        <v>2168</v>
      </c>
      <c r="M161" s="44">
        <v>79900</v>
      </c>
      <c r="N161" s="64">
        <v>0.7</v>
      </c>
      <c r="O161" s="12">
        <f t="shared" si="3"/>
        <v>23970</v>
      </c>
      <c r="P161" s="6" t="s">
        <v>3499</v>
      </c>
    </row>
    <row r="162" spans="1:16" x14ac:dyDescent="0.25">
      <c r="A162" s="6" t="s">
        <v>3509</v>
      </c>
      <c r="B162" s="7">
        <v>46121</v>
      </c>
      <c r="C162" s="7">
        <v>46127</v>
      </c>
      <c r="D162" s="6">
        <v>3271</v>
      </c>
      <c r="E162" s="6">
        <v>336</v>
      </c>
      <c r="F162" s="6">
        <v>4</v>
      </c>
      <c r="G162" s="8">
        <v>6</v>
      </c>
      <c r="H162" s="8">
        <v>81328</v>
      </c>
      <c r="I162" s="8" t="s">
        <v>543</v>
      </c>
      <c r="J162" s="8">
        <v>53049299</v>
      </c>
      <c r="K162" s="8" t="s">
        <v>2169</v>
      </c>
      <c r="L162" s="8" t="s">
        <v>2170</v>
      </c>
      <c r="M162" s="44">
        <v>79900</v>
      </c>
      <c r="N162" s="64">
        <v>0.7</v>
      </c>
      <c r="O162" s="12">
        <f t="shared" si="3"/>
        <v>23970</v>
      </c>
      <c r="P162" s="6" t="s">
        <v>3499</v>
      </c>
    </row>
    <row r="163" spans="1:16" x14ac:dyDescent="0.25">
      <c r="A163" s="6" t="s">
        <v>3509</v>
      </c>
      <c r="B163" s="7">
        <v>46121</v>
      </c>
      <c r="C163" s="7">
        <v>46127</v>
      </c>
      <c r="D163" s="6">
        <v>3271</v>
      </c>
      <c r="E163" s="6">
        <v>336</v>
      </c>
      <c r="F163" s="6">
        <v>4</v>
      </c>
      <c r="G163" s="8">
        <v>6</v>
      </c>
      <c r="H163" s="8">
        <v>81328</v>
      </c>
      <c r="I163" s="8" t="s">
        <v>543</v>
      </c>
      <c r="J163" s="8">
        <v>53049306</v>
      </c>
      <c r="K163" s="8" t="s">
        <v>2169</v>
      </c>
      <c r="L163" s="8" t="s">
        <v>2171</v>
      </c>
      <c r="M163" s="44">
        <v>79900</v>
      </c>
      <c r="N163" s="64">
        <v>0.7</v>
      </c>
      <c r="O163" s="12">
        <f t="shared" si="3"/>
        <v>23970</v>
      </c>
      <c r="P163" s="6" t="s">
        <v>3499</v>
      </c>
    </row>
    <row r="164" spans="1:16" x14ac:dyDescent="0.25">
      <c r="A164" s="6" t="s">
        <v>3509</v>
      </c>
      <c r="B164" s="7">
        <v>46121</v>
      </c>
      <c r="C164" s="7">
        <v>46127</v>
      </c>
      <c r="D164" s="6">
        <v>3271</v>
      </c>
      <c r="E164" s="6">
        <v>336</v>
      </c>
      <c r="F164" s="6">
        <v>4</v>
      </c>
      <c r="G164" s="8">
        <v>6</v>
      </c>
      <c r="H164" s="8">
        <v>81328</v>
      </c>
      <c r="I164" s="8" t="s">
        <v>543</v>
      </c>
      <c r="J164" s="8">
        <v>53049315</v>
      </c>
      <c r="K164" s="8" t="s">
        <v>2169</v>
      </c>
      <c r="L164" s="8" t="s">
        <v>2172</v>
      </c>
      <c r="M164" s="44">
        <v>79900</v>
      </c>
      <c r="N164" s="64">
        <v>0.7</v>
      </c>
      <c r="O164" s="12">
        <f t="shared" si="3"/>
        <v>23970</v>
      </c>
      <c r="P164" s="6" t="s">
        <v>3499</v>
      </c>
    </row>
    <row r="165" spans="1:16" x14ac:dyDescent="0.25">
      <c r="A165" s="6" t="s">
        <v>3509</v>
      </c>
      <c r="B165" s="7">
        <v>46121</v>
      </c>
      <c r="C165" s="7">
        <v>46127</v>
      </c>
      <c r="D165" s="6">
        <v>3271</v>
      </c>
      <c r="E165" s="6">
        <v>336</v>
      </c>
      <c r="F165" s="6">
        <v>4</v>
      </c>
      <c r="G165" s="8">
        <v>6</v>
      </c>
      <c r="H165" s="8">
        <v>81328</v>
      </c>
      <c r="I165" s="8" t="s">
        <v>543</v>
      </c>
      <c r="J165" s="8">
        <v>53049324</v>
      </c>
      <c r="K165" s="8" t="s">
        <v>2169</v>
      </c>
      <c r="L165" s="8" t="s">
        <v>2173</v>
      </c>
      <c r="M165" s="44">
        <v>79900</v>
      </c>
      <c r="N165" s="64">
        <v>0.7</v>
      </c>
      <c r="O165" s="12">
        <f t="shared" si="3"/>
        <v>23970</v>
      </c>
      <c r="P165" s="6" t="s">
        <v>3499</v>
      </c>
    </row>
    <row r="166" spans="1:16" x14ac:dyDescent="0.25">
      <c r="A166" s="6" t="s">
        <v>3509</v>
      </c>
      <c r="B166" s="7">
        <v>46121</v>
      </c>
      <c r="C166" s="7">
        <v>46127</v>
      </c>
      <c r="D166" s="6">
        <v>3271</v>
      </c>
      <c r="E166" s="6">
        <v>336</v>
      </c>
      <c r="F166" s="6">
        <v>4</v>
      </c>
      <c r="G166" s="8">
        <v>6</v>
      </c>
      <c r="H166" s="8">
        <v>81328</v>
      </c>
      <c r="I166" s="8" t="s">
        <v>543</v>
      </c>
      <c r="J166" s="8">
        <v>53049333</v>
      </c>
      <c r="K166" s="8" t="s">
        <v>2174</v>
      </c>
      <c r="L166" s="8" t="s">
        <v>2175</v>
      </c>
      <c r="M166" s="44">
        <v>79900</v>
      </c>
      <c r="N166" s="64">
        <v>0.7</v>
      </c>
      <c r="O166" s="12">
        <f t="shared" si="3"/>
        <v>23970</v>
      </c>
      <c r="P166" s="6" t="s">
        <v>3499</v>
      </c>
    </row>
    <row r="167" spans="1:16" x14ac:dyDescent="0.25">
      <c r="A167" s="6" t="s">
        <v>3509</v>
      </c>
      <c r="B167" s="7">
        <v>46121</v>
      </c>
      <c r="C167" s="7">
        <v>46127</v>
      </c>
      <c r="D167" s="6">
        <v>3271</v>
      </c>
      <c r="E167" s="6">
        <v>336</v>
      </c>
      <c r="F167" s="6">
        <v>4</v>
      </c>
      <c r="G167" s="8">
        <v>6</v>
      </c>
      <c r="H167" s="8">
        <v>81328</v>
      </c>
      <c r="I167" s="8" t="s">
        <v>543</v>
      </c>
      <c r="J167" s="8">
        <v>53049342</v>
      </c>
      <c r="K167" s="8" t="s">
        <v>2174</v>
      </c>
      <c r="L167" s="8" t="s">
        <v>2176</v>
      </c>
      <c r="M167" s="44">
        <v>79900</v>
      </c>
      <c r="N167" s="64">
        <v>0.7</v>
      </c>
      <c r="O167" s="12">
        <f t="shared" si="3"/>
        <v>23970</v>
      </c>
      <c r="P167" s="6" t="s">
        <v>3499</v>
      </c>
    </row>
    <row r="168" spans="1:16" x14ac:dyDescent="0.25">
      <c r="A168" s="6" t="s">
        <v>3509</v>
      </c>
      <c r="B168" s="7">
        <v>46121</v>
      </c>
      <c r="C168" s="7">
        <v>46127</v>
      </c>
      <c r="D168" s="6">
        <v>3271</v>
      </c>
      <c r="E168" s="6">
        <v>336</v>
      </c>
      <c r="F168" s="6">
        <v>4</v>
      </c>
      <c r="G168" s="8">
        <v>6</v>
      </c>
      <c r="H168" s="8">
        <v>81328</v>
      </c>
      <c r="I168" s="8" t="s">
        <v>543</v>
      </c>
      <c r="J168" s="8">
        <v>53049351</v>
      </c>
      <c r="K168" s="8" t="s">
        <v>2174</v>
      </c>
      <c r="L168" s="8" t="s">
        <v>2177</v>
      </c>
      <c r="M168" s="44">
        <v>79900</v>
      </c>
      <c r="N168" s="64">
        <v>0.7</v>
      </c>
      <c r="O168" s="12">
        <f t="shared" si="3"/>
        <v>23970</v>
      </c>
      <c r="P168" s="6" t="s">
        <v>3499</v>
      </c>
    </row>
    <row r="169" spans="1:16" x14ac:dyDescent="0.25">
      <c r="A169" s="6" t="s">
        <v>3509</v>
      </c>
      <c r="B169" s="7">
        <v>46121</v>
      </c>
      <c r="C169" s="7">
        <v>46127</v>
      </c>
      <c r="D169" s="6">
        <v>3271</v>
      </c>
      <c r="E169" s="6">
        <v>336</v>
      </c>
      <c r="F169" s="6">
        <v>4</v>
      </c>
      <c r="G169" s="8">
        <v>6</v>
      </c>
      <c r="H169" s="8">
        <v>81328</v>
      </c>
      <c r="I169" s="8" t="s">
        <v>543</v>
      </c>
      <c r="J169" s="8">
        <v>53049360</v>
      </c>
      <c r="K169" s="8" t="s">
        <v>2174</v>
      </c>
      <c r="L169" s="8" t="s">
        <v>2178</v>
      </c>
      <c r="M169" s="44">
        <v>79900</v>
      </c>
      <c r="N169" s="64">
        <v>0.7</v>
      </c>
      <c r="O169" s="12">
        <f t="shared" si="3"/>
        <v>23970</v>
      </c>
      <c r="P169" s="6" t="s">
        <v>3499</v>
      </c>
    </row>
    <row r="170" spans="1:16" x14ac:dyDescent="0.25">
      <c r="A170" s="6" t="s">
        <v>3509</v>
      </c>
      <c r="B170" s="7">
        <v>46121</v>
      </c>
      <c r="C170" s="7">
        <v>46127</v>
      </c>
      <c r="D170" s="6">
        <v>3271</v>
      </c>
      <c r="E170" s="6">
        <v>336</v>
      </c>
      <c r="F170" s="6">
        <v>4</v>
      </c>
      <c r="G170" s="8">
        <v>6</v>
      </c>
      <c r="H170" s="8">
        <v>81328</v>
      </c>
      <c r="I170" s="8" t="s">
        <v>543</v>
      </c>
      <c r="J170" s="8">
        <v>53049173</v>
      </c>
      <c r="K170" s="8" t="s">
        <v>2179</v>
      </c>
      <c r="L170" s="8" t="s">
        <v>2180</v>
      </c>
      <c r="M170" s="44">
        <v>79900</v>
      </c>
      <c r="N170" s="64">
        <v>0.7</v>
      </c>
      <c r="O170" s="12">
        <f t="shared" si="3"/>
        <v>23970</v>
      </c>
      <c r="P170" s="6" t="s">
        <v>3499</v>
      </c>
    </row>
    <row r="171" spans="1:16" x14ac:dyDescent="0.25">
      <c r="A171" s="6" t="s">
        <v>3509</v>
      </c>
      <c r="B171" s="7">
        <v>46121</v>
      </c>
      <c r="C171" s="7">
        <v>46127</v>
      </c>
      <c r="D171" s="6">
        <v>3271</v>
      </c>
      <c r="E171" s="6">
        <v>336</v>
      </c>
      <c r="F171" s="6">
        <v>4</v>
      </c>
      <c r="G171" s="8">
        <v>6</v>
      </c>
      <c r="H171" s="8">
        <v>81328</v>
      </c>
      <c r="I171" s="8" t="s">
        <v>543</v>
      </c>
      <c r="J171" s="8">
        <v>53049182</v>
      </c>
      <c r="K171" s="8" t="s">
        <v>2179</v>
      </c>
      <c r="L171" s="8" t="s">
        <v>2181</v>
      </c>
      <c r="M171" s="44">
        <v>79900</v>
      </c>
      <c r="N171" s="64">
        <v>0.7</v>
      </c>
      <c r="O171" s="12">
        <f t="shared" si="3"/>
        <v>23970</v>
      </c>
      <c r="P171" s="6" t="s">
        <v>3499</v>
      </c>
    </row>
    <row r="172" spans="1:16" x14ac:dyDescent="0.25">
      <c r="A172" s="6" t="s">
        <v>3509</v>
      </c>
      <c r="B172" s="7">
        <v>46121</v>
      </c>
      <c r="C172" s="7">
        <v>46127</v>
      </c>
      <c r="D172" s="6">
        <v>3271</v>
      </c>
      <c r="E172" s="6">
        <v>336</v>
      </c>
      <c r="F172" s="6">
        <v>4</v>
      </c>
      <c r="G172" s="8">
        <v>6</v>
      </c>
      <c r="H172" s="8">
        <v>81328</v>
      </c>
      <c r="I172" s="8" t="s">
        <v>543</v>
      </c>
      <c r="J172" s="8">
        <v>53049191</v>
      </c>
      <c r="K172" s="8" t="s">
        <v>2179</v>
      </c>
      <c r="L172" s="8" t="s">
        <v>2182</v>
      </c>
      <c r="M172" s="44">
        <v>79900</v>
      </c>
      <c r="N172" s="64">
        <v>0.7</v>
      </c>
      <c r="O172" s="12">
        <f t="shared" si="3"/>
        <v>23970</v>
      </c>
      <c r="P172" s="6" t="s">
        <v>3499</v>
      </c>
    </row>
    <row r="173" spans="1:16" x14ac:dyDescent="0.25">
      <c r="A173" s="6" t="s">
        <v>3509</v>
      </c>
      <c r="B173" s="7">
        <v>46121</v>
      </c>
      <c r="C173" s="7">
        <v>46127</v>
      </c>
      <c r="D173" s="6">
        <v>3271</v>
      </c>
      <c r="E173" s="6">
        <v>336</v>
      </c>
      <c r="F173" s="6">
        <v>4</v>
      </c>
      <c r="G173" s="8">
        <v>6</v>
      </c>
      <c r="H173" s="8">
        <v>81328</v>
      </c>
      <c r="I173" s="8" t="s">
        <v>543</v>
      </c>
      <c r="J173" s="8">
        <v>53049208</v>
      </c>
      <c r="K173" s="8" t="s">
        <v>2179</v>
      </c>
      <c r="L173" s="8" t="s">
        <v>2183</v>
      </c>
      <c r="M173" s="44">
        <v>79900</v>
      </c>
      <c r="N173" s="64">
        <v>0.7</v>
      </c>
      <c r="O173" s="12">
        <f t="shared" si="3"/>
        <v>23970</v>
      </c>
      <c r="P173" s="6" t="s">
        <v>3499</v>
      </c>
    </row>
    <row r="174" spans="1:16" x14ac:dyDescent="0.25">
      <c r="A174" s="6" t="s">
        <v>3509</v>
      </c>
      <c r="B174" s="7">
        <v>46121</v>
      </c>
      <c r="C174" s="7">
        <v>46127</v>
      </c>
      <c r="D174" s="6">
        <v>3271</v>
      </c>
      <c r="E174" s="6">
        <v>336</v>
      </c>
      <c r="F174" s="6">
        <v>4</v>
      </c>
      <c r="G174" s="8">
        <v>6</v>
      </c>
      <c r="H174" s="8">
        <v>81328</v>
      </c>
      <c r="I174" s="8" t="s">
        <v>543</v>
      </c>
      <c r="J174" s="8">
        <v>53049217</v>
      </c>
      <c r="K174" s="8" t="s">
        <v>2184</v>
      </c>
      <c r="L174" s="8" t="s">
        <v>2185</v>
      </c>
      <c r="M174" s="44">
        <v>79900</v>
      </c>
      <c r="N174" s="64">
        <v>0.7</v>
      </c>
      <c r="O174" s="12">
        <f t="shared" si="3"/>
        <v>23970</v>
      </c>
      <c r="P174" s="6" t="s">
        <v>3499</v>
      </c>
    </row>
    <row r="175" spans="1:16" x14ac:dyDescent="0.25">
      <c r="A175" s="6" t="s">
        <v>3509</v>
      </c>
      <c r="B175" s="7">
        <v>46121</v>
      </c>
      <c r="C175" s="7">
        <v>46127</v>
      </c>
      <c r="D175" s="6">
        <v>3271</v>
      </c>
      <c r="E175" s="6">
        <v>336</v>
      </c>
      <c r="F175" s="6">
        <v>4</v>
      </c>
      <c r="G175" s="8">
        <v>6</v>
      </c>
      <c r="H175" s="8">
        <v>81328</v>
      </c>
      <c r="I175" s="8" t="s">
        <v>543</v>
      </c>
      <c r="J175" s="8">
        <v>53049226</v>
      </c>
      <c r="K175" s="8" t="s">
        <v>2184</v>
      </c>
      <c r="L175" s="8" t="s">
        <v>2186</v>
      </c>
      <c r="M175" s="44">
        <v>79900</v>
      </c>
      <c r="N175" s="64">
        <v>0.7</v>
      </c>
      <c r="O175" s="12">
        <f t="shared" si="3"/>
        <v>23970</v>
      </c>
      <c r="P175" s="6" t="s">
        <v>3499</v>
      </c>
    </row>
    <row r="176" spans="1:16" x14ac:dyDescent="0.25">
      <c r="A176" s="6" t="s">
        <v>3509</v>
      </c>
      <c r="B176" s="7">
        <v>46121</v>
      </c>
      <c r="C176" s="7">
        <v>46127</v>
      </c>
      <c r="D176" s="6">
        <v>3271</v>
      </c>
      <c r="E176" s="6">
        <v>336</v>
      </c>
      <c r="F176" s="6">
        <v>4</v>
      </c>
      <c r="G176" s="8">
        <v>6</v>
      </c>
      <c r="H176" s="8">
        <v>81328</v>
      </c>
      <c r="I176" s="8" t="s">
        <v>543</v>
      </c>
      <c r="J176" s="8">
        <v>53049235</v>
      </c>
      <c r="K176" s="8" t="s">
        <v>2184</v>
      </c>
      <c r="L176" s="8" t="s">
        <v>2187</v>
      </c>
      <c r="M176" s="44">
        <v>79900</v>
      </c>
      <c r="N176" s="64">
        <v>0.7</v>
      </c>
      <c r="O176" s="12">
        <f t="shared" si="3"/>
        <v>23970</v>
      </c>
      <c r="P176" s="6" t="s">
        <v>3499</v>
      </c>
    </row>
    <row r="177" spans="1:16" x14ac:dyDescent="0.25">
      <c r="A177" s="6" t="s">
        <v>3509</v>
      </c>
      <c r="B177" s="7">
        <v>46121</v>
      </c>
      <c r="C177" s="7">
        <v>46127</v>
      </c>
      <c r="D177" s="6">
        <v>3271</v>
      </c>
      <c r="E177" s="6">
        <v>336</v>
      </c>
      <c r="F177" s="6">
        <v>4</v>
      </c>
      <c r="G177" s="8">
        <v>6</v>
      </c>
      <c r="H177" s="8">
        <v>81328</v>
      </c>
      <c r="I177" s="8" t="s">
        <v>543</v>
      </c>
      <c r="J177" s="8">
        <v>53049244</v>
      </c>
      <c r="K177" s="8" t="s">
        <v>2184</v>
      </c>
      <c r="L177" s="8" t="s">
        <v>2188</v>
      </c>
      <c r="M177" s="44">
        <v>79900</v>
      </c>
      <c r="N177" s="64">
        <v>0.7</v>
      </c>
      <c r="O177" s="12">
        <f t="shared" si="3"/>
        <v>23970</v>
      </c>
      <c r="P177" s="6" t="s">
        <v>3499</v>
      </c>
    </row>
    <row r="178" spans="1:16" x14ac:dyDescent="0.25">
      <c r="A178" s="6" t="s">
        <v>3509</v>
      </c>
      <c r="B178" s="7">
        <v>46121</v>
      </c>
      <c r="C178" s="7">
        <v>46127</v>
      </c>
      <c r="D178" s="6">
        <v>3271</v>
      </c>
      <c r="E178" s="6">
        <v>336</v>
      </c>
      <c r="F178" s="6">
        <v>4</v>
      </c>
      <c r="G178" s="8">
        <v>6</v>
      </c>
      <c r="H178" s="8">
        <v>81328</v>
      </c>
      <c r="I178" s="8" t="s">
        <v>543</v>
      </c>
      <c r="J178" s="8">
        <v>53049253</v>
      </c>
      <c r="K178" s="8" t="s">
        <v>2189</v>
      </c>
      <c r="L178" s="8" t="s">
        <v>2190</v>
      </c>
      <c r="M178" s="44">
        <v>79900</v>
      </c>
      <c r="N178" s="64">
        <v>0.7</v>
      </c>
      <c r="O178" s="12">
        <f t="shared" si="3"/>
        <v>23970</v>
      </c>
      <c r="P178" s="6" t="s">
        <v>3499</v>
      </c>
    </row>
    <row r="179" spans="1:16" x14ac:dyDescent="0.25">
      <c r="A179" s="6" t="s">
        <v>3509</v>
      </c>
      <c r="B179" s="7">
        <v>46121</v>
      </c>
      <c r="C179" s="7">
        <v>46127</v>
      </c>
      <c r="D179" s="6">
        <v>3271</v>
      </c>
      <c r="E179" s="6">
        <v>336</v>
      </c>
      <c r="F179" s="6">
        <v>4</v>
      </c>
      <c r="G179" s="8">
        <v>6</v>
      </c>
      <c r="H179" s="8">
        <v>81328</v>
      </c>
      <c r="I179" s="8" t="s">
        <v>543</v>
      </c>
      <c r="J179" s="8">
        <v>53049262</v>
      </c>
      <c r="K179" s="8" t="s">
        <v>2189</v>
      </c>
      <c r="L179" s="8" t="s">
        <v>2191</v>
      </c>
      <c r="M179" s="44">
        <v>79900</v>
      </c>
      <c r="N179" s="64">
        <v>0.7</v>
      </c>
      <c r="O179" s="12">
        <f t="shared" si="3"/>
        <v>23970</v>
      </c>
      <c r="P179" s="6" t="s">
        <v>3499</v>
      </c>
    </row>
    <row r="180" spans="1:16" x14ac:dyDescent="0.25">
      <c r="A180" s="6" t="s">
        <v>3509</v>
      </c>
      <c r="B180" s="7">
        <v>46121</v>
      </c>
      <c r="C180" s="7">
        <v>46127</v>
      </c>
      <c r="D180" s="6">
        <v>3271</v>
      </c>
      <c r="E180" s="6">
        <v>336</v>
      </c>
      <c r="F180" s="6">
        <v>4</v>
      </c>
      <c r="G180" s="8">
        <v>6</v>
      </c>
      <c r="H180" s="8">
        <v>81328</v>
      </c>
      <c r="I180" s="8" t="s">
        <v>543</v>
      </c>
      <c r="J180" s="8">
        <v>53049271</v>
      </c>
      <c r="K180" s="8" t="s">
        <v>2189</v>
      </c>
      <c r="L180" s="8" t="s">
        <v>2192</v>
      </c>
      <c r="M180" s="44">
        <v>79900</v>
      </c>
      <c r="N180" s="64">
        <v>0.7</v>
      </c>
      <c r="O180" s="12">
        <f t="shared" si="3"/>
        <v>23970</v>
      </c>
      <c r="P180" s="6" t="s">
        <v>3499</v>
      </c>
    </row>
    <row r="181" spans="1:16" x14ac:dyDescent="0.25">
      <c r="A181" s="6" t="s">
        <v>3509</v>
      </c>
      <c r="B181" s="7">
        <v>46121</v>
      </c>
      <c r="C181" s="7">
        <v>46127</v>
      </c>
      <c r="D181" s="6">
        <v>3271</v>
      </c>
      <c r="E181" s="6">
        <v>336</v>
      </c>
      <c r="F181" s="6">
        <v>4</v>
      </c>
      <c r="G181" s="8">
        <v>6</v>
      </c>
      <c r="H181" s="8">
        <v>81328</v>
      </c>
      <c r="I181" s="8" t="s">
        <v>543</v>
      </c>
      <c r="J181" s="8">
        <v>53049280</v>
      </c>
      <c r="K181" s="8" t="s">
        <v>2189</v>
      </c>
      <c r="L181" s="8" t="s">
        <v>2193</v>
      </c>
      <c r="M181" s="44">
        <v>79900</v>
      </c>
      <c r="N181" s="64">
        <v>0.7</v>
      </c>
      <c r="O181" s="12">
        <f t="shared" si="3"/>
        <v>23970</v>
      </c>
      <c r="P181" s="6" t="s">
        <v>3499</v>
      </c>
    </row>
    <row r="182" spans="1:16" x14ac:dyDescent="0.25">
      <c r="A182" s="6" t="s">
        <v>3509</v>
      </c>
      <c r="B182" s="7">
        <v>46121</v>
      </c>
      <c r="C182" s="7">
        <v>46127</v>
      </c>
      <c r="D182" s="6">
        <v>3271</v>
      </c>
      <c r="E182" s="6">
        <v>336</v>
      </c>
      <c r="F182" s="6">
        <v>4</v>
      </c>
      <c r="G182" s="8">
        <v>6</v>
      </c>
      <c r="H182" s="8">
        <v>81328</v>
      </c>
      <c r="I182" s="8" t="s">
        <v>543</v>
      </c>
      <c r="J182" s="8">
        <v>51525929</v>
      </c>
      <c r="K182" s="8" t="s">
        <v>2194</v>
      </c>
      <c r="L182" s="8" t="s">
        <v>2195</v>
      </c>
      <c r="M182" s="44">
        <v>79900</v>
      </c>
      <c r="N182" s="64">
        <v>0.7</v>
      </c>
      <c r="O182" s="12">
        <f t="shared" si="3"/>
        <v>23970</v>
      </c>
      <c r="P182" s="6" t="s">
        <v>3499</v>
      </c>
    </row>
    <row r="183" spans="1:16" x14ac:dyDescent="0.25">
      <c r="A183" s="6" t="s">
        <v>3509</v>
      </c>
      <c r="B183" s="7">
        <v>46121</v>
      </c>
      <c r="C183" s="7">
        <v>46127</v>
      </c>
      <c r="D183" s="6">
        <v>3271</v>
      </c>
      <c r="E183" s="6">
        <v>336</v>
      </c>
      <c r="F183" s="6">
        <v>4</v>
      </c>
      <c r="G183" s="8">
        <v>6</v>
      </c>
      <c r="H183" s="8">
        <v>81328</v>
      </c>
      <c r="I183" s="8" t="s">
        <v>543</v>
      </c>
      <c r="J183" s="8">
        <v>51525938</v>
      </c>
      <c r="K183" s="8" t="s">
        <v>2194</v>
      </c>
      <c r="L183" s="8" t="s">
        <v>2196</v>
      </c>
      <c r="M183" s="44">
        <v>79900</v>
      </c>
      <c r="N183" s="64">
        <v>0.7</v>
      </c>
      <c r="O183" s="12">
        <f t="shared" si="3"/>
        <v>23970</v>
      </c>
      <c r="P183" s="6" t="s">
        <v>3499</v>
      </c>
    </row>
    <row r="184" spans="1:16" x14ac:dyDescent="0.25">
      <c r="A184" s="6" t="s">
        <v>3509</v>
      </c>
      <c r="B184" s="7">
        <v>46121</v>
      </c>
      <c r="C184" s="7">
        <v>46127</v>
      </c>
      <c r="D184" s="6">
        <v>3271</v>
      </c>
      <c r="E184" s="6">
        <v>336</v>
      </c>
      <c r="F184" s="6">
        <v>4</v>
      </c>
      <c r="G184" s="8">
        <v>6</v>
      </c>
      <c r="H184" s="8">
        <v>81328</v>
      </c>
      <c r="I184" s="8" t="s">
        <v>543</v>
      </c>
      <c r="J184" s="8">
        <v>51525947</v>
      </c>
      <c r="K184" s="8" t="s">
        <v>2194</v>
      </c>
      <c r="L184" s="8" t="s">
        <v>2197</v>
      </c>
      <c r="M184" s="44">
        <v>79900</v>
      </c>
      <c r="N184" s="64">
        <v>0.7</v>
      </c>
      <c r="O184" s="12">
        <f t="shared" si="3"/>
        <v>23970</v>
      </c>
      <c r="P184" s="6" t="s">
        <v>3499</v>
      </c>
    </row>
    <row r="185" spans="1:16" x14ac:dyDescent="0.25">
      <c r="A185" s="6" t="s">
        <v>3509</v>
      </c>
      <c r="B185" s="7">
        <v>46121</v>
      </c>
      <c r="C185" s="7">
        <v>46127</v>
      </c>
      <c r="D185" s="6">
        <v>3271</v>
      </c>
      <c r="E185" s="6">
        <v>336</v>
      </c>
      <c r="F185" s="6">
        <v>4</v>
      </c>
      <c r="G185" s="8">
        <v>6</v>
      </c>
      <c r="H185" s="8">
        <v>81328</v>
      </c>
      <c r="I185" s="8" t="s">
        <v>543</v>
      </c>
      <c r="J185" s="8">
        <v>51525956</v>
      </c>
      <c r="K185" s="8" t="s">
        <v>2194</v>
      </c>
      <c r="L185" s="8" t="s">
        <v>2198</v>
      </c>
      <c r="M185" s="44">
        <v>79900</v>
      </c>
      <c r="N185" s="64">
        <v>0.7</v>
      </c>
      <c r="O185" s="12">
        <f t="shared" si="3"/>
        <v>23970</v>
      </c>
      <c r="P185" s="6" t="s">
        <v>3499</v>
      </c>
    </row>
    <row r="186" spans="1:16" x14ac:dyDescent="0.25">
      <c r="A186" s="6" t="s">
        <v>3509</v>
      </c>
      <c r="B186" s="7">
        <v>46121</v>
      </c>
      <c r="C186" s="7">
        <v>46127</v>
      </c>
      <c r="D186" s="6">
        <v>3271</v>
      </c>
      <c r="E186" s="6">
        <v>336</v>
      </c>
      <c r="F186" s="6">
        <v>4</v>
      </c>
      <c r="G186" s="8">
        <v>6</v>
      </c>
      <c r="H186" s="8">
        <v>81328</v>
      </c>
      <c r="I186" s="8" t="s">
        <v>543</v>
      </c>
      <c r="J186" s="8">
        <v>51525965</v>
      </c>
      <c r="K186" s="8" t="s">
        <v>2199</v>
      </c>
      <c r="L186" s="8" t="s">
        <v>2200</v>
      </c>
      <c r="M186" s="44">
        <v>79900</v>
      </c>
      <c r="N186" s="64">
        <v>0.7</v>
      </c>
      <c r="O186" s="12">
        <f t="shared" si="3"/>
        <v>23970</v>
      </c>
      <c r="P186" s="6" t="s">
        <v>3499</v>
      </c>
    </row>
    <row r="187" spans="1:16" x14ac:dyDescent="0.25">
      <c r="A187" s="6" t="s">
        <v>3509</v>
      </c>
      <c r="B187" s="7">
        <v>46121</v>
      </c>
      <c r="C187" s="7">
        <v>46127</v>
      </c>
      <c r="D187" s="6">
        <v>3271</v>
      </c>
      <c r="E187" s="6">
        <v>336</v>
      </c>
      <c r="F187" s="6">
        <v>4</v>
      </c>
      <c r="G187" s="8">
        <v>6</v>
      </c>
      <c r="H187" s="8">
        <v>81328</v>
      </c>
      <c r="I187" s="8" t="s">
        <v>543</v>
      </c>
      <c r="J187" s="8">
        <v>51525974</v>
      </c>
      <c r="K187" s="8" t="s">
        <v>2199</v>
      </c>
      <c r="L187" s="8" t="s">
        <v>2201</v>
      </c>
      <c r="M187" s="44">
        <v>79900</v>
      </c>
      <c r="N187" s="64">
        <v>0.7</v>
      </c>
      <c r="O187" s="12">
        <f t="shared" si="3"/>
        <v>23970</v>
      </c>
      <c r="P187" s="6" t="s">
        <v>3499</v>
      </c>
    </row>
    <row r="188" spans="1:16" x14ac:dyDescent="0.25">
      <c r="A188" s="6" t="s">
        <v>3509</v>
      </c>
      <c r="B188" s="7">
        <v>46121</v>
      </c>
      <c r="C188" s="7">
        <v>46127</v>
      </c>
      <c r="D188" s="6">
        <v>3271</v>
      </c>
      <c r="E188" s="6">
        <v>336</v>
      </c>
      <c r="F188" s="6">
        <v>4</v>
      </c>
      <c r="G188" s="8">
        <v>6</v>
      </c>
      <c r="H188" s="8">
        <v>81328</v>
      </c>
      <c r="I188" s="8" t="s">
        <v>543</v>
      </c>
      <c r="J188" s="8">
        <v>51525983</v>
      </c>
      <c r="K188" s="8" t="s">
        <v>2199</v>
      </c>
      <c r="L188" s="8" t="s">
        <v>2202</v>
      </c>
      <c r="M188" s="44">
        <v>79900</v>
      </c>
      <c r="N188" s="64">
        <v>0.7</v>
      </c>
      <c r="O188" s="12">
        <f t="shared" si="3"/>
        <v>23970</v>
      </c>
      <c r="P188" s="6" t="s">
        <v>3499</v>
      </c>
    </row>
    <row r="189" spans="1:16" x14ac:dyDescent="0.25">
      <c r="A189" s="6" t="s">
        <v>3509</v>
      </c>
      <c r="B189" s="7">
        <v>46121</v>
      </c>
      <c r="C189" s="7">
        <v>46127</v>
      </c>
      <c r="D189" s="6">
        <v>3271</v>
      </c>
      <c r="E189" s="6">
        <v>336</v>
      </c>
      <c r="F189" s="6">
        <v>4</v>
      </c>
      <c r="G189" s="8">
        <v>6</v>
      </c>
      <c r="H189" s="8">
        <v>81328</v>
      </c>
      <c r="I189" s="8" t="s">
        <v>543</v>
      </c>
      <c r="J189" s="8">
        <v>51525992</v>
      </c>
      <c r="K189" s="8" t="s">
        <v>2199</v>
      </c>
      <c r="L189" s="8" t="s">
        <v>2203</v>
      </c>
      <c r="M189" s="44">
        <v>79900</v>
      </c>
      <c r="N189" s="64">
        <v>0.7</v>
      </c>
      <c r="O189" s="12">
        <f t="shared" si="3"/>
        <v>23970</v>
      </c>
      <c r="P189" s="6" t="s">
        <v>3499</v>
      </c>
    </row>
    <row r="190" spans="1:16" x14ac:dyDescent="0.25">
      <c r="A190" s="6" t="s">
        <v>3509</v>
      </c>
      <c r="B190" s="7">
        <v>46121</v>
      </c>
      <c r="C190" s="7">
        <v>46127</v>
      </c>
      <c r="D190" s="6">
        <v>3271</v>
      </c>
      <c r="E190" s="6">
        <v>336</v>
      </c>
      <c r="F190" s="6">
        <v>4</v>
      </c>
      <c r="G190" s="8">
        <v>6</v>
      </c>
      <c r="H190" s="8">
        <v>81328</v>
      </c>
      <c r="I190" s="8" t="s">
        <v>543</v>
      </c>
      <c r="J190" s="8">
        <v>51526008</v>
      </c>
      <c r="K190" s="8" t="s">
        <v>2204</v>
      </c>
      <c r="L190" s="8" t="s">
        <v>2205</v>
      </c>
      <c r="M190" s="44">
        <v>79900</v>
      </c>
      <c r="N190" s="64">
        <v>0.7</v>
      </c>
      <c r="O190" s="12">
        <f t="shared" si="3"/>
        <v>23970</v>
      </c>
      <c r="P190" s="6" t="s">
        <v>3499</v>
      </c>
    </row>
    <row r="191" spans="1:16" x14ac:dyDescent="0.25">
      <c r="A191" s="6" t="s">
        <v>3509</v>
      </c>
      <c r="B191" s="7">
        <v>46121</v>
      </c>
      <c r="C191" s="7">
        <v>46127</v>
      </c>
      <c r="D191" s="6">
        <v>3271</v>
      </c>
      <c r="E191" s="6">
        <v>336</v>
      </c>
      <c r="F191" s="6">
        <v>4</v>
      </c>
      <c r="G191" s="8">
        <v>6</v>
      </c>
      <c r="H191" s="8">
        <v>81328</v>
      </c>
      <c r="I191" s="8" t="s">
        <v>543</v>
      </c>
      <c r="J191" s="8">
        <v>51526017</v>
      </c>
      <c r="K191" s="8" t="s">
        <v>2204</v>
      </c>
      <c r="L191" s="8" t="s">
        <v>2206</v>
      </c>
      <c r="M191" s="44">
        <v>79900</v>
      </c>
      <c r="N191" s="64">
        <v>0.7</v>
      </c>
      <c r="O191" s="12">
        <f t="shared" si="3"/>
        <v>23970</v>
      </c>
      <c r="P191" s="6" t="s">
        <v>3499</v>
      </c>
    </row>
    <row r="192" spans="1:16" x14ac:dyDescent="0.25">
      <c r="A192" s="6" t="s">
        <v>3509</v>
      </c>
      <c r="B192" s="7">
        <v>46121</v>
      </c>
      <c r="C192" s="7">
        <v>46127</v>
      </c>
      <c r="D192" s="6">
        <v>3271</v>
      </c>
      <c r="E192" s="6">
        <v>336</v>
      </c>
      <c r="F192" s="6">
        <v>4</v>
      </c>
      <c r="G192" s="8">
        <v>6</v>
      </c>
      <c r="H192" s="8">
        <v>81328</v>
      </c>
      <c r="I192" s="8" t="s">
        <v>543</v>
      </c>
      <c r="J192" s="8">
        <v>51526026</v>
      </c>
      <c r="K192" s="8" t="s">
        <v>2204</v>
      </c>
      <c r="L192" s="8" t="s">
        <v>2207</v>
      </c>
      <c r="M192" s="44">
        <v>79900</v>
      </c>
      <c r="N192" s="64">
        <v>0.7</v>
      </c>
      <c r="O192" s="12">
        <f t="shared" si="3"/>
        <v>23970</v>
      </c>
      <c r="P192" s="6" t="s">
        <v>3499</v>
      </c>
    </row>
    <row r="193" spans="1:16" x14ac:dyDescent="0.25">
      <c r="A193" s="6" t="s">
        <v>3509</v>
      </c>
      <c r="B193" s="7">
        <v>46121</v>
      </c>
      <c r="C193" s="7">
        <v>46127</v>
      </c>
      <c r="D193" s="6">
        <v>3271</v>
      </c>
      <c r="E193" s="6">
        <v>336</v>
      </c>
      <c r="F193" s="6">
        <v>4</v>
      </c>
      <c r="G193" s="8">
        <v>6</v>
      </c>
      <c r="H193" s="8">
        <v>81328</v>
      </c>
      <c r="I193" s="8" t="s">
        <v>543</v>
      </c>
      <c r="J193" s="8">
        <v>51526035</v>
      </c>
      <c r="K193" s="8" t="s">
        <v>2204</v>
      </c>
      <c r="L193" s="8" t="s">
        <v>2208</v>
      </c>
      <c r="M193" s="44">
        <v>79900</v>
      </c>
      <c r="N193" s="64">
        <v>0.7</v>
      </c>
      <c r="O193" s="12">
        <f t="shared" si="3"/>
        <v>23970</v>
      </c>
      <c r="P193" s="6" t="s">
        <v>3499</v>
      </c>
    </row>
    <row r="194" spans="1:16" x14ac:dyDescent="0.25">
      <c r="A194" s="6" t="s">
        <v>3509</v>
      </c>
      <c r="B194" s="7">
        <v>46121</v>
      </c>
      <c r="C194" s="7">
        <v>46127</v>
      </c>
      <c r="D194" s="6">
        <v>3271</v>
      </c>
      <c r="E194" s="6">
        <v>336</v>
      </c>
      <c r="F194" s="6">
        <v>4</v>
      </c>
      <c r="G194" s="8">
        <v>6</v>
      </c>
      <c r="H194" s="8">
        <v>81328</v>
      </c>
      <c r="I194" s="8" t="s">
        <v>543</v>
      </c>
      <c r="J194" s="8">
        <v>51526044</v>
      </c>
      <c r="K194" s="8" t="s">
        <v>2209</v>
      </c>
      <c r="L194" s="8" t="s">
        <v>2210</v>
      </c>
      <c r="M194" s="44">
        <v>79900</v>
      </c>
      <c r="N194" s="64">
        <v>0.7</v>
      </c>
      <c r="O194" s="12">
        <f t="shared" si="3"/>
        <v>23970</v>
      </c>
      <c r="P194" s="6" t="s">
        <v>3499</v>
      </c>
    </row>
    <row r="195" spans="1:16" x14ac:dyDescent="0.25">
      <c r="A195" s="6" t="s">
        <v>3509</v>
      </c>
      <c r="B195" s="7">
        <v>46121</v>
      </c>
      <c r="C195" s="7">
        <v>46127</v>
      </c>
      <c r="D195" s="6">
        <v>3271</v>
      </c>
      <c r="E195" s="6">
        <v>336</v>
      </c>
      <c r="F195" s="6">
        <v>4</v>
      </c>
      <c r="G195" s="8">
        <v>6</v>
      </c>
      <c r="H195" s="8">
        <v>81328</v>
      </c>
      <c r="I195" s="8" t="s">
        <v>543</v>
      </c>
      <c r="J195" s="8">
        <v>51526053</v>
      </c>
      <c r="K195" s="8" t="s">
        <v>2209</v>
      </c>
      <c r="L195" s="8" t="s">
        <v>2211</v>
      </c>
      <c r="M195" s="44">
        <v>79900</v>
      </c>
      <c r="N195" s="64">
        <v>0.7</v>
      </c>
      <c r="O195" s="12">
        <f t="shared" ref="O195:O258" si="4">M195-((70*M195)/100)</f>
        <v>23970</v>
      </c>
      <c r="P195" s="6" t="s">
        <v>3499</v>
      </c>
    </row>
    <row r="196" spans="1:16" x14ac:dyDescent="0.25">
      <c r="A196" s="6" t="s">
        <v>3509</v>
      </c>
      <c r="B196" s="7">
        <v>46121</v>
      </c>
      <c r="C196" s="7">
        <v>46127</v>
      </c>
      <c r="D196" s="6">
        <v>3271</v>
      </c>
      <c r="E196" s="6">
        <v>336</v>
      </c>
      <c r="F196" s="6">
        <v>4</v>
      </c>
      <c r="G196" s="8">
        <v>6</v>
      </c>
      <c r="H196" s="8">
        <v>81328</v>
      </c>
      <c r="I196" s="8" t="s">
        <v>543</v>
      </c>
      <c r="J196" s="8">
        <v>51526062</v>
      </c>
      <c r="K196" s="8" t="s">
        <v>2209</v>
      </c>
      <c r="L196" s="8" t="s">
        <v>2212</v>
      </c>
      <c r="M196" s="44">
        <v>79900</v>
      </c>
      <c r="N196" s="64">
        <v>0.7</v>
      </c>
      <c r="O196" s="12">
        <f t="shared" si="4"/>
        <v>23970</v>
      </c>
      <c r="P196" s="6" t="s">
        <v>3499</v>
      </c>
    </row>
    <row r="197" spans="1:16" x14ac:dyDescent="0.25">
      <c r="A197" s="6" t="s">
        <v>3509</v>
      </c>
      <c r="B197" s="7">
        <v>46121</v>
      </c>
      <c r="C197" s="7">
        <v>46127</v>
      </c>
      <c r="D197" s="6">
        <v>3271</v>
      </c>
      <c r="E197" s="6">
        <v>336</v>
      </c>
      <c r="F197" s="6">
        <v>4</v>
      </c>
      <c r="G197" s="8">
        <v>6</v>
      </c>
      <c r="H197" s="8">
        <v>81328</v>
      </c>
      <c r="I197" s="8" t="s">
        <v>543</v>
      </c>
      <c r="J197" s="8">
        <v>51526071</v>
      </c>
      <c r="K197" s="8" t="s">
        <v>2209</v>
      </c>
      <c r="L197" s="8" t="s">
        <v>2213</v>
      </c>
      <c r="M197" s="44">
        <v>79900</v>
      </c>
      <c r="N197" s="64">
        <v>0.7</v>
      </c>
      <c r="O197" s="12">
        <f t="shared" si="4"/>
        <v>23970</v>
      </c>
      <c r="P197" s="6" t="s">
        <v>3499</v>
      </c>
    </row>
    <row r="198" spans="1:16" x14ac:dyDescent="0.25">
      <c r="A198" s="6" t="s">
        <v>3509</v>
      </c>
      <c r="B198" s="7">
        <v>46121</v>
      </c>
      <c r="C198" s="7">
        <v>46127</v>
      </c>
      <c r="D198" s="6">
        <v>3271</v>
      </c>
      <c r="E198" s="6">
        <v>336</v>
      </c>
      <c r="F198" s="6">
        <v>4</v>
      </c>
      <c r="G198" s="8">
        <v>6</v>
      </c>
      <c r="H198" s="8">
        <v>81328</v>
      </c>
      <c r="I198" s="8" t="s">
        <v>543</v>
      </c>
      <c r="J198" s="8">
        <v>51526080</v>
      </c>
      <c r="K198" s="8" t="s">
        <v>2214</v>
      </c>
      <c r="L198" s="8" t="s">
        <v>2215</v>
      </c>
      <c r="M198" s="44">
        <v>79900</v>
      </c>
      <c r="N198" s="64">
        <v>0.7</v>
      </c>
      <c r="O198" s="12">
        <f t="shared" si="4"/>
        <v>23970</v>
      </c>
      <c r="P198" s="6" t="s">
        <v>3499</v>
      </c>
    </row>
    <row r="199" spans="1:16" x14ac:dyDescent="0.25">
      <c r="A199" s="6" t="s">
        <v>3509</v>
      </c>
      <c r="B199" s="7">
        <v>46121</v>
      </c>
      <c r="C199" s="7">
        <v>46127</v>
      </c>
      <c r="D199" s="6">
        <v>3271</v>
      </c>
      <c r="E199" s="6">
        <v>336</v>
      </c>
      <c r="F199" s="6">
        <v>4</v>
      </c>
      <c r="G199" s="8">
        <v>6</v>
      </c>
      <c r="H199" s="8">
        <v>81328</v>
      </c>
      <c r="I199" s="8" t="s">
        <v>543</v>
      </c>
      <c r="J199" s="8">
        <v>51526099</v>
      </c>
      <c r="K199" s="8" t="s">
        <v>2214</v>
      </c>
      <c r="L199" s="8" t="s">
        <v>2216</v>
      </c>
      <c r="M199" s="44">
        <v>79900</v>
      </c>
      <c r="N199" s="64">
        <v>0.7</v>
      </c>
      <c r="O199" s="12">
        <f t="shared" si="4"/>
        <v>23970</v>
      </c>
      <c r="P199" s="6" t="s">
        <v>3499</v>
      </c>
    </row>
    <row r="200" spans="1:16" x14ac:dyDescent="0.25">
      <c r="A200" s="6" t="s">
        <v>3509</v>
      </c>
      <c r="B200" s="7">
        <v>46121</v>
      </c>
      <c r="C200" s="7">
        <v>46127</v>
      </c>
      <c r="D200" s="6">
        <v>3271</v>
      </c>
      <c r="E200" s="6">
        <v>336</v>
      </c>
      <c r="F200" s="6">
        <v>4</v>
      </c>
      <c r="G200" s="8">
        <v>6</v>
      </c>
      <c r="H200" s="8">
        <v>81328</v>
      </c>
      <c r="I200" s="8" t="s">
        <v>543</v>
      </c>
      <c r="J200" s="8">
        <v>51526106</v>
      </c>
      <c r="K200" s="8" t="s">
        <v>2214</v>
      </c>
      <c r="L200" s="8" t="s">
        <v>2217</v>
      </c>
      <c r="M200" s="44">
        <v>79900</v>
      </c>
      <c r="N200" s="64">
        <v>0.7</v>
      </c>
      <c r="O200" s="12">
        <f t="shared" si="4"/>
        <v>23970</v>
      </c>
      <c r="P200" s="6" t="s">
        <v>3499</v>
      </c>
    </row>
    <row r="201" spans="1:16" x14ac:dyDescent="0.25">
      <c r="A201" s="6" t="s">
        <v>3509</v>
      </c>
      <c r="B201" s="7">
        <v>46121</v>
      </c>
      <c r="C201" s="7">
        <v>46127</v>
      </c>
      <c r="D201" s="6">
        <v>3271</v>
      </c>
      <c r="E201" s="6">
        <v>336</v>
      </c>
      <c r="F201" s="6">
        <v>4</v>
      </c>
      <c r="G201" s="8">
        <v>6</v>
      </c>
      <c r="H201" s="8">
        <v>81328</v>
      </c>
      <c r="I201" s="8" t="s">
        <v>543</v>
      </c>
      <c r="J201" s="8">
        <v>51526115</v>
      </c>
      <c r="K201" s="8" t="s">
        <v>2214</v>
      </c>
      <c r="L201" s="8" t="s">
        <v>2218</v>
      </c>
      <c r="M201" s="44">
        <v>79900</v>
      </c>
      <c r="N201" s="64">
        <v>0.7</v>
      </c>
      <c r="O201" s="12">
        <f t="shared" si="4"/>
        <v>23970</v>
      </c>
      <c r="P201" s="6" t="s">
        <v>3499</v>
      </c>
    </row>
    <row r="202" spans="1:16" x14ac:dyDescent="0.25">
      <c r="A202" s="6" t="s">
        <v>3509</v>
      </c>
      <c r="B202" s="7">
        <v>46121</v>
      </c>
      <c r="C202" s="7">
        <v>46127</v>
      </c>
      <c r="D202" s="6">
        <v>3271</v>
      </c>
      <c r="E202" s="6">
        <v>336</v>
      </c>
      <c r="F202" s="6">
        <v>4</v>
      </c>
      <c r="G202" s="35">
        <v>6</v>
      </c>
      <c r="H202" s="35">
        <v>81305</v>
      </c>
      <c r="I202" s="35" t="s">
        <v>543</v>
      </c>
      <c r="J202" s="35">
        <v>52455271</v>
      </c>
      <c r="K202" s="35" t="s">
        <v>2219</v>
      </c>
      <c r="L202" s="35" t="s">
        <v>2220</v>
      </c>
      <c r="M202" s="41">
        <v>89900</v>
      </c>
      <c r="N202" s="64">
        <v>0.7</v>
      </c>
      <c r="O202" s="12">
        <f t="shared" si="4"/>
        <v>26970</v>
      </c>
      <c r="P202" s="6" t="s">
        <v>3499</v>
      </c>
    </row>
    <row r="203" spans="1:16" x14ac:dyDescent="0.25">
      <c r="A203" s="6" t="s">
        <v>3509</v>
      </c>
      <c r="B203" s="7">
        <v>46121</v>
      </c>
      <c r="C203" s="7">
        <v>46127</v>
      </c>
      <c r="D203" s="6">
        <v>3271</v>
      </c>
      <c r="E203" s="6">
        <v>336</v>
      </c>
      <c r="F203" s="6">
        <v>4</v>
      </c>
      <c r="G203" s="35">
        <v>6</v>
      </c>
      <c r="H203" s="35">
        <v>81305</v>
      </c>
      <c r="I203" s="35" t="s">
        <v>543</v>
      </c>
      <c r="J203" s="35">
        <v>52455280</v>
      </c>
      <c r="K203" s="35" t="s">
        <v>2219</v>
      </c>
      <c r="L203" s="35" t="s">
        <v>2221</v>
      </c>
      <c r="M203" s="41">
        <v>89900</v>
      </c>
      <c r="N203" s="64">
        <v>0.7</v>
      </c>
      <c r="O203" s="12">
        <f t="shared" si="4"/>
        <v>26970</v>
      </c>
      <c r="P203" s="6" t="s">
        <v>3499</v>
      </c>
    </row>
    <row r="204" spans="1:16" x14ac:dyDescent="0.25">
      <c r="A204" s="6" t="s">
        <v>3509</v>
      </c>
      <c r="B204" s="7">
        <v>46121</v>
      </c>
      <c r="C204" s="7">
        <v>46127</v>
      </c>
      <c r="D204" s="6">
        <v>3271</v>
      </c>
      <c r="E204" s="6">
        <v>336</v>
      </c>
      <c r="F204" s="6">
        <v>4</v>
      </c>
      <c r="G204" s="35">
        <v>6</v>
      </c>
      <c r="H204" s="35">
        <v>81305</v>
      </c>
      <c r="I204" s="35" t="s">
        <v>543</v>
      </c>
      <c r="J204" s="35">
        <v>52455299</v>
      </c>
      <c r="K204" s="35" t="s">
        <v>2219</v>
      </c>
      <c r="L204" s="35" t="s">
        <v>2222</v>
      </c>
      <c r="M204" s="41">
        <v>89900</v>
      </c>
      <c r="N204" s="64">
        <v>0.7</v>
      </c>
      <c r="O204" s="12">
        <f t="shared" si="4"/>
        <v>26970</v>
      </c>
      <c r="P204" s="6" t="s">
        <v>3499</v>
      </c>
    </row>
    <row r="205" spans="1:16" x14ac:dyDescent="0.25">
      <c r="A205" s="6" t="s">
        <v>3509</v>
      </c>
      <c r="B205" s="7">
        <v>46121</v>
      </c>
      <c r="C205" s="7">
        <v>46127</v>
      </c>
      <c r="D205" s="6">
        <v>3271</v>
      </c>
      <c r="E205" s="6">
        <v>336</v>
      </c>
      <c r="F205" s="6">
        <v>4</v>
      </c>
      <c r="G205" s="35">
        <v>6</v>
      </c>
      <c r="H205" s="35">
        <v>81305</v>
      </c>
      <c r="I205" s="35" t="s">
        <v>543</v>
      </c>
      <c r="J205" s="35">
        <v>52455306</v>
      </c>
      <c r="K205" s="35" t="s">
        <v>2219</v>
      </c>
      <c r="L205" s="35" t="s">
        <v>2223</v>
      </c>
      <c r="M205" s="41">
        <v>89900</v>
      </c>
      <c r="N205" s="64">
        <v>0.7</v>
      </c>
      <c r="O205" s="12">
        <f t="shared" si="4"/>
        <v>26970</v>
      </c>
      <c r="P205" s="6" t="s">
        <v>3499</v>
      </c>
    </row>
    <row r="206" spans="1:16" x14ac:dyDescent="0.25">
      <c r="A206" s="6" t="s">
        <v>3509</v>
      </c>
      <c r="B206" s="7">
        <v>46121</v>
      </c>
      <c r="C206" s="7">
        <v>46127</v>
      </c>
      <c r="D206" s="6">
        <v>3271</v>
      </c>
      <c r="E206" s="6">
        <v>336</v>
      </c>
      <c r="F206" s="6">
        <v>4</v>
      </c>
      <c r="G206" s="35">
        <v>6</v>
      </c>
      <c r="H206" s="35">
        <v>81305</v>
      </c>
      <c r="I206" s="35" t="s">
        <v>543</v>
      </c>
      <c r="J206" s="35">
        <v>52455315</v>
      </c>
      <c r="K206" s="35" t="s">
        <v>2224</v>
      </c>
      <c r="L206" s="35" t="s">
        <v>2225</v>
      </c>
      <c r="M206" s="41">
        <v>89900</v>
      </c>
      <c r="N206" s="64">
        <v>0.7</v>
      </c>
      <c r="O206" s="12">
        <f t="shared" si="4"/>
        <v>26970</v>
      </c>
      <c r="P206" s="6" t="s">
        <v>3499</v>
      </c>
    </row>
    <row r="207" spans="1:16" x14ac:dyDescent="0.25">
      <c r="A207" s="6" t="s">
        <v>3509</v>
      </c>
      <c r="B207" s="7">
        <v>46121</v>
      </c>
      <c r="C207" s="7">
        <v>46127</v>
      </c>
      <c r="D207" s="6">
        <v>3271</v>
      </c>
      <c r="E207" s="6">
        <v>336</v>
      </c>
      <c r="F207" s="6">
        <v>4</v>
      </c>
      <c r="G207" s="35">
        <v>6</v>
      </c>
      <c r="H207" s="35">
        <v>81305</v>
      </c>
      <c r="I207" s="35" t="s">
        <v>543</v>
      </c>
      <c r="J207" s="35">
        <v>52455324</v>
      </c>
      <c r="K207" s="35" t="s">
        <v>2224</v>
      </c>
      <c r="L207" s="35" t="s">
        <v>2226</v>
      </c>
      <c r="M207" s="41">
        <v>89900</v>
      </c>
      <c r="N207" s="64">
        <v>0.7</v>
      </c>
      <c r="O207" s="12">
        <f t="shared" si="4"/>
        <v>26970</v>
      </c>
      <c r="P207" s="6" t="s">
        <v>3499</v>
      </c>
    </row>
    <row r="208" spans="1:16" x14ac:dyDescent="0.25">
      <c r="A208" s="6" t="s">
        <v>3509</v>
      </c>
      <c r="B208" s="7">
        <v>46121</v>
      </c>
      <c r="C208" s="7">
        <v>46127</v>
      </c>
      <c r="D208" s="6">
        <v>3271</v>
      </c>
      <c r="E208" s="6">
        <v>336</v>
      </c>
      <c r="F208" s="6">
        <v>4</v>
      </c>
      <c r="G208" s="35">
        <v>6</v>
      </c>
      <c r="H208" s="35">
        <v>81305</v>
      </c>
      <c r="I208" s="35" t="s">
        <v>543</v>
      </c>
      <c r="J208" s="35">
        <v>52455333</v>
      </c>
      <c r="K208" s="35" t="s">
        <v>2224</v>
      </c>
      <c r="L208" s="35" t="s">
        <v>2227</v>
      </c>
      <c r="M208" s="41">
        <v>89900</v>
      </c>
      <c r="N208" s="64">
        <v>0.7</v>
      </c>
      <c r="O208" s="12">
        <f t="shared" si="4"/>
        <v>26970</v>
      </c>
      <c r="P208" s="6" t="s">
        <v>3499</v>
      </c>
    </row>
    <row r="209" spans="1:16" x14ac:dyDescent="0.25">
      <c r="A209" s="6" t="s">
        <v>3509</v>
      </c>
      <c r="B209" s="7">
        <v>46121</v>
      </c>
      <c r="C209" s="7">
        <v>46127</v>
      </c>
      <c r="D209" s="6">
        <v>3271</v>
      </c>
      <c r="E209" s="6">
        <v>336</v>
      </c>
      <c r="F209" s="6">
        <v>4</v>
      </c>
      <c r="G209" s="35">
        <v>6</v>
      </c>
      <c r="H209" s="35">
        <v>81305</v>
      </c>
      <c r="I209" s="35" t="s">
        <v>543</v>
      </c>
      <c r="J209" s="35">
        <v>52455342</v>
      </c>
      <c r="K209" s="35" t="s">
        <v>2224</v>
      </c>
      <c r="L209" s="35" t="s">
        <v>2228</v>
      </c>
      <c r="M209" s="41">
        <v>89900</v>
      </c>
      <c r="N209" s="64">
        <v>0.7</v>
      </c>
      <c r="O209" s="12">
        <f t="shared" si="4"/>
        <v>26970</v>
      </c>
      <c r="P209" s="6" t="s">
        <v>3499</v>
      </c>
    </row>
    <row r="210" spans="1:16" x14ac:dyDescent="0.25">
      <c r="A210" s="6" t="s">
        <v>3509</v>
      </c>
      <c r="B210" s="7">
        <v>46121</v>
      </c>
      <c r="C210" s="7">
        <v>46127</v>
      </c>
      <c r="D210" s="6">
        <v>3271</v>
      </c>
      <c r="E210" s="6">
        <v>336</v>
      </c>
      <c r="F210" s="6">
        <v>4</v>
      </c>
      <c r="G210" s="35">
        <v>6</v>
      </c>
      <c r="H210" s="35">
        <v>81305</v>
      </c>
      <c r="I210" s="35" t="s">
        <v>543</v>
      </c>
      <c r="J210" s="35">
        <v>52455351</v>
      </c>
      <c r="K210" s="35" t="s">
        <v>2229</v>
      </c>
      <c r="L210" s="35" t="s">
        <v>2230</v>
      </c>
      <c r="M210" s="41">
        <v>89900</v>
      </c>
      <c r="N210" s="64">
        <v>0.7</v>
      </c>
      <c r="O210" s="12">
        <f t="shared" si="4"/>
        <v>26970</v>
      </c>
      <c r="P210" s="6" t="s">
        <v>3499</v>
      </c>
    </row>
    <row r="211" spans="1:16" x14ac:dyDescent="0.25">
      <c r="A211" s="6" t="s">
        <v>3509</v>
      </c>
      <c r="B211" s="7">
        <v>46121</v>
      </c>
      <c r="C211" s="7">
        <v>46127</v>
      </c>
      <c r="D211" s="6">
        <v>3271</v>
      </c>
      <c r="E211" s="6">
        <v>336</v>
      </c>
      <c r="F211" s="6">
        <v>4</v>
      </c>
      <c r="G211" s="35">
        <v>6</v>
      </c>
      <c r="H211" s="35">
        <v>81305</v>
      </c>
      <c r="I211" s="35" t="s">
        <v>543</v>
      </c>
      <c r="J211" s="35">
        <v>52455360</v>
      </c>
      <c r="K211" s="35" t="s">
        <v>2229</v>
      </c>
      <c r="L211" s="35" t="s">
        <v>2231</v>
      </c>
      <c r="M211" s="41">
        <v>89900</v>
      </c>
      <c r="N211" s="64">
        <v>0.7</v>
      </c>
      <c r="O211" s="12">
        <f t="shared" si="4"/>
        <v>26970</v>
      </c>
      <c r="P211" s="6" t="s">
        <v>3499</v>
      </c>
    </row>
    <row r="212" spans="1:16" x14ac:dyDescent="0.25">
      <c r="A212" s="6" t="s">
        <v>3509</v>
      </c>
      <c r="B212" s="7">
        <v>46121</v>
      </c>
      <c r="C212" s="7">
        <v>46127</v>
      </c>
      <c r="D212" s="6">
        <v>3271</v>
      </c>
      <c r="E212" s="6">
        <v>336</v>
      </c>
      <c r="F212" s="6">
        <v>4</v>
      </c>
      <c r="G212" s="35">
        <v>6</v>
      </c>
      <c r="H212" s="35">
        <v>81305</v>
      </c>
      <c r="I212" s="35" t="s">
        <v>543</v>
      </c>
      <c r="J212" s="35">
        <v>52455379</v>
      </c>
      <c r="K212" s="35" t="s">
        <v>2229</v>
      </c>
      <c r="L212" s="35" t="s">
        <v>2232</v>
      </c>
      <c r="M212" s="41">
        <v>89900</v>
      </c>
      <c r="N212" s="64">
        <v>0.7</v>
      </c>
      <c r="O212" s="12">
        <f t="shared" si="4"/>
        <v>26970</v>
      </c>
      <c r="P212" s="6" t="s">
        <v>3499</v>
      </c>
    </row>
    <row r="213" spans="1:16" x14ac:dyDescent="0.25">
      <c r="A213" s="6" t="s">
        <v>3509</v>
      </c>
      <c r="B213" s="7">
        <v>46121</v>
      </c>
      <c r="C213" s="7">
        <v>46127</v>
      </c>
      <c r="D213" s="6">
        <v>3271</v>
      </c>
      <c r="E213" s="6">
        <v>336</v>
      </c>
      <c r="F213" s="6">
        <v>4</v>
      </c>
      <c r="G213" s="35">
        <v>6</v>
      </c>
      <c r="H213" s="35">
        <v>81305</v>
      </c>
      <c r="I213" s="35" t="s">
        <v>543</v>
      </c>
      <c r="J213" s="35">
        <v>52455388</v>
      </c>
      <c r="K213" s="35" t="s">
        <v>2229</v>
      </c>
      <c r="L213" s="35" t="s">
        <v>2233</v>
      </c>
      <c r="M213" s="41">
        <v>89900</v>
      </c>
      <c r="N213" s="64">
        <v>0.7</v>
      </c>
      <c r="O213" s="12">
        <f t="shared" si="4"/>
        <v>26970</v>
      </c>
      <c r="P213" s="6" t="s">
        <v>3499</v>
      </c>
    </row>
    <row r="214" spans="1:16" x14ac:dyDescent="0.25">
      <c r="A214" s="6" t="s">
        <v>3509</v>
      </c>
      <c r="B214" s="7">
        <v>46121</v>
      </c>
      <c r="C214" s="7">
        <v>46127</v>
      </c>
      <c r="D214" s="6">
        <v>3271</v>
      </c>
      <c r="E214" s="6">
        <v>336</v>
      </c>
      <c r="F214" s="6">
        <v>4</v>
      </c>
      <c r="G214" s="35">
        <v>6</v>
      </c>
      <c r="H214" s="35">
        <v>81305</v>
      </c>
      <c r="I214" s="35" t="s">
        <v>543</v>
      </c>
      <c r="J214" s="35">
        <v>52326188</v>
      </c>
      <c r="K214" s="35" t="s">
        <v>2234</v>
      </c>
      <c r="L214" s="35" t="s">
        <v>2235</v>
      </c>
      <c r="M214" s="41">
        <v>89900</v>
      </c>
      <c r="N214" s="64">
        <v>0.7</v>
      </c>
      <c r="O214" s="12">
        <f t="shared" si="4"/>
        <v>26970</v>
      </c>
      <c r="P214" s="6" t="s">
        <v>3499</v>
      </c>
    </row>
    <row r="215" spans="1:16" x14ac:dyDescent="0.25">
      <c r="A215" s="6" t="s">
        <v>3509</v>
      </c>
      <c r="B215" s="7">
        <v>46121</v>
      </c>
      <c r="C215" s="7">
        <v>46127</v>
      </c>
      <c r="D215" s="6">
        <v>3271</v>
      </c>
      <c r="E215" s="6">
        <v>336</v>
      </c>
      <c r="F215" s="6">
        <v>4</v>
      </c>
      <c r="G215" s="35">
        <v>6</v>
      </c>
      <c r="H215" s="35">
        <v>81305</v>
      </c>
      <c r="I215" s="35" t="s">
        <v>543</v>
      </c>
      <c r="J215" s="35">
        <v>52326197</v>
      </c>
      <c r="K215" s="35" t="s">
        <v>2234</v>
      </c>
      <c r="L215" s="35" t="s">
        <v>2236</v>
      </c>
      <c r="M215" s="41">
        <v>89900</v>
      </c>
      <c r="N215" s="64">
        <v>0.7</v>
      </c>
      <c r="O215" s="12">
        <f t="shared" si="4"/>
        <v>26970</v>
      </c>
      <c r="P215" s="6" t="s">
        <v>3499</v>
      </c>
    </row>
    <row r="216" spans="1:16" x14ac:dyDescent="0.25">
      <c r="A216" s="6" t="s">
        <v>3509</v>
      </c>
      <c r="B216" s="7">
        <v>46121</v>
      </c>
      <c r="C216" s="7">
        <v>46127</v>
      </c>
      <c r="D216" s="6">
        <v>3271</v>
      </c>
      <c r="E216" s="6">
        <v>336</v>
      </c>
      <c r="F216" s="6">
        <v>4</v>
      </c>
      <c r="G216" s="35">
        <v>6</v>
      </c>
      <c r="H216" s="35">
        <v>81305</v>
      </c>
      <c r="I216" s="35" t="s">
        <v>543</v>
      </c>
      <c r="J216" s="35">
        <v>52326204</v>
      </c>
      <c r="K216" s="35" t="s">
        <v>2234</v>
      </c>
      <c r="L216" s="35" t="s">
        <v>2237</v>
      </c>
      <c r="M216" s="41">
        <v>89900</v>
      </c>
      <c r="N216" s="64">
        <v>0.7</v>
      </c>
      <c r="O216" s="12">
        <f t="shared" si="4"/>
        <v>26970</v>
      </c>
      <c r="P216" s="6" t="s">
        <v>3499</v>
      </c>
    </row>
    <row r="217" spans="1:16" x14ac:dyDescent="0.25">
      <c r="A217" s="6" t="s">
        <v>3509</v>
      </c>
      <c r="B217" s="7">
        <v>46121</v>
      </c>
      <c r="C217" s="7">
        <v>46127</v>
      </c>
      <c r="D217" s="6">
        <v>3271</v>
      </c>
      <c r="E217" s="6">
        <v>336</v>
      </c>
      <c r="F217" s="6">
        <v>4</v>
      </c>
      <c r="G217" s="35">
        <v>6</v>
      </c>
      <c r="H217" s="35">
        <v>81305</v>
      </c>
      <c r="I217" s="35" t="s">
        <v>543</v>
      </c>
      <c r="J217" s="35">
        <v>52326213</v>
      </c>
      <c r="K217" s="35" t="s">
        <v>2234</v>
      </c>
      <c r="L217" s="35" t="s">
        <v>2238</v>
      </c>
      <c r="M217" s="41">
        <v>89900</v>
      </c>
      <c r="N217" s="64">
        <v>0.7</v>
      </c>
      <c r="O217" s="12">
        <f t="shared" si="4"/>
        <v>26970</v>
      </c>
      <c r="P217" s="6" t="s">
        <v>3499</v>
      </c>
    </row>
    <row r="218" spans="1:16" x14ac:dyDescent="0.25">
      <c r="A218" s="6" t="s">
        <v>3509</v>
      </c>
      <c r="B218" s="7">
        <v>46121</v>
      </c>
      <c r="C218" s="7">
        <v>46127</v>
      </c>
      <c r="D218" s="6">
        <v>3271</v>
      </c>
      <c r="E218" s="6">
        <v>336</v>
      </c>
      <c r="F218" s="6">
        <v>4</v>
      </c>
      <c r="G218" s="35">
        <v>6</v>
      </c>
      <c r="H218" s="35">
        <v>81305</v>
      </c>
      <c r="I218" s="35" t="s">
        <v>543</v>
      </c>
      <c r="J218" s="35">
        <v>52326222</v>
      </c>
      <c r="K218" s="35" t="s">
        <v>2239</v>
      </c>
      <c r="L218" s="35" t="s">
        <v>2240</v>
      </c>
      <c r="M218" s="41">
        <v>89900</v>
      </c>
      <c r="N218" s="64">
        <v>0.7</v>
      </c>
      <c r="O218" s="12">
        <f t="shared" si="4"/>
        <v>26970</v>
      </c>
      <c r="P218" s="6" t="s">
        <v>3499</v>
      </c>
    </row>
    <row r="219" spans="1:16" x14ac:dyDescent="0.25">
      <c r="A219" s="6" t="s">
        <v>3509</v>
      </c>
      <c r="B219" s="7">
        <v>46121</v>
      </c>
      <c r="C219" s="7">
        <v>46127</v>
      </c>
      <c r="D219" s="6">
        <v>3271</v>
      </c>
      <c r="E219" s="6">
        <v>336</v>
      </c>
      <c r="F219" s="6">
        <v>4</v>
      </c>
      <c r="G219" s="35">
        <v>6</v>
      </c>
      <c r="H219" s="35">
        <v>81305</v>
      </c>
      <c r="I219" s="35" t="s">
        <v>543</v>
      </c>
      <c r="J219" s="35">
        <v>52326231</v>
      </c>
      <c r="K219" s="35" t="s">
        <v>2239</v>
      </c>
      <c r="L219" s="35" t="s">
        <v>2241</v>
      </c>
      <c r="M219" s="41">
        <v>89900</v>
      </c>
      <c r="N219" s="64">
        <v>0.7</v>
      </c>
      <c r="O219" s="12">
        <f t="shared" si="4"/>
        <v>26970</v>
      </c>
      <c r="P219" s="6" t="s">
        <v>3499</v>
      </c>
    </row>
    <row r="220" spans="1:16" x14ac:dyDescent="0.25">
      <c r="A220" s="6" t="s">
        <v>3509</v>
      </c>
      <c r="B220" s="7">
        <v>46121</v>
      </c>
      <c r="C220" s="7">
        <v>46127</v>
      </c>
      <c r="D220" s="6">
        <v>3271</v>
      </c>
      <c r="E220" s="6">
        <v>336</v>
      </c>
      <c r="F220" s="6">
        <v>4</v>
      </c>
      <c r="G220" s="35">
        <v>6</v>
      </c>
      <c r="H220" s="35">
        <v>81305</v>
      </c>
      <c r="I220" s="35" t="s">
        <v>543</v>
      </c>
      <c r="J220" s="35">
        <v>52326240</v>
      </c>
      <c r="K220" s="35" t="s">
        <v>2239</v>
      </c>
      <c r="L220" s="35" t="s">
        <v>2242</v>
      </c>
      <c r="M220" s="41">
        <v>89900</v>
      </c>
      <c r="N220" s="64">
        <v>0.7</v>
      </c>
      <c r="O220" s="12">
        <f t="shared" si="4"/>
        <v>26970</v>
      </c>
      <c r="P220" s="6" t="s">
        <v>3499</v>
      </c>
    </row>
    <row r="221" spans="1:16" x14ac:dyDescent="0.25">
      <c r="A221" s="6" t="s">
        <v>3509</v>
      </c>
      <c r="B221" s="7">
        <v>46121</v>
      </c>
      <c r="C221" s="7">
        <v>46127</v>
      </c>
      <c r="D221" s="6">
        <v>3271</v>
      </c>
      <c r="E221" s="6">
        <v>336</v>
      </c>
      <c r="F221" s="6">
        <v>4</v>
      </c>
      <c r="G221" s="35">
        <v>6</v>
      </c>
      <c r="H221" s="35">
        <v>81305</v>
      </c>
      <c r="I221" s="35" t="s">
        <v>543</v>
      </c>
      <c r="J221" s="35">
        <v>52326259</v>
      </c>
      <c r="K221" s="35" t="s">
        <v>2239</v>
      </c>
      <c r="L221" s="35" t="s">
        <v>2243</v>
      </c>
      <c r="M221" s="41">
        <v>89900</v>
      </c>
      <c r="N221" s="64">
        <v>0.7</v>
      </c>
      <c r="O221" s="12">
        <f t="shared" si="4"/>
        <v>26970</v>
      </c>
      <c r="P221" s="6" t="s">
        <v>3499</v>
      </c>
    </row>
    <row r="222" spans="1:16" x14ac:dyDescent="0.25">
      <c r="A222" s="6" t="s">
        <v>3509</v>
      </c>
      <c r="B222" s="7">
        <v>46121</v>
      </c>
      <c r="C222" s="7">
        <v>46127</v>
      </c>
      <c r="D222" s="6">
        <v>3271</v>
      </c>
      <c r="E222" s="6">
        <v>336</v>
      </c>
      <c r="F222" s="6">
        <v>4</v>
      </c>
      <c r="G222" s="35">
        <v>6</v>
      </c>
      <c r="H222" s="35">
        <v>81305</v>
      </c>
      <c r="I222" s="35" t="s">
        <v>543</v>
      </c>
      <c r="J222" s="35">
        <v>52326268</v>
      </c>
      <c r="K222" s="35" t="s">
        <v>2244</v>
      </c>
      <c r="L222" s="35" t="s">
        <v>2245</v>
      </c>
      <c r="M222" s="41">
        <v>89900</v>
      </c>
      <c r="N222" s="64">
        <v>0.7</v>
      </c>
      <c r="O222" s="12">
        <f t="shared" si="4"/>
        <v>26970</v>
      </c>
      <c r="P222" s="6" t="s">
        <v>3499</v>
      </c>
    </row>
    <row r="223" spans="1:16" x14ac:dyDescent="0.25">
      <c r="A223" s="6" t="s">
        <v>3509</v>
      </c>
      <c r="B223" s="7">
        <v>46121</v>
      </c>
      <c r="C223" s="7">
        <v>46127</v>
      </c>
      <c r="D223" s="6">
        <v>3271</v>
      </c>
      <c r="E223" s="6">
        <v>336</v>
      </c>
      <c r="F223" s="6">
        <v>4</v>
      </c>
      <c r="G223" s="35">
        <v>6</v>
      </c>
      <c r="H223" s="35">
        <v>81305</v>
      </c>
      <c r="I223" s="35" t="s">
        <v>543</v>
      </c>
      <c r="J223" s="35">
        <v>52326277</v>
      </c>
      <c r="K223" s="35" t="s">
        <v>2244</v>
      </c>
      <c r="L223" s="35" t="s">
        <v>2246</v>
      </c>
      <c r="M223" s="41">
        <v>89900</v>
      </c>
      <c r="N223" s="64">
        <v>0.7</v>
      </c>
      <c r="O223" s="12">
        <f t="shared" si="4"/>
        <v>26970</v>
      </c>
      <c r="P223" s="6" t="s">
        <v>3499</v>
      </c>
    </row>
    <row r="224" spans="1:16" x14ac:dyDescent="0.25">
      <c r="A224" s="6" t="s">
        <v>3509</v>
      </c>
      <c r="B224" s="7">
        <v>46121</v>
      </c>
      <c r="C224" s="7">
        <v>46127</v>
      </c>
      <c r="D224" s="6">
        <v>3271</v>
      </c>
      <c r="E224" s="6">
        <v>336</v>
      </c>
      <c r="F224" s="6">
        <v>4</v>
      </c>
      <c r="G224" s="35">
        <v>6</v>
      </c>
      <c r="H224" s="35">
        <v>81305</v>
      </c>
      <c r="I224" s="35" t="s">
        <v>543</v>
      </c>
      <c r="J224" s="35">
        <v>52326286</v>
      </c>
      <c r="K224" s="35" t="s">
        <v>2244</v>
      </c>
      <c r="L224" s="35" t="s">
        <v>2247</v>
      </c>
      <c r="M224" s="41">
        <v>89900</v>
      </c>
      <c r="N224" s="64">
        <v>0.7</v>
      </c>
      <c r="O224" s="12">
        <f t="shared" si="4"/>
        <v>26970</v>
      </c>
      <c r="P224" s="6" t="s">
        <v>3499</v>
      </c>
    </row>
    <row r="225" spans="1:16" x14ac:dyDescent="0.25">
      <c r="A225" s="6" t="s">
        <v>3509</v>
      </c>
      <c r="B225" s="7">
        <v>46121</v>
      </c>
      <c r="C225" s="7">
        <v>46127</v>
      </c>
      <c r="D225" s="6">
        <v>3271</v>
      </c>
      <c r="E225" s="6">
        <v>336</v>
      </c>
      <c r="F225" s="6">
        <v>4</v>
      </c>
      <c r="G225" s="35">
        <v>6</v>
      </c>
      <c r="H225" s="35">
        <v>81305</v>
      </c>
      <c r="I225" s="35" t="s">
        <v>543</v>
      </c>
      <c r="J225" s="35">
        <v>52326295</v>
      </c>
      <c r="K225" s="35" t="s">
        <v>2244</v>
      </c>
      <c r="L225" s="35" t="s">
        <v>2248</v>
      </c>
      <c r="M225" s="41">
        <v>89900</v>
      </c>
      <c r="N225" s="64">
        <v>0.7</v>
      </c>
      <c r="O225" s="12">
        <f t="shared" si="4"/>
        <v>26970</v>
      </c>
      <c r="P225" s="6" t="s">
        <v>3499</v>
      </c>
    </row>
    <row r="226" spans="1:16" x14ac:dyDescent="0.25">
      <c r="A226" s="6" t="s">
        <v>3509</v>
      </c>
      <c r="B226" s="7">
        <v>46121</v>
      </c>
      <c r="C226" s="7">
        <v>46127</v>
      </c>
      <c r="D226" s="6">
        <v>3271</v>
      </c>
      <c r="E226" s="6">
        <v>336</v>
      </c>
      <c r="F226" s="6">
        <v>4</v>
      </c>
      <c r="G226" s="35">
        <v>6</v>
      </c>
      <c r="H226" s="35">
        <v>81305</v>
      </c>
      <c r="I226" s="35" t="s">
        <v>543</v>
      </c>
      <c r="J226" s="35">
        <v>52326348</v>
      </c>
      <c r="K226" s="35" t="s">
        <v>2249</v>
      </c>
      <c r="L226" s="35" t="s">
        <v>2250</v>
      </c>
      <c r="M226" s="41">
        <v>89900</v>
      </c>
      <c r="N226" s="64">
        <v>0.7</v>
      </c>
      <c r="O226" s="12">
        <f t="shared" si="4"/>
        <v>26970</v>
      </c>
      <c r="P226" s="6" t="s">
        <v>3499</v>
      </c>
    </row>
    <row r="227" spans="1:16" x14ac:dyDescent="0.25">
      <c r="A227" s="6" t="s">
        <v>3509</v>
      </c>
      <c r="B227" s="7">
        <v>46121</v>
      </c>
      <c r="C227" s="7">
        <v>46127</v>
      </c>
      <c r="D227" s="6">
        <v>3271</v>
      </c>
      <c r="E227" s="6">
        <v>336</v>
      </c>
      <c r="F227" s="6">
        <v>4</v>
      </c>
      <c r="G227" s="35">
        <v>6</v>
      </c>
      <c r="H227" s="35">
        <v>81305</v>
      </c>
      <c r="I227" s="35" t="s">
        <v>543</v>
      </c>
      <c r="J227" s="35">
        <v>52326357</v>
      </c>
      <c r="K227" s="35" t="s">
        <v>2249</v>
      </c>
      <c r="L227" s="35" t="s">
        <v>2251</v>
      </c>
      <c r="M227" s="41">
        <v>89900</v>
      </c>
      <c r="N227" s="64">
        <v>0.7</v>
      </c>
      <c r="O227" s="12">
        <f t="shared" si="4"/>
        <v>26970</v>
      </c>
      <c r="P227" s="6" t="s">
        <v>3499</v>
      </c>
    </row>
    <row r="228" spans="1:16" x14ac:dyDescent="0.25">
      <c r="A228" s="6" t="s">
        <v>3509</v>
      </c>
      <c r="B228" s="7">
        <v>46121</v>
      </c>
      <c r="C228" s="7">
        <v>46127</v>
      </c>
      <c r="D228" s="6">
        <v>3271</v>
      </c>
      <c r="E228" s="6">
        <v>336</v>
      </c>
      <c r="F228" s="6">
        <v>4</v>
      </c>
      <c r="G228" s="35">
        <v>6</v>
      </c>
      <c r="H228" s="35">
        <v>81305</v>
      </c>
      <c r="I228" s="35" t="s">
        <v>543</v>
      </c>
      <c r="J228" s="35">
        <v>52326366</v>
      </c>
      <c r="K228" s="35" t="s">
        <v>2249</v>
      </c>
      <c r="L228" s="35" t="s">
        <v>2252</v>
      </c>
      <c r="M228" s="41">
        <v>89900</v>
      </c>
      <c r="N228" s="64">
        <v>0.7</v>
      </c>
      <c r="O228" s="12">
        <f t="shared" si="4"/>
        <v>26970</v>
      </c>
      <c r="P228" s="6" t="s">
        <v>3499</v>
      </c>
    </row>
    <row r="229" spans="1:16" x14ac:dyDescent="0.25">
      <c r="A229" s="6" t="s">
        <v>3509</v>
      </c>
      <c r="B229" s="7">
        <v>46121</v>
      </c>
      <c r="C229" s="7">
        <v>46127</v>
      </c>
      <c r="D229" s="6">
        <v>3271</v>
      </c>
      <c r="E229" s="6">
        <v>336</v>
      </c>
      <c r="F229" s="6">
        <v>4</v>
      </c>
      <c r="G229" s="35">
        <v>6</v>
      </c>
      <c r="H229" s="35">
        <v>81305</v>
      </c>
      <c r="I229" s="35" t="s">
        <v>543</v>
      </c>
      <c r="J229" s="35">
        <v>52326375</v>
      </c>
      <c r="K229" s="35" t="s">
        <v>2249</v>
      </c>
      <c r="L229" s="35" t="s">
        <v>2253</v>
      </c>
      <c r="M229" s="41">
        <v>89900</v>
      </c>
      <c r="N229" s="64">
        <v>0.7</v>
      </c>
      <c r="O229" s="12">
        <f t="shared" si="4"/>
        <v>26970</v>
      </c>
      <c r="P229" s="6" t="s">
        <v>3499</v>
      </c>
    </row>
    <row r="230" spans="1:16" x14ac:dyDescent="0.25">
      <c r="A230" s="6" t="s">
        <v>3509</v>
      </c>
      <c r="B230" s="7">
        <v>46121</v>
      </c>
      <c r="C230" s="7">
        <v>46127</v>
      </c>
      <c r="D230" s="6">
        <v>3271</v>
      </c>
      <c r="E230" s="6">
        <v>336</v>
      </c>
      <c r="F230" s="6">
        <v>4</v>
      </c>
      <c r="G230" s="35">
        <v>6</v>
      </c>
      <c r="H230" s="35">
        <v>4953</v>
      </c>
      <c r="I230" s="35" t="s">
        <v>543</v>
      </c>
      <c r="J230" s="35">
        <v>53336844</v>
      </c>
      <c r="K230" s="35" t="s">
        <v>2254</v>
      </c>
      <c r="L230" s="35" t="s">
        <v>2255</v>
      </c>
      <c r="M230" s="41">
        <v>79900</v>
      </c>
      <c r="N230" s="64">
        <v>0.7</v>
      </c>
      <c r="O230" s="12">
        <f t="shared" si="4"/>
        <v>23970</v>
      </c>
      <c r="P230" s="6" t="s">
        <v>3499</v>
      </c>
    </row>
    <row r="231" spans="1:16" x14ac:dyDescent="0.25">
      <c r="A231" s="6" t="s">
        <v>3509</v>
      </c>
      <c r="B231" s="7">
        <v>46121</v>
      </c>
      <c r="C231" s="7">
        <v>46127</v>
      </c>
      <c r="D231" s="6">
        <v>3271</v>
      </c>
      <c r="E231" s="6">
        <v>336</v>
      </c>
      <c r="F231" s="6">
        <v>4</v>
      </c>
      <c r="G231" s="35">
        <v>6</v>
      </c>
      <c r="H231" s="35">
        <v>4953</v>
      </c>
      <c r="I231" s="35" t="s">
        <v>543</v>
      </c>
      <c r="J231" s="35">
        <v>53336853</v>
      </c>
      <c r="K231" s="35" t="s">
        <v>2254</v>
      </c>
      <c r="L231" s="35" t="s">
        <v>2256</v>
      </c>
      <c r="M231" s="41">
        <v>79900</v>
      </c>
      <c r="N231" s="64">
        <v>0.7</v>
      </c>
      <c r="O231" s="12">
        <f t="shared" si="4"/>
        <v>23970</v>
      </c>
      <c r="P231" s="6" t="s">
        <v>3499</v>
      </c>
    </row>
    <row r="232" spans="1:16" x14ac:dyDescent="0.25">
      <c r="A232" s="6" t="s">
        <v>3509</v>
      </c>
      <c r="B232" s="7">
        <v>46121</v>
      </c>
      <c r="C232" s="7">
        <v>46127</v>
      </c>
      <c r="D232" s="6">
        <v>3271</v>
      </c>
      <c r="E232" s="6">
        <v>336</v>
      </c>
      <c r="F232" s="6">
        <v>4</v>
      </c>
      <c r="G232" s="35">
        <v>6</v>
      </c>
      <c r="H232" s="35">
        <v>4953</v>
      </c>
      <c r="I232" s="35" t="s">
        <v>543</v>
      </c>
      <c r="J232" s="35">
        <v>53336862</v>
      </c>
      <c r="K232" s="35" t="s">
        <v>2254</v>
      </c>
      <c r="L232" s="35" t="s">
        <v>2257</v>
      </c>
      <c r="M232" s="41">
        <v>79900</v>
      </c>
      <c r="N232" s="64">
        <v>0.7</v>
      </c>
      <c r="O232" s="12">
        <f t="shared" si="4"/>
        <v>23970</v>
      </c>
      <c r="P232" s="6" t="s">
        <v>3499</v>
      </c>
    </row>
    <row r="233" spans="1:16" x14ac:dyDescent="0.25">
      <c r="A233" s="6" t="s">
        <v>3509</v>
      </c>
      <c r="B233" s="7">
        <v>46121</v>
      </c>
      <c r="C233" s="7">
        <v>46127</v>
      </c>
      <c r="D233" s="6">
        <v>3271</v>
      </c>
      <c r="E233" s="6">
        <v>336</v>
      </c>
      <c r="F233" s="6">
        <v>4</v>
      </c>
      <c r="G233" s="35">
        <v>6</v>
      </c>
      <c r="H233" s="35">
        <v>4953</v>
      </c>
      <c r="I233" s="35" t="s">
        <v>543</v>
      </c>
      <c r="J233" s="35">
        <v>53336871</v>
      </c>
      <c r="K233" s="35" t="s">
        <v>2254</v>
      </c>
      <c r="L233" s="35" t="s">
        <v>2258</v>
      </c>
      <c r="M233" s="41">
        <v>79900</v>
      </c>
      <c r="N233" s="64">
        <v>0.7</v>
      </c>
      <c r="O233" s="12">
        <f t="shared" si="4"/>
        <v>23970</v>
      </c>
      <c r="P233" s="6" t="s">
        <v>3499</v>
      </c>
    </row>
    <row r="234" spans="1:16" x14ac:dyDescent="0.25">
      <c r="A234" s="6" t="s">
        <v>3509</v>
      </c>
      <c r="B234" s="7">
        <v>46121</v>
      </c>
      <c r="C234" s="7">
        <v>46127</v>
      </c>
      <c r="D234" s="6">
        <v>3271</v>
      </c>
      <c r="E234" s="6">
        <v>336</v>
      </c>
      <c r="F234" s="6">
        <v>4</v>
      </c>
      <c r="G234" s="35">
        <v>6</v>
      </c>
      <c r="H234" s="35">
        <v>4953</v>
      </c>
      <c r="I234" s="35" t="s">
        <v>543</v>
      </c>
      <c r="J234" s="35">
        <v>53336880</v>
      </c>
      <c r="K234" s="35" t="s">
        <v>2259</v>
      </c>
      <c r="L234" s="35" t="s">
        <v>2260</v>
      </c>
      <c r="M234" s="41">
        <v>79900</v>
      </c>
      <c r="N234" s="64">
        <v>0.7</v>
      </c>
      <c r="O234" s="12">
        <f t="shared" si="4"/>
        <v>23970</v>
      </c>
      <c r="P234" s="6" t="s">
        <v>3499</v>
      </c>
    </row>
    <row r="235" spans="1:16" x14ac:dyDescent="0.25">
      <c r="A235" s="6" t="s">
        <v>3509</v>
      </c>
      <c r="B235" s="7">
        <v>46121</v>
      </c>
      <c r="C235" s="7">
        <v>46127</v>
      </c>
      <c r="D235" s="6">
        <v>3271</v>
      </c>
      <c r="E235" s="6">
        <v>336</v>
      </c>
      <c r="F235" s="6">
        <v>4</v>
      </c>
      <c r="G235" s="35">
        <v>6</v>
      </c>
      <c r="H235" s="35">
        <v>4953</v>
      </c>
      <c r="I235" s="35" t="s">
        <v>543</v>
      </c>
      <c r="J235" s="35">
        <v>53336899</v>
      </c>
      <c r="K235" s="35" t="s">
        <v>2259</v>
      </c>
      <c r="L235" s="35" t="s">
        <v>2261</v>
      </c>
      <c r="M235" s="41">
        <v>79900</v>
      </c>
      <c r="N235" s="64">
        <v>0.7</v>
      </c>
      <c r="O235" s="12">
        <f t="shared" si="4"/>
        <v>23970</v>
      </c>
      <c r="P235" s="6" t="s">
        <v>3499</v>
      </c>
    </row>
    <row r="236" spans="1:16" x14ac:dyDescent="0.25">
      <c r="A236" s="6" t="s">
        <v>3509</v>
      </c>
      <c r="B236" s="7">
        <v>46121</v>
      </c>
      <c r="C236" s="7">
        <v>46127</v>
      </c>
      <c r="D236" s="6">
        <v>3271</v>
      </c>
      <c r="E236" s="6">
        <v>336</v>
      </c>
      <c r="F236" s="6">
        <v>4</v>
      </c>
      <c r="G236" s="35">
        <v>6</v>
      </c>
      <c r="H236" s="35">
        <v>4953</v>
      </c>
      <c r="I236" s="35" t="s">
        <v>543</v>
      </c>
      <c r="J236" s="35">
        <v>53336906</v>
      </c>
      <c r="K236" s="35" t="s">
        <v>2259</v>
      </c>
      <c r="L236" s="35" t="s">
        <v>2262</v>
      </c>
      <c r="M236" s="41">
        <v>79900</v>
      </c>
      <c r="N236" s="64">
        <v>0.7</v>
      </c>
      <c r="O236" s="12">
        <f t="shared" si="4"/>
        <v>23970</v>
      </c>
      <c r="P236" s="6" t="s">
        <v>3499</v>
      </c>
    </row>
    <row r="237" spans="1:16" x14ac:dyDescent="0.25">
      <c r="A237" s="6" t="s">
        <v>3509</v>
      </c>
      <c r="B237" s="7">
        <v>46121</v>
      </c>
      <c r="C237" s="7">
        <v>46127</v>
      </c>
      <c r="D237" s="6">
        <v>3271</v>
      </c>
      <c r="E237" s="6">
        <v>336</v>
      </c>
      <c r="F237" s="6">
        <v>4</v>
      </c>
      <c r="G237" s="35">
        <v>6</v>
      </c>
      <c r="H237" s="35">
        <v>4953</v>
      </c>
      <c r="I237" s="35" t="s">
        <v>543</v>
      </c>
      <c r="J237" s="35">
        <v>53336915</v>
      </c>
      <c r="K237" s="35" t="s">
        <v>2259</v>
      </c>
      <c r="L237" s="35" t="s">
        <v>2263</v>
      </c>
      <c r="M237" s="41">
        <v>79900</v>
      </c>
      <c r="N237" s="64">
        <v>0.7</v>
      </c>
      <c r="O237" s="12">
        <f t="shared" si="4"/>
        <v>23970</v>
      </c>
      <c r="P237" s="6" t="s">
        <v>3499</v>
      </c>
    </row>
    <row r="238" spans="1:16" x14ac:dyDescent="0.25">
      <c r="A238" s="6" t="s">
        <v>3509</v>
      </c>
      <c r="B238" s="7">
        <v>46121</v>
      </c>
      <c r="C238" s="7">
        <v>46127</v>
      </c>
      <c r="D238" s="6">
        <v>3271</v>
      </c>
      <c r="E238" s="6">
        <v>336</v>
      </c>
      <c r="F238" s="6">
        <v>4</v>
      </c>
      <c r="G238" s="35">
        <v>6</v>
      </c>
      <c r="H238" s="35">
        <v>4953</v>
      </c>
      <c r="I238" s="35" t="s">
        <v>543</v>
      </c>
      <c r="J238" s="35">
        <v>53336924</v>
      </c>
      <c r="K238" s="35" t="s">
        <v>2264</v>
      </c>
      <c r="L238" s="35" t="s">
        <v>2265</v>
      </c>
      <c r="M238" s="41">
        <v>79900</v>
      </c>
      <c r="N238" s="64">
        <v>0.7</v>
      </c>
      <c r="O238" s="12">
        <f t="shared" si="4"/>
        <v>23970</v>
      </c>
      <c r="P238" s="6" t="s">
        <v>3499</v>
      </c>
    </row>
    <row r="239" spans="1:16" x14ac:dyDescent="0.25">
      <c r="A239" s="6" t="s">
        <v>3509</v>
      </c>
      <c r="B239" s="7">
        <v>46121</v>
      </c>
      <c r="C239" s="7">
        <v>46127</v>
      </c>
      <c r="D239" s="6">
        <v>3271</v>
      </c>
      <c r="E239" s="6">
        <v>336</v>
      </c>
      <c r="F239" s="6">
        <v>4</v>
      </c>
      <c r="G239" s="35">
        <v>6</v>
      </c>
      <c r="H239" s="35">
        <v>4953</v>
      </c>
      <c r="I239" s="35" t="s">
        <v>543</v>
      </c>
      <c r="J239" s="35">
        <v>53336933</v>
      </c>
      <c r="K239" s="35" t="s">
        <v>2264</v>
      </c>
      <c r="L239" s="35" t="s">
        <v>2266</v>
      </c>
      <c r="M239" s="41">
        <v>79900</v>
      </c>
      <c r="N239" s="64">
        <v>0.7</v>
      </c>
      <c r="O239" s="12">
        <f t="shared" si="4"/>
        <v>23970</v>
      </c>
      <c r="P239" s="6" t="s">
        <v>3499</v>
      </c>
    </row>
    <row r="240" spans="1:16" x14ac:dyDescent="0.25">
      <c r="A240" s="6" t="s">
        <v>3509</v>
      </c>
      <c r="B240" s="7">
        <v>46121</v>
      </c>
      <c r="C240" s="7">
        <v>46127</v>
      </c>
      <c r="D240" s="6">
        <v>3271</v>
      </c>
      <c r="E240" s="6">
        <v>336</v>
      </c>
      <c r="F240" s="6">
        <v>4</v>
      </c>
      <c r="G240" s="35">
        <v>6</v>
      </c>
      <c r="H240" s="35">
        <v>4953</v>
      </c>
      <c r="I240" s="35" t="s">
        <v>543</v>
      </c>
      <c r="J240" s="35">
        <v>53336942</v>
      </c>
      <c r="K240" s="35" t="s">
        <v>2264</v>
      </c>
      <c r="L240" s="35" t="s">
        <v>2267</v>
      </c>
      <c r="M240" s="41">
        <v>79900</v>
      </c>
      <c r="N240" s="64">
        <v>0.7</v>
      </c>
      <c r="O240" s="12">
        <f t="shared" si="4"/>
        <v>23970</v>
      </c>
      <c r="P240" s="6" t="s">
        <v>3499</v>
      </c>
    </row>
    <row r="241" spans="1:16" x14ac:dyDescent="0.25">
      <c r="A241" s="6" t="s">
        <v>3509</v>
      </c>
      <c r="B241" s="7">
        <v>46121</v>
      </c>
      <c r="C241" s="7">
        <v>46127</v>
      </c>
      <c r="D241" s="6">
        <v>3271</v>
      </c>
      <c r="E241" s="6">
        <v>336</v>
      </c>
      <c r="F241" s="6">
        <v>4</v>
      </c>
      <c r="G241" s="35">
        <v>6</v>
      </c>
      <c r="H241" s="35">
        <v>4953</v>
      </c>
      <c r="I241" s="35" t="s">
        <v>543</v>
      </c>
      <c r="J241" s="35">
        <v>53336951</v>
      </c>
      <c r="K241" s="35" t="s">
        <v>2264</v>
      </c>
      <c r="L241" s="35" t="s">
        <v>2268</v>
      </c>
      <c r="M241" s="41">
        <v>79900</v>
      </c>
      <c r="N241" s="64">
        <v>0.7</v>
      </c>
      <c r="O241" s="12">
        <f t="shared" si="4"/>
        <v>23970</v>
      </c>
      <c r="P241" s="6" t="s">
        <v>3499</v>
      </c>
    </row>
    <row r="242" spans="1:16" x14ac:dyDescent="0.25">
      <c r="A242" s="6" t="s">
        <v>3509</v>
      </c>
      <c r="B242" s="7">
        <v>46121</v>
      </c>
      <c r="C242" s="7">
        <v>46127</v>
      </c>
      <c r="D242" s="6">
        <v>3271</v>
      </c>
      <c r="E242" s="6">
        <v>336</v>
      </c>
      <c r="F242" s="6">
        <v>4</v>
      </c>
      <c r="G242" s="35">
        <v>6</v>
      </c>
      <c r="H242" s="35">
        <v>4953</v>
      </c>
      <c r="I242" s="35" t="s">
        <v>543</v>
      </c>
      <c r="J242" s="35">
        <v>53336960</v>
      </c>
      <c r="K242" s="35" t="s">
        <v>2269</v>
      </c>
      <c r="L242" s="35" t="s">
        <v>2270</v>
      </c>
      <c r="M242" s="41">
        <v>79900</v>
      </c>
      <c r="N242" s="64">
        <v>0.7</v>
      </c>
      <c r="O242" s="12">
        <f t="shared" si="4"/>
        <v>23970</v>
      </c>
      <c r="P242" s="6" t="s">
        <v>3499</v>
      </c>
    </row>
    <row r="243" spans="1:16" x14ac:dyDescent="0.25">
      <c r="A243" s="6" t="s">
        <v>3509</v>
      </c>
      <c r="B243" s="7">
        <v>46121</v>
      </c>
      <c r="C243" s="7">
        <v>46127</v>
      </c>
      <c r="D243" s="6">
        <v>3271</v>
      </c>
      <c r="E243" s="6">
        <v>336</v>
      </c>
      <c r="F243" s="6">
        <v>4</v>
      </c>
      <c r="G243" s="35">
        <v>6</v>
      </c>
      <c r="H243" s="35">
        <v>4953</v>
      </c>
      <c r="I243" s="35" t="s">
        <v>543</v>
      </c>
      <c r="J243" s="35">
        <v>53336979</v>
      </c>
      <c r="K243" s="35" t="s">
        <v>2269</v>
      </c>
      <c r="L243" s="35" t="s">
        <v>2271</v>
      </c>
      <c r="M243" s="41">
        <v>79900</v>
      </c>
      <c r="N243" s="64">
        <v>0.7</v>
      </c>
      <c r="O243" s="12">
        <f t="shared" si="4"/>
        <v>23970</v>
      </c>
      <c r="P243" s="6" t="s">
        <v>3499</v>
      </c>
    </row>
    <row r="244" spans="1:16" x14ac:dyDescent="0.25">
      <c r="A244" s="6" t="s">
        <v>3509</v>
      </c>
      <c r="B244" s="7">
        <v>46121</v>
      </c>
      <c r="C244" s="7">
        <v>46127</v>
      </c>
      <c r="D244" s="6">
        <v>3271</v>
      </c>
      <c r="E244" s="6">
        <v>336</v>
      </c>
      <c r="F244" s="6">
        <v>4</v>
      </c>
      <c r="G244" s="35">
        <v>6</v>
      </c>
      <c r="H244" s="35">
        <v>4953</v>
      </c>
      <c r="I244" s="35" t="s">
        <v>543</v>
      </c>
      <c r="J244" s="35">
        <v>53336988</v>
      </c>
      <c r="K244" s="35" t="s">
        <v>2269</v>
      </c>
      <c r="L244" s="35" t="s">
        <v>2272</v>
      </c>
      <c r="M244" s="41">
        <v>79900</v>
      </c>
      <c r="N244" s="64">
        <v>0.7</v>
      </c>
      <c r="O244" s="12">
        <f t="shared" si="4"/>
        <v>23970</v>
      </c>
      <c r="P244" s="6" t="s">
        <v>3499</v>
      </c>
    </row>
    <row r="245" spans="1:16" x14ac:dyDescent="0.25">
      <c r="A245" s="6" t="s">
        <v>3509</v>
      </c>
      <c r="B245" s="7">
        <v>46121</v>
      </c>
      <c r="C245" s="7">
        <v>46127</v>
      </c>
      <c r="D245" s="6">
        <v>3271</v>
      </c>
      <c r="E245" s="6">
        <v>336</v>
      </c>
      <c r="F245" s="6">
        <v>4</v>
      </c>
      <c r="G245" s="35">
        <v>6</v>
      </c>
      <c r="H245" s="35">
        <v>4953</v>
      </c>
      <c r="I245" s="35" t="s">
        <v>543</v>
      </c>
      <c r="J245" s="35">
        <v>53336997</v>
      </c>
      <c r="K245" s="35" t="s">
        <v>2269</v>
      </c>
      <c r="L245" s="35" t="s">
        <v>2273</v>
      </c>
      <c r="M245" s="41">
        <v>79900</v>
      </c>
      <c r="N245" s="64">
        <v>0.7</v>
      </c>
      <c r="O245" s="12">
        <f t="shared" si="4"/>
        <v>23970</v>
      </c>
      <c r="P245" s="6" t="s">
        <v>3499</v>
      </c>
    </row>
    <row r="246" spans="1:16" x14ac:dyDescent="0.25">
      <c r="A246" s="6" t="s">
        <v>3509</v>
      </c>
      <c r="B246" s="7">
        <v>46121</v>
      </c>
      <c r="C246" s="7">
        <v>46127</v>
      </c>
      <c r="D246" s="6">
        <v>3271</v>
      </c>
      <c r="E246" s="6">
        <v>336</v>
      </c>
      <c r="F246" s="6">
        <v>4</v>
      </c>
      <c r="G246" s="35">
        <v>6</v>
      </c>
      <c r="H246" s="35">
        <v>4953</v>
      </c>
      <c r="I246" s="35" t="s">
        <v>543</v>
      </c>
      <c r="J246" s="35">
        <v>53337003</v>
      </c>
      <c r="K246" s="35" t="s">
        <v>2274</v>
      </c>
      <c r="L246" s="35" t="s">
        <v>2275</v>
      </c>
      <c r="M246" s="41">
        <v>79900</v>
      </c>
      <c r="N246" s="64">
        <v>0.7</v>
      </c>
      <c r="O246" s="12">
        <f t="shared" si="4"/>
        <v>23970</v>
      </c>
      <c r="P246" s="6" t="s">
        <v>3499</v>
      </c>
    </row>
    <row r="247" spans="1:16" x14ac:dyDescent="0.25">
      <c r="A247" s="6" t="s">
        <v>3509</v>
      </c>
      <c r="B247" s="7">
        <v>46121</v>
      </c>
      <c r="C247" s="7">
        <v>46127</v>
      </c>
      <c r="D247" s="6">
        <v>3271</v>
      </c>
      <c r="E247" s="6">
        <v>336</v>
      </c>
      <c r="F247" s="6">
        <v>4</v>
      </c>
      <c r="G247" s="35">
        <v>6</v>
      </c>
      <c r="H247" s="35">
        <v>4953</v>
      </c>
      <c r="I247" s="35" t="s">
        <v>543</v>
      </c>
      <c r="J247" s="35">
        <v>53337012</v>
      </c>
      <c r="K247" s="35" t="s">
        <v>2274</v>
      </c>
      <c r="L247" s="35" t="s">
        <v>2276</v>
      </c>
      <c r="M247" s="41">
        <v>79900</v>
      </c>
      <c r="N247" s="64">
        <v>0.7</v>
      </c>
      <c r="O247" s="12">
        <f t="shared" si="4"/>
        <v>23970</v>
      </c>
      <c r="P247" s="6" t="s">
        <v>3499</v>
      </c>
    </row>
    <row r="248" spans="1:16" x14ac:dyDescent="0.25">
      <c r="A248" s="6" t="s">
        <v>3509</v>
      </c>
      <c r="B248" s="7">
        <v>46121</v>
      </c>
      <c r="C248" s="7">
        <v>46127</v>
      </c>
      <c r="D248" s="6">
        <v>3271</v>
      </c>
      <c r="E248" s="6">
        <v>336</v>
      </c>
      <c r="F248" s="6">
        <v>4</v>
      </c>
      <c r="G248" s="35">
        <v>6</v>
      </c>
      <c r="H248" s="35">
        <v>4953</v>
      </c>
      <c r="I248" s="35" t="s">
        <v>543</v>
      </c>
      <c r="J248" s="35">
        <v>53337021</v>
      </c>
      <c r="K248" s="35" t="s">
        <v>2274</v>
      </c>
      <c r="L248" s="35" t="s">
        <v>2277</v>
      </c>
      <c r="M248" s="41">
        <v>79900</v>
      </c>
      <c r="N248" s="64">
        <v>0.7</v>
      </c>
      <c r="O248" s="12">
        <f t="shared" si="4"/>
        <v>23970</v>
      </c>
      <c r="P248" s="6" t="s">
        <v>3499</v>
      </c>
    </row>
    <row r="249" spans="1:16" x14ac:dyDescent="0.25">
      <c r="A249" s="6" t="s">
        <v>3509</v>
      </c>
      <c r="B249" s="7">
        <v>46121</v>
      </c>
      <c r="C249" s="7">
        <v>46127</v>
      </c>
      <c r="D249" s="6">
        <v>3271</v>
      </c>
      <c r="E249" s="6">
        <v>336</v>
      </c>
      <c r="F249" s="6">
        <v>4</v>
      </c>
      <c r="G249" s="35">
        <v>6</v>
      </c>
      <c r="H249" s="35">
        <v>4953</v>
      </c>
      <c r="I249" s="35" t="s">
        <v>543</v>
      </c>
      <c r="J249" s="35">
        <v>53337030</v>
      </c>
      <c r="K249" s="35" t="s">
        <v>2274</v>
      </c>
      <c r="L249" s="35" t="s">
        <v>2278</v>
      </c>
      <c r="M249" s="41">
        <v>79900</v>
      </c>
      <c r="N249" s="64">
        <v>0.7</v>
      </c>
      <c r="O249" s="12">
        <f t="shared" si="4"/>
        <v>23970</v>
      </c>
      <c r="P249" s="6" t="s">
        <v>3499</v>
      </c>
    </row>
    <row r="250" spans="1:16" x14ac:dyDescent="0.25">
      <c r="A250" s="6" t="s">
        <v>3509</v>
      </c>
      <c r="B250" s="7">
        <v>46121</v>
      </c>
      <c r="C250" s="7">
        <v>46127</v>
      </c>
      <c r="D250" s="6">
        <v>3271</v>
      </c>
      <c r="E250" s="6">
        <v>336</v>
      </c>
      <c r="F250" s="6">
        <v>4</v>
      </c>
      <c r="G250" s="35">
        <v>6</v>
      </c>
      <c r="H250" s="35">
        <v>4953</v>
      </c>
      <c r="I250" s="35" t="s">
        <v>543</v>
      </c>
      <c r="J250" s="35">
        <v>52754439</v>
      </c>
      <c r="K250" s="35" t="s">
        <v>2279</v>
      </c>
      <c r="L250" s="35" t="s">
        <v>2280</v>
      </c>
      <c r="M250" s="41">
        <v>79900</v>
      </c>
      <c r="N250" s="64">
        <v>0.7</v>
      </c>
      <c r="O250" s="12">
        <f t="shared" si="4"/>
        <v>23970</v>
      </c>
      <c r="P250" s="6" t="s">
        <v>3499</v>
      </c>
    </row>
    <row r="251" spans="1:16" x14ac:dyDescent="0.25">
      <c r="A251" s="6" t="s">
        <v>3509</v>
      </c>
      <c r="B251" s="7">
        <v>46121</v>
      </c>
      <c r="C251" s="7">
        <v>46127</v>
      </c>
      <c r="D251" s="6">
        <v>3271</v>
      </c>
      <c r="E251" s="6">
        <v>336</v>
      </c>
      <c r="F251" s="6">
        <v>4</v>
      </c>
      <c r="G251" s="35">
        <v>6</v>
      </c>
      <c r="H251" s="35">
        <v>4953</v>
      </c>
      <c r="I251" s="35" t="s">
        <v>543</v>
      </c>
      <c r="J251" s="35">
        <v>52754448</v>
      </c>
      <c r="K251" s="35" t="s">
        <v>2279</v>
      </c>
      <c r="L251" s="35" t="s">
        <v>2281</v>
      </c>
      <c r="M251" s="41">
        <v>79900</v>
      </c>
      <c r="N251" s="64">
        <v>0.7</v>
      </c>
      <c r="O251" s="12">
        <f t="shared" si="4"/>
        <v>23970</v>
      </c>
      <c r="P251" s="6" t="s">
        <v>3499</v>
      </c>
    </row>
    <row r="252" spans="1:16" x14ac:dyDescent="0.25">
      <c r="A252" s="6" t="s">
        <v>3509</v>
      </c>
      <c r="B252" s="7">
        <v>46121</v>
      </c>
      <c r="C252" s="7">
        <v>46127</v>
      </c>
      <c r="D252" s="6">
        <v>3271</v>
      </c>
      <c r="E252" s="6">
        <v>336</v>
      </c>
      <c r="F252" s="6">
        <v>4</v>
      </c>
      <c r="G252" s="35">
        <v>6</v>
      </c>
      <c r="H252" s="35">
        <v>4953</v>
      </c>
      <c r="I252" s="35" t="s">
        <v>543</v>
      </c>
      <c r="J252" s="35">
        <v>52754457</v>
      </c>
      <c r="K252" s="35" t="s">
        <v>2279</v>
      </c>
      <c r="L252" s="35" t="s">
        <v>2282</v>
      </c>
      <c r="M252" s="41">
        <v>79900</v>
      </c>
      <c r="N252" s="64">
        <v>0.7</v>
      </c>
      <c r="O252" s="12">
        <f t="shared" si="4"/>
        <v>23970</v>
      </c>
      <c r="P252" s="6" t="s">
        <v>3499</v>
      </c>
    </row>
    <row r="253" spans="1:16" x14ac:dyDescent="0.25">
      <c r="A253" s="6" t="s">
        <v>3509</v>
      </c>
      <c r="B253" s="7">
        <v>46121</v>
      </c>
      <c r="C253" s="7">
        <v>46127</v>
      </c>
      <c r="D253" s="6">
        <v>3271</v>
      </c>
      <c r="E253" s="6">
        <v>336</v>
      </c>
      <c r="F253" s="6">
        <v>4</v>
      </c>
      <c r="G253" s="35">
        <v>6</v>
      </c>
      <c r="H253" s="35">
        <v>4953</v>
      </c>
      <c r="I253" s="35" t="s">
        <v>543</v>
      </c>
      <c r="J253" s="35">
        <v>52754466</v>
      </c>
      <c r="K253" s="35" t="s">
        <v>2279</v>
      </c>
      <c r="L253" s="35" t="s">
        <v>2283</v>
      </c>
      <c r="M253" s="41">
        <v>79900</v>
      </c>
      <c r="N253" s="64">
        <v>0.7</v>
      </c>
      <c r="O253" s="12">
        <f t="shared" si="4"/>
        <v>23970</v>
      </c>
      <c r="P253" s="6" t="s">
        <v>3499</v>
      </c>
    </row>
    <row r="254" spans="1:16" x14ac:dyDescent="0.25">
      <c r="A254" s="6" t="s">
        <v>3509</v>
      </c>
      <c r="B254" s="7">
        <v>46121</v>
      </c>
      <c r="C254" s="7">
        <v>46127</v>
      </c>
      <c r="D254" s="6">
        <v>3271</v>
      </c>
      <c r="E254" s="6">
        <v>336</v>
      </c>
      <c r="F254" s="6">
        <v>4</v>
      </c>
      <c r="G254" s="35">
        <v>6</v>
      </c>
      <c r="H254" s="35">
        <v>4953</v>
      </c>
      <c r="I254" s="35" t="s">
        <v>543</v>
      </c>
      <c r="J254" s="35">
        <v>52754475</v>
      </c>
      <c r="K254" s="35" t="s">
        <v>2284</v>
      </c>
      <c r="L254" s="35" t="s">
        <v>2285</v>
      </c>
      <c r="M254" s="41">
        <v>79900</v>
      </c>
      <c r="N254" s="64">
        <v>0.7</v>
      </c>
      <c r="O254" s="12">
        <f t="shared" si="4"/>
        <v>23970</v>
      </c>
      <c r="P254" s="6" t="s">
        <v>3499</v>
      </c>
    </row>
    <row r="255" spans="1:16" x14ac:dyDescent="0.25">
      <c r="A255" s="6" t="s">
        <v>3509</v>
      </c>
      <c r="B255" s="7">
        <v>46121</v>
      </c>
      <c r="C255" s="7">
        <v>46127</v>
      </c>
      <c r="D255" s="6">
        <v>3271</v>
      </c>
      <c r="E255" s="6">
        <v>336</v>
      </c>
      <c r="F255" s="6">
        <v>4</v>
      </c>
      <c r="G255" s="35">
        <v>6</v>
      </c>
      <c r="H255" s="35">
        <v>4953</v>
      </c>
      <c r="I255" s="35" t="s">
        <v>543</v>
      </c>
      <c r="J255" s="35">
        <v>52754484</v>
      </c>
      <c r="K255" s="35" t="s">
        <v>2284</v>
      </c>
      <c r="L255" s="35" t="s">
        <v>2286</v>
      </c>
      <c r="M255" s="41">
        <v>79900</v>
      </c>
      <c r="N255" s="64">
        <v>0.7</v>
      </c>
      <c r="O255" s="12">
        <f t="shared" si="4"/>
        <v>23970</v>
      </c>
      <c r="P255" s="6" t="s">
        <v>3499</v>
      </c>
    </row>
    <row r="256" spans="1:16" x14ac:dyDescent="0.25">
      <c r="A256" s="6" t="s">
        <v>3509</v>
      </c>
      <c r="B256" s="7">
        <v>46121</v>
      </c>
      <c r="C256" s="7">
        <v>46127</v>
      </c>
      <c r="D256" s="6">
        <v>3271</v>
      </c>
      <c r="E256" s="6">
        <v>336</v>
      </c>
      <c r="F256" s="6">
        <v>4</v>
      </c>
      <c r="G256" s="35">
        <v>6</v>
      </c>
      <c r="H256" s="35">
        <v>4953</v>
      </c>
      <c r="I256" s="35" t="s">
        <v>543</v>
      </c>
      <c r="J256" s="35">
        <v>52754493</v>
      </c>
      <c r="K256" s="35" t="s">
        <v>2284</v>
      </c>
      <c r="L256" s="35" t="s">
        <v>2287</v>
      </c>
      <c r="M256" s="41">
        <v>79900</v>
      </c>
      <c r="N256" s="64">
        <v>0.7</v>
      </c>
      <c r="O256" s="12">
        <f t="shared" si="4"/>
        <v>23970</v>
      </c>
      <c r="P256" s="6" t="s">
        <v>3499</v>
      </c>
    </row>
    <row r="257" spans="1:16" x14ac:dyDescent="0.25">
      <c r="A257" s="6" t="s">
        <v>3509</v>
      </c>
      <c r="B257" s="7">
        <v>46121</v>
      </c>
      <c r="C257" s="7">
        <v>46127</v>
      </c>
      <c r="D257" s="6">
        <v>3271</v>
      </c>
      <c r="E257" s="6">
        <v>336</v>
      </c>
      <c r="F257" s="6">
        <v>4</v>
      </c>
      <c r="G257" s="35">
        <v>6</v>
      </c>
      <c r="H257" s="35">
        <v>4953</v>
      </c>
      <c r="I257" s="35" t="s">
        <v>543</v>
      </c>
      <c r="J257" s="35">
        <v>52754500</v>
      </c>
      <c r="K257" s="35" t="s">
        <v>2284</v>
      </c>
      <c r="L257" s="35" t="s">
        <v>2288</v>
      </c>
      <c r="M257" s="41">
        <v>79900</v>
      </c>
      <c r="N257" s="64">
        <v>0.7</v>
      </c>
      <c r="O257" s="12">
        <f t="shared" si="4"/>
        <v>23970</v>
      </c>
      <c r="P257" s="6" t="s">
        <v>3499</v>
      </c>
    </row>
    <row r="258" spans="1:16" x14ac:dyDescent="0.25">
      <c r="A258" s="6" t="s">
        <v>3509</v>
      </c>
      <c r="B258" s="7">
        <v>46121</v>
      </c>
      <c r="C258" s="7">
        <v>46127</v>
      </c>
      <c r="D258" s="6">
        <v>3271</v>
      </c>
      <c r="E258" s="6">
        <v>336</v>
      </c>
      <c r="F258" s="6">
        <v>4</v>
      </c>
      <c r="G258" s="35">
        <v>6</v>
      </c>
      <c r="H258" s="35">
        <v>4953</v>
      </c>
      <c r="I258" s="35" t="s">
        <v>543</v>
      </c>
      <c r="J258" s="35">
        <v>52754519</v>
      </c>
      <c r="K258" s="35" t="s">
        <v>2289</v>
      </c>
      <c r="L258" s="35" t="s">
        <v>2290</v>
      </c>
      <c r="M258" s="41">
        <v>79900</v>
      </c>
      <c r="N258" s="64">
        <v>0.7</v>
      </c>
      <c r="O258" s="12">
        <f t="shared" si="4"/>
        <v>23970</v>
      </c>
      <c r="P258" s="6" t="s">
        <v>3499</v>
      </c>
    </row>
    <row r="259" spans="1:16" x14ac:dyDescent="0.25">
      <c r="A259" s="6" t="s">
        <v>3509</v>
      </c>
      <c r="B259" s="7">
        <v>46121</v>
      </c>
      <c r="C259" s="7">
        <v>46127</v>
      </c>
      <c r="D259" s="6">
        <v>3271</v>
      </c>
      <c r="E259" s="6">
        <v>336</v>
      </c>
      <c r="F259" s="6">
        <v>4</v>
      </c>
      <c r="G259" s="35">
        <v>6</v>
      </c>
      <c r="H259" s="35">
        <v>4953</v>
      </c>
      <c r="I259" s="35" t="s">
        <v>543</v>
      </c>
      <c r="J259" s="35">
        <v>52754528</v>
      </c>
      <c r="K259" s="35" t="s">
        <v>2289</v>
      </c>
      <c r="L259" s="35" t="s">
        <v>2291</v>
      </c>
      <c r="M259" s="41">
        <v>79900</v>
      </c>
      <c r="N259" s="64">
        <v>0.7</v>
      </c>
      <c r="O259" s="12">
        <f t="shared" ref="O259:O322" si="5">M259-((70*M259)/100)</f>
        <v>23970</v>
      </c>
      <c r="P259" s="6" t="s">
        <v>3499</v>
      </c>
    </row>
    <row r="260" spans="1:16" x14ac:dyDescent="0.25">
      <c r="A260" s="6" t="s">
        <v>3509</v>
      </c>
      <c r="B260" s="7">
        <v>46121</v>
      </c>
      <c r="C260" s="7">
        <v>46127</v>
      </c>
      <c r="D260" s="6">
        <v>3271</v>
      </c>
      <c r="E260" s="6">
        <v>336</v>
      </c>
      <c r="F260" s="6">
        <v>4</v>
      </c>
      <c r="G260" s="35">
        <v>6</v>
      </c>
      <c r="H260" s="35">
        <v>4953</v>
      </c>
      <c r="I260" s="35" t="s">
        <v>543</v>
      </c>
      <c r="J260" s="35">
        <v>52754537</v>
      </c>
      <c r="K260" s="35" t="s">
        <v>2289</v>
      </c>
      <c r="L260" s="35" t="s">
        <v>2292</v>
      </c>
      <c r="M260" s="41">
        <v>79900</v>
      </c>
      <c r="N260" s="64">
        <v>0.7</v>
      </c>
      <c r="O260" s="12">
        <f t="shared" si="5"/>
        <v>23970</v>
      </c>
      <c r="P260" s="6" t="s">
        <v>3499</v>
      </c>
    </row>
    <row r="261" spans="1:16" x14ac:dyDescent="0.25">
      <c r="A261" s="6" t="s">
        <v>3509</v>
      </c>
      <c r="B261" s="7">
        <v>46121</v>
      </c>
      <c r="C261" s="7">
        <v>46127</v>
      </c>
      <c r="D261" s="6">
        <v>3271</v>
      </c>
      <c r="E261" s="6">
        <v>336</v>
      </c>
      <c r="F261" s="6">
        <v>4</v>
      </c>
      <c r="G261" s="35">
        <v>6</v>
      </c>
      <c r="H261" s="35">
        <v>4953</v>
      </c>
      <c r="I261" s="35" t="s">
        <v>543</v>
      </c>
      <c r="J261" s="35">
        <v>52754546</v>
      </c>
      <c r="K261" s="35" t="s">
        <v>2289</v>
      </c>
      <c r="L261" s="35" t="s">
        <v>2293</v>
      </c>
      <c r="M261" s="41">
        <v>79900</v>
      </c>
      <c r="N261" s="64">
        <v>0.7</v>
      </c>
      <c r="O261" s="12">
        <f t="shared" si="5"/>
        <v>23970</v>
      </c>
      <c r="P261" s="6" t="s">
        <v>3499</v>
      </c>
    </row>
    <row r="262" spans="1:16" x14ac:dyDescent="0.25">
      <c r="A262" s="6" t="s">
        <v>3509</v>
      </c>
      <c r="B262" s="7">
        <v>46121</v>
      </c>
      <c r="C262" s="7">
        <v>46127</v>
      </c>
      <c r="D262" s="6">
        <v>3271</v>
      </c>
      <c r="E262" s="6">
        <v>336</v>
      </c>
      <c r="F262" s="6">
        <v>4</v>
      </c>
      <c r="G262" s="35">
        <v>6</v>
      </c>
      <c r="H262" s="35">
        <v>4953</v>
      </c>
      <c r="I262" s="35" t="s">
        <v>543</v>
      </c>
      <c r="J262" s="35">
        <v>52754555</v>
      </c>
      <c r="K262" s="35" t="s">
        <v>2294</v>
      </c>
      <c r="L262" s="35" t="s">
        <v>2295</v>
      </c>
      <c r="M262" s="41">
        <v>79900</v>
      </c>
      <c r="N262" s="64">
        <v>0.7</v>
      </c>
      <c r="O262" s="12">
        <f t="shared" si="5"/>
        <v>23970</v>
      </c>
      <c r="P262" s="6" t="s">
        <v>3499</v>
      </c>
    </row>
    <row r="263" spans="1:16" x14ac:dyDescent="0.25">
      <c r="A263" s="6" t="s">
        <v>3509</v>
      </c>
      <c r="B263" s="7">
        <v>46121</v>
      </c>
      <c r="C263" s="7">
        <v>46127</v>
      </c>
      <c r="D263" s="6">
        <v>3271</v>
      </c>
      <c r="E263" s="6">
        <v>336</v>
      </c>
      <c r="F263" s="6">
        <v>4</v>
      </c>
      <c r="G263" s="35">
        <v>6</v>
      </c>
      <c r="H263" s="35">
        <v>4953</v>
      </c>
      <c r="I263" s="35" t="s">
        <v>543</v>
      </c>
      <c r="J263" s="35">
        <v>52754564</v>
      </c>
      <c r="K263" s="35" t="s">
        <v>2294</v>
      </c>
      <c r="L263" s="35" t="s">
        <v>2296</v>
      </c>
      <c r="M263" s="41">
        <v>79900</v>
      </c>
      <c r="N263" s="64">
        <v>0.7</v>
      </c>
      <c r="O263" s="12">
        <f t="shared" si="5"/>
        <v>23970</v>
      </c>
      <c r="P263" s="6" t="s">
        <v>3499</v>
      </c>
    </row>
    <row r="264" spans="1:16" x14ac:dyDescent="0.25">
      <c r="A264" s="6" t="s">
        <v>3509</v>
      </c>
      <c r="B264" s="7">
        <v>46121</v>
      </c>
      <c r="C264" s="7">
        <v>46127</v>
      </c>
      <c r="D264" s="6">
        <v>3271</v>
      </c>
      <c r="E264" s="6">
        <v>336</v>
      </c>
      <c r="F264" s="6">
        <v>4</v>
      </c>
      <c r="G264" s="35">
        <v>6</v>
      </c>
      <c r="H264" s="35">
        <v>4953</v>
      </c>
      <c r="I264" s="35" t="s">
        <v>543</v>
      </c>
      <c r="J264" s="35">
        <v>52754573</v>
      </c>
      <c r="K264" s="35" t="s">
        <v>2294</v>
      </c>
      <c r="L264" s="35" t="s">
        <v>2297</v>
      </c>
      <c r="M264" s="41">
        <v>79900</v>
      </c>
      <c r="N264" s="64">
        <v>0.7</v>
      </c>
      <c r="O264" s="12">
        <f t="shared" si="5"/>
        <v>23970</v>
      </c>
      <c r="P264" s="6" t="s">
        <v>3499</v>
      </c>
    </row>
    <row r="265" spans="1:16" x14ac:dyDescent="0.25">
      <c r="A265" s="6" t="s">
        <v>3509</v>
      </c>
      <c r="B265" s="7">
        <v>46121</v>
      </c>
      <c r="C265" s="7">
        <v>46127</v>
      </c>
      <c r="D265" s="6">
        <v>3271</v>
      </c>
      <c r="E265" s="6">
        <v>336</v>
      </c>
      <c r="F265" s="6">
        <v>4</v>
      </c>
      <c r="G265" s="35">
        <v>6</v>
      </c>
      <c r="H265" s="35">
        <v>4953</v>
      </c>
      <c r="I265" s="35" t="s">
        <v>543</v>
      </c>
      <c r="J265" s="35">
        <v>52754582</v>
      </c>
      <c r="K265" s="35" t="s">
        <v>2294</v>
      </c>
      <c r="L265" s="35" t="s">
        <v>2298</v>
      </c>
      <c r="M265" s="41">
        <v>79900</v>
      </c>
      <c r="N265" s="64">
        <v>0.7</v>
      </c>
      <c r="O265" s="12">
        <f t="shared" si="5"/>
        <v>23970</v>
      </c>
      <c r="P265" s="6" t="s">
        <v>3499</v>
      </c>
    </row>
    <row r="266" spans="1:16" x14ac:dyDescent="0.25">
      <c r="A266" s="6" t="s">
        <v>3509</v>
      </c>
      <c r="B266" s="7">
        <v>46121</v>
      </c>
      <c r="C266" s="7">
        <v>46127</v>
      </c>
      <c r="D266" s="6">
        <v>3271</v>
      </c>
      <c r="E266" s="6">
        <v>336</v>
      </c>
      <c r="F266" s="6">
        <v>4</v>
      </c>
      <c r="G266" s="35">
        <v>6</v>
      </c>
      <c r="H266" s="35">
        <v>81328</v>
      </c>
      <c r="I266" s="35" t="s">
        <v>543</v>
      </c>
      <c r="J266" s="35">
        <v>53049093</v>
      </c>
      <c r="K266" s="35" t="s">
        <v>2299</v>
      </c>
      <c r="L266" s="35" t="s">
        <v>2300</v>
      </c>
      <c r="M266" s="41">
        <v>79900</v>
      </c>
      <c r="N266" s="64">
        <v>0.7</v>
      </c>
      <c r="O266" s="12">
        <f t="shared" si="5"/>
        <v>23970</v>
      </c>
      <c r="P266" s="6" t="s">
        <v>3499</v>
      </c>
    </row>
    <row r="267" spans="1:16" x14ac:dyDescent="0.25">
      <c r="A267" s="6" t="s">
        <v>3509</v>
      </c>
      <c r="B267" s="7">
        <v>46121</v>
      </c>
      <c r="C267" s="7">
        <v>46127</v>
      </c>
      <c r="D267" s="6">
        <v>3271</v>
      </c>
      <c r="E267" s="6">
        <v>336</v>
      </c>
      <c r="F267" s="6">
        <v>4</v>
      </c>
      <c r="G267" s="35">
        <v>6</v>
      </c>
      <c r="H267" s="35">
        <v>81328</v>
      </c>
      <c r="I267" s="35" t="s">
        <v>543</v>
      </c>
      <c r="J267" s="35">
        <v>53049100</v>
      </c>
      <c r="K267" s="35" t="s">
        <v>2299</v>
      </c>
      <c r="L267" s="35" t="s">
        <v>2301</v>
      </c>
      <c r="M267" s="41">
        <v>79900</v>
      </c>
      <c r="N267" s="64">
        <v>0.7</v>
      </c>
      <c r="O267" s="12">
        <f t="shared" si="5"/>
        <v>23970</v>
      </c>
      <c r="P267" s="6" t="s">
        <v>3499</v>
      </c>
    </row>
    <row r="268" spans="1:16" x14ac:dyDescent="0.25">
      <c r="A268" s="6" t="s">
        <v>3509</v>
      </c>
      <c r="B268" s="7">
        <v>46121</v>
      </c>
      <c r="C268" s="7">
        <v>46127</v>
      </c>
      <c r="D268" s="6">
        <v>3271</v>
      </c>
      <c r="E268" s="6">
        <v>336</v>
      </c>
      <c r="F268" s="6">
        <v>4</v>
      </c>
      <c r="G268" s="35">
        <v>6</v>
      </c>
      <c r="H268" s="35">
        <v>81328</v>
      </c>
      <c r="I268" s="35" t="s">
        <v>543</v>
      </c>
      <c r="J268" s="35">
        <v>53049119</v>
      </c>
      <c r="K268" s="35" t="s">
        <v>2299</v>
      </c>
      <c r="L268" s="35" t="s">
        <v>2302</v>
      </c>
      <c r="M268" s="41">
        <v>79900</v>
      </c>
      <c r="N268" s="64">
        <v>0.7</v>
      </c>
      <c r="O268" s="12">
        <f t="shared" si="5"/>
        <v>23970</v>
      </c>
      <c r="P268" s="6" t="s">
        <v>3499</v>
      </c>
    </row>
    <row r="269" spans="1:16" x14ac:dyDescent="0.25">
      <c r="A269" s="6" t="s">
        <v>3509</v>
      </c>
      <c r="B269" s="7">
        <v>46121</v>
      </c>
      <c r="C269" s="7">
        <v>46127</v>
      </c>
      <c r="D269" s="6">
        <v>3271</v>
      </c>
      <c r="E269" s="6">
        <v>336</v>
      </c>
      <c r="F269" s="6">
        <v>4</v>
      </c>
      <c r="G269" s="35">
        <v>6</v>
      </c>
      <c r="H269" s="35">
        <v>81328</v>
      </c>
      <c r="I269" s="35" t="s">
        <v>543</v>
      </c>
      <c r="J269" s="35">
        <v>53049128</v>
      </c>
      <c r="K269" s="35" t="s">
        <v>2299</v>
      </c>
      <c r="L269" s="35" t="s">
        <v>2303</v>
      </c>
      <c r="M269" s="41">
        <v>79900</v>
      </c>
      <c r="N269" s="64">
        <v>0.7</v>
      </c>
      <c r="O269" s="12">
        <f t="shared" si="5"/>
        <v>23970</v>
      </c>
      <c r="P269" s="6" t="s">
        <v>3499</v>
      </c>
    </row>
    <row r="270" spans="1:16" x14ac:dyDescent="0.25">
      <c r="A270" s="6" t="s">
        <v>3509</v>
      </c>
      <c r="B270" s="7">
        <v>46121</v>
      </c>
      <c r="C270" s="7">
        <v>46127</v>
      </c>
      <c r="D270" s="6">
        <v>3271</v>
      </c>
      <c r="E270" s="6">
        <v>336</v>
      </c>
      <c r="F270" s="6">
        <v>4</v>
      </c>
      <c r="G270" s="35">
        <v>6</v>
      </c>
      <c r="H270" s="35">
        <v>81328</v>
      </c>
      <c r="I270" s="35" t="s">
        <v>543</v>
      </c>
      <c r="J270" s="35">
        <v>53049137</v>
      </c>
      <c r="K270" s="35" t="s">
        <v>2304</v>
      </c>
      <c r="L270" s="35" t="s">
        <v>2305</v>
      </c>
      <c r="M270" s="41">
        <v>79900</v>
      </c>
      <c r="N270" s="64">
        <v>0.7</v>
      </c>
      <c r="O270" s="12">
        <f t="shared" si="5"/>
        <v>23970</v>
      </c>
      <c r="P270" s="6" t="s">
        <v>3499</v>
      </c>
    </row>
    <row r="271" spans="1:16" x14ac:dyDescent="0.25">
      <c r="A271" s="6" t="s">
        <v>3509</v>
      </c>
      <c r="B271" s="7">
        <v>46121</v>
      </c>
      <c r="C271" s="7">
        <v>46127</v>
      </c>
      <c r="D271" s="6">
        <v>3271</v>
      </c>
      <c r="E271" s="6">
        <v>336</v>
      </c>
      <c r="F271" s="6">
        <v>4</v>
      </c>
      <c r="G271" s="35">
        <v>6</v>
      </c>
      <c r="H271" s="35">
        <v>81328</v>
      </c>
      <c r="I271" s="35" t="s">
        <v>543</v>
      </c>
      <c r="J271" s="35">
        <v>53049146</v>
      </c>
      <c r="K271" s="35" t="s">
        <v>2304</v>
      </c>
      <c r="L271" s="35" t="s">
        <v>2306</v>
      </c>
      <c r="M271" s="41">
        <v>79900</v>
      </c>
      <c r="N271" s="64">
        <v>0.7</v>
      </c>
      <c r="O271" s="12">
        <f t="shared" si="5"/>
        <v>23970</v>
      </c>
      <c r="P271" s="6" t="s">
        <v>3499</v>
      </c>
    </row>
    <row r="272" spans="1:16" x14ac:dyDescent="0.25">
      <c r="A272" s="6" t="s">
        <v>3509</v>
      </c>
      <c r="B272" s="7">
        <v>46121</v>
      </c>
      <c r="C272" s="7">
        <v>46127</v>
      </c>
      <c r="D272" s="6">
        <v>3271</v>
      </c>
      <c r="E272" s="6">
        <v>336</v>
      </c>
      <c r="F272" s="6">
        <v>4</v>
      </c>
      <c r="G272" s="35">
        <v>6</v>
      </c>
      <c r="H272" s="35">
        <v>81328</v>
      </c>
      <c r="I272" s="35" t="s">
        <v>543</v>
      </c>
      <c r="J272" s="35">
        <v>53049155</v>
      </c>
      <c r="K272" s="35" t="s">
        <v>2304</v>
      </c>
      <c r="L272" s="35" t="s">
        <v>2307</v>
      </c>
      <c r="M272" s="41">
        <v>79900</v>
      </c>
      <c r="N272" s="64">
        <v>0.7</v>
      </c>
      <c r="O272" s="12">
        <f t="shared" si="5"/>
        <v>23970</v>
      </c>
      <c r="P272" s="6" t="s">
        <v>3499</v>
      </c>
    </row>
    <row r="273" spans="1:16" x14ac:dyDescent="0.25">
      <c r="A273" s="6" t="s">
        <v>3509</v>
      </c>
      <c r="B273" s="7">
        <v>46121</v>
      </c>
      <c r="C273" s="7">
        <v>46127</v>
      </c>
      <c r="D273" s="6">
        <v>3271</v>
      </c>
      <c r="E273" s="6">
        <v>336</v>
      </c>
      <c r="F273" s="6">
        <v>4</v>
      </c>
      <c r="G273" s="35">
        <v>6</v>
      </c>
      <c r="H273" s="35">
        <v>81328</v>
      </c>
      <c r="I273" s="35" t="s">
        <v>543</v>
      </c>
      <c r="J273" s="35">
        <v>53049164</v>
      </c>
      <c r="K273" s="35" t="s">
        <v>2304</v>
      </c>
      <c r="L273" s="35" t="s">
        <v>2308</v>
      </c>
      <c r="M273" s="41">
        <v>79900</v>
      </c>
      <c r="N273" s="64">
        <v>0.7</v>
      </c>
      <c r="O273" s="12">
        <f t="shared" si="5"/>
        <v>23970</v>
      </c>
      <c r="P273" s="6" t="s">
        <v>3499</v>
      </c>
    </row>
    <row r="274" spans="1:16" x14ac:dyDescent="0.25">
      <c r="A274" s="6" t="s">
        <v>3509</v>
      </c>
      <c r="B274" s="7">
        <v>46121</v>
      </c>
      <c r="C274" s="45">
        <v>46127</v>
      </c>
      <c r="D274" s="8">
        <v>3271</v>
      </c>
      <c r="E274" s="8">
        <v>336</v>
      </c>
      <c r="F274" s="8">
        <v>4</v>
      </c>
      <c r="G274" s="8">
        <v>6</v>
      </c>
      <c r="H274" s="8">
        <v>4953</v>
      </c>
      <c r="I274" s="8" t="s">
        <v>543</v>
      </c>
      <c r="J274" s="8">
        <v>51507207</v>
      </c>
      <c r="K274" s="8" t="s">
        <v>2309</v>
      </c>
      <c r="L274" s="8" t="s">
        <v>2310</v>
      </c>
      <c r="M274" s="10">
        <v>89900</v>
      </c>
      <c r="N274" s="64">
        <v>0.7</v>
      </c>
      <c r="O274" s="12">
        <f t="shared" si="5"/>
        <v>26970</v>
      </c>
      <c r="P274" s="6" t="s">
        <v>3499</v>
      </c>
    </row>
    <row r="275" spans="1:16" x14ac:dyDescent="0.25">
      <c r="A275" s="6" t="s">
        <v>3509</v>
      </c>
      <c r="B275" s="7">
        <v>46121</v>
      </c>
      <c r="C275" s="45">
        <v>46127</v>
      </c>
      <c r="D275" s="8">
        <v>3271</v>
      </c>
      <c r="E275" s="8">
        <v>336</v>
      </c>
      <c r="F275" s="8">
        <v>4</v>
      </c>
      <c r="G275" s="8">
        <v>6</v>
      </c>
      <c r="H275" s="8">
        <v>4953</v>
      </c>
      <c r="I275" s="8" t="s">
        <v>543</v>
      </c>
      <c r="J275" s="8">
        <v>51507216</v>
      </c>
      <c r="K275" s="8" t="s">
        <v>2309</v>
      </c>
      <c r="L275" s="8" t="s">
        <v>2311</v>
      </c>
      <c r="M275" s="10">
        <v>89900</v>
      </c>
      <c r="N275" s="64">
        <v>0.7</v>
      </c>
      <c r="O275" s="12">
        <f t="shared" si="5"/>
        <v>26970</v>
      </c>
      <c r="P275" s="6" t="s">
        <v>3499</v>
      </c>
    </row>
    <row r="276" spans="1:16" x14ac:dyDescent="0.25">
      <c r="A276" s="6" t="s">
        <v>3509</v>
      </c>
      <c r="B276" s="7">
        <v>46121</v>
      </c>
      <c r="C276" s="45">
        <v>46127</v>
      </c>
      <c r="D276" s="8">
        <v>3271</v>
      </c>
      <c r="E276" s="8">
        <v>336</v>
      </c>
      <c r="F276" s="8">
        <v>4</v>
      </c>
      <c r="G276" s="8">
        <v>6</v>
      </c>
      <c r="H276" s="8">
        <v>4953</v>
      </c>
      <c r="I276" s="8" t="s">
        <v>543</v>
      </c>
      <c r="J276" s="8">
        <v>51507225</v>
      </c>
      <c r="K276" s="8" t="s">
        <v>2309</v>
      </c>
      <c r="L276" s="8" t="s">
        <v>2312</v>
      </c>
      <c r="M276" s="10">
        <v>89900</v>
      </c>
      <c r="N276" s="64">
        <v>0.7</v>
      </c>
      <c r="O276" s="12">
        <f t="shared" si="5"/>
        <v>26970</v>
      </c>
      <c r="P276" s="6" t="s">
        <v>3499</v>
      </c>
    </row>
    <row r="277" spans="1:16" x14ac:dyDescent="0.25">
      <c r="A277" s="6" t="s">
        <v>3509</v>
      </c>
      <c r="B277" s="7">
        <v>46121</v>
      </c>
      <c r="C277" s="45">
        <v>46127</v>
      </c>
      <c r="D277" s="8">
        <v>3271</v>
      </c>
      <c r="E277" s="8">
        <v>336</v>
      </c>
      <c r="F277" s="8">
        <v>4</v>
      </c>
      <c r="G277" s="8">
        <v>6</v>
      </c>
      <c r="H277" s="8">
        <v>4953</v>
      </c>
      <c r="I277" s="8" t="s">
        <v>543</v>
      </c>
      <c r="J277" s="8">
        <v>51507234</v>
      </c>
      <c r="K277" s="8" t="s">
        <v>2309</v>
      </c>
      <c r="L277" s="8" t="s">
        <v>2313</v>
      </c>
      <c r="M277" s="10">
        <v>89900</v>
      </c>
      <c r="N277" s="64">
        <v>0.7</v>
      </c>
      <c r="O277" s="12">
        <f t="shared" si="5"/>
        <v>26970</v>
      </c>
      <c r="P277" s="6" t="s">
        <v>3499</v>
      </c>
    </row>
    <row r="278" spans="1:16" x14ac:dyDescent="0.25">
      <c r="A278" s="6" t="s">
        <v>3509</v>
      </c>
      <c r="B278" s="7">
        <v>46121</v>
      </c>
      <c r="C278" s="45">
        <v>46127</v>
      </c>
      <c r="D278" s="8">
        <v>3271</v>
      </c>
      <c r="E278" s="8">
        <v>336</v>
      </c>
      <c r="F278" s="8">
        <v>4</v>
      </c>
      <c r="G278" s="8">
        <v>6</v>
      </c>
      <c r="H278" s="8">
        <v>4953</v>
      </c>
      <c r="I278" s="8" t="s">
        <v>543</v>
      </c>
      <c r="J278" s="8">
        <v>51507243</v>
      </c>
      <c r="K278" s="8" t="s">
        <v>2314</v>
      </c>
      <c r="L278" s="8" t="s">
        <v>2315</v>
      </c>
      <c r="M278" s="10">
        <v>89900</v>
      </c>
      <c r="N278" s="64">
        <v>0.7</v>
      </c>
      <c r="O278" s="12">
        <f t="shared" si="5"/>
        <v>26970</v>
      </c>
      <c r="P278" s="6" t="s">
        <v>3499</v>
      </c>
    </row>
    <row r="279" spans="1:16" x14ac:dyDescent="0.25">
      <c r="A279" s="6" t="s">
        <v>3509</v>
      </c>
      <c r="B279" s="7">
        <v>46121</v>
      </c>
      <c r="C279" s="45">
        <v>46127</v>
      </c>
      <c r="D279" s="8">
        <v>3271</v>
      </c>
      <c r="E279" s="8">
        <v>336</v>
      </c>
      <c r="F279" s="8">
        <v>4</v>
      </c>
      <c r="G279" s="8">
        <v>6</v>
      </c>
      <c r="H279" s="8">
        <v>4953</v>
      </c>
      <c r="I279" s="8" t="s">
        <v>543</v>
      </c>
      <c r="J279" s="8">
        <v>51507252</v>
      </c>
      <c r="K279" s="8" t="s">
        <v>2314</v>
      </c>
      <c r="L279" s="8" t="s">
        <v>2316</v>
      </c>
      <c r="M279" s="10">
        <v>89900</v>
      </c>
      <c r="N279" s="64">
        <v>0.7</v>
      </c>
      <c r="O279" s="12">
        <f t="shared" si="5"/>
        <v>26970</v>
      </c>
      <c r="P279" s="6" t="s">
        <v>3499</v>
      </c>
    </row>
    <row r="280" spans="1:16" x14ac:dyDescent="0.25">
      <c r="A280" s="6" t="s">
        <v>3509</v>
      </c>
      <c r="B280" s="7">
        <v>46121</v>
      </c>
      <c r="C280" s="45">
        <v>46127</v>
      </c>
      <c r="D280" s="8">
        <v>3271</v>
      </c>
      <c r="E280" s="8">
        <v>336</v>
      </c>
      <c r="F280" s="8">
        <v>4</v>
      </c>
      <c r="G280" s="8">
        <v>6</v>
      </c>
      <c r="H280" s="8">
        <v>4953</v>
      </c>
      <c r="I280" s="8" t="s">
        <v>543</v>
      </c>
      <c r="J280" s="8">
        <v>51507261</v>
      </c>
      <c r="K280" s="8" t="s">
        <v>2314</v>
      </c>
      <c r="L280" s="8" t="s">
        <v>2317</v>
      </c>
      <c r="M280" s="10">
        <v>89900</v>
      </c>
      <c r="N280" s="64">
        <v>0.7</v>
      </c>
      <c r="O280" s="12">
        <f t="shared" si="5"/>
        <v>26970</v>
      </c>
      <c r="P280" s="6" t="s">
        <v>3499</v>
      </c>
    </row>
    <row r="281" spans="1:16" x14ac:dyDescent="0.25">
      <c r="A281" s="6" t="s">
        <v>3509</v>
      </c>
      <c r="B281" s="7">
        <v>46121</v>
      </c>
      <c r="C281" s="45">
        <v>46127</v>
      </c>
      <c r="D281" s="8">
        <v>3271</v>
      </c>
      <c r="E281" s="8">
        <v>336</v>
      </c>
      <c r="F281" s="8">
        <v>4</v>
      </c>
      <c r="G281" s="8">
        <v>6</v>
      </c>
      <c r="H281" s="8">
        <v>4953</v>
      </c>
      <c r="I281" s="8" t="s">
        <v>543</v>
      </c>
      <c r="J281" s="8">
        <v>51507270</v>
      </c>
      <c r="K281" s="8" t="s">
        <v>2314</v>
      </c>
      <c r="L281" s="8" t="s">
        <v>2318</v>
      </c>
      <c r="M281" s="10">
        <v>89900</v>
      </c>
      <c r="N281" s="64">
        <v>0.7</v>
      </c>
      <c r="O281" s="12">
        <f t="shared" si="5"/>
        <v>26970</v>
      </c>
      <c r="P281" s="6" t="s">
        <v>3499</v>
      </c>
    </row>
    <row r="282" spans="1:16" x14ac:dyDescent="0.25">
      <c r="A282" s="6" t="s">
        <v>3509</v>
      </c>
      <c r="B282" s="7">
        <v>46121</v>
      </c>
      <c r="C282" s="45">
        <v>46127</v>
      </c>
      <c r="D282" s="8">
        <v>3271</v>
      </c>
      <c r="E282" s="8">
        <v>336</v>
      </c>
      <c r="F282" s="8">
        <v>4</v>
      </c>
      <c r="G282" s="8">
        <v>6</v>
      </c>
      <c r="H282" s="8">
        <v>4953</v>
      </c>
      <c r="I282" s="8" t="s">
        <v>543</v>
      </c>
      <c r="J282" s="8">
        <v>51865222</v>
      </c>
      <c r="K282" s="8" t="s">
        <v>2319</v>
      </c>
      <c r="L282" s="8" t="s">
        <v>2320</v>
      </c>
      <c r="M282" s="10">
        <v>89900</v>
      </c>
      <c r="N282" s="64">
        <v>0.7</v>
      </c>
      <c r="O282" s="12">
        <f t="shared" si="5"/>
        <v>26970</v>
      </c>
      <c r="P282" s="6" t="s">
        <v>3499</v>
      </c>
    </row>
    <row r="283" spans="1:16" x14ac:dyDescent="0.25">
      <c r="A283" s="6" t="s">
        <v>3509</v>
      </c>
      <c r="B283" s="7">
        <v>46121</v>
      </c>
      <c r="C283" s="45">
        <v>46127</v>
      </c>
      <c r="D283" s="8">
        <v>3271</v>
      </c>
      <c r="E283" s="8">
        <v>336</v>
      </c>
      <c r="F283" s="8">
        <v>4</v>
      </c>
      <c r="G283" s="8">
        <v>6</v>
      </c>
      <c r="H283" s="8">
        <v>4953</v>
      </c>
      <c r="I283" s="8" t="s">
        <v>543</v>
      </c>
      <c r="J283" s="8">
        <v>51865231</v>
      </c>
      <c r="K283" s="8" t="s">
        <v>2319</v>
      </c>
      <c r="L283" s="8" t="s">
        <v>2321</v>
      </c>
      <c r="M283" s="10">
        <v>89900</v>
      </c>
      <c r="N283" s="64">
        <v>0.7</v>
      </c>
      <c r="O283" s="12">
        <f t="shared" si="5"/>
        <v>26970</v>
      </c>
      <c r="P283" s="6" t="s">
        <v>3499</v>
      </c>
    </row>
    <row r="284" spans="1:16" x14ac:dyDescent="0.25">
      <c r="A284" s="6" t="s">
        <v>3509</v>
      </c>
      <c r="B284" s="7">
        <v>46121</v>
      </c>
      <c r="C284" s="45">
        <v>46127</v>
      </c>
      <c r="D284" s="8">
        <v>3271</v>
      </c>
      <c r="E284" s="8">
        <v>336</v>
      </c>
      <c r="F284" s="8">
        <v>4</v>
      </c>
      <c r="G284" s="8">
        <v>6</v>
      </c>
      <c r="H284" s="8">
        <v>4953</v>
      </c>
      <c r="I284" s="8" t="s">
        <v>543</v>
      </c>
      <c r="J284" s="8">
        <v>51865240</v>
      </c>
      <c r="K284" s="8" t="s">
        <v>2319</v>
      </c>
      <c r="L284" s="8" t="s">
        <v>2322</v>
      </c>
      <c r="M284" s="10">
        <v>89900</v>
      </c>
      <c r="N284" s="64">
        <v>0.7</v>
      </c>
      <c r="O284" s="12">
        <f t="shared" si="5"/>
        <v>26970</v>
      </c>
      <c r="P284" s="6" t="s">
        <v>3499</v>
      </c>
    </row>
    <row r="285" spans="1:16" x14ac:dyDescent="0.25">
      <c r="A285" s="6" t="s">
        <v>3509</v>
      </c>
      <c r="B285" s="7">
        <v>46121</v>
      </c>
      <c r="C285" s="45">
        <v>46127</v>
      </c>
      <c r="D285" s="8">
        <v>3271</v>
      </c>
      <c r="E285" s="8">
        <v>336</v>
      </c>
      <c r="F285" s="8">
        <v>4</v>
      </c>
      <c r="G285" s="8">
        <v>6</v>
      </c>
      <c r="H285" s="8">
        <v>4953</v>
      </c>
      <c r="I285" s="8" t="s">
        <v>543</v>
      </c>
      <c r="J285" s="8">
        <v>51865259</v>
      </c>
      <c r="K285" s="8" t="s">
        <v>2319</v>
      </c>
      <c r="L285" s="8" t="s">
        <v>2323</v>
      </c>
      <c r="M285" s="10">
        <v>89900</v>
      </c>
      <c r="N285" s="64">
        <v>0.7</v>
      </c>
      <c r="O285" s="12">
        <f t="shared" si="5"/>
        <v>26970</v>
      </c>
      <c r="P285" s="6" t="s">
        <v>3499</v>
      </c>
    </row>
    <row r="286" spans="1:16" x14ac:dyDescent="0.25">
      <c r="A286" s="6" t="s">
        <v>3509</v>
      </c>
      <c r="B286" s="7">
        <v>46121</v>
      </c>
      <c r="C286" s="45">
        <v>46127</v>
      </c>
      <c r="D286" s="8">
        <v>3271</v>
      </c>
      <c r="E286" s="8">
        <v>336</v>
      </c>
      <c r="F286" s="8">
        <v>4</v>
      </c>
      <c r="G286" s="8">
        <v>6</v>
      </c>
      <c r="H286" s="8">
        <v>4953</v>
      </c>
      <c r="I286" s="8" t="s">
        <v>543</v>
      </c>
      <c r="J286" s="8">
        <v>51865268</v>
      </c>
      <c r="K286" s="8" t="s">
        <v>2324</v>
      </c>
      <c r="L286" s="8" t="s">
        <v>2325</v>
      </c>
      <c r="M286" s="10">
        <v>89900</v>
      </c>
      <c r="N286" s="64">
        <v>0.7</v>
      </c>
      <c r="O286" s="12">
        <f t="shared" si="5"/>
        <v>26970</v>
      </c>
      <c r="P286" s="6" t="s">
        <v>3499</v>
      </c>
    </row>
    <row r="287" spans="1:16" x14ac:dyDescent="0.25">
      <c r="A287" s="6" t="s">
        <v>3509</v>
      </c>
      <c r="B287" s="7">
        <v>46121</v>
      </c>
      <c r="C287" s="45">
        <v>46127</v>
      </c>
      <c r="D287" s="8">
        <v>3271</v>
      </c>
      <c r="E287" s="8">
        <v>336</v>
      </c>
      <c r="F287" s="8">
        <v>4</v>
      </c>
      <c r="G287" s="8">
        <v>6</v>
      </c>
      <c r="H287" s="8">
        <v>4953</v>
      </c>
      <c r="I287" s="8" t="s">
        <v>543</v>
      </c>
      <c r="J287" s="8">
        <v>51865277</v>
      </c>
      <c r="K287" s="8" t="s">
        <v>2324</v>
      </c>
      <c r="L287" s="8" t="s">
        <v>2326</v>
      </c>
      <c r="M287" s="10">
        <v>89900</v>
      </c>
      <c r="N287" s="64">
        <v>0.7</v>
      </c>
      <c r="O287" s="12">
        <f t="shared" si="5"/>
        <v>26970</v>
      </c>
      <c r="P287" s="6" t="s">
        <v>3499</v>
      </c>
    </row>
    <row r="288" spans="1:16" x14ac:dyDescent="0.25">
      <c r="A288" s="6" t="s">
        <v>3509</v>
      </c>
      <c r="B288" s="7">
        <v>46121</v>
      </c>
      <c r="C288" s="45">
        <v>46127</v>
      </c>
      <c r="D288" s="8">
        <v>3271</v>
      </c>
      <c r="E288" s="8">
        <v>336</v>
      </c>
      <c r="F288" s="8">
        <v>4</v>
      </c>
      <c r="G288" s="8">
        <v>6</v>
      </c>
      <c r="H288" s="8">
        <v>4953</v>
      </c>
      <c r="I288" s="8" t="s">
        <v>543</v>
      </c>
      <c r="J288" s="8">
        <v>51865286</v>
      </c>
      <c r="K288" s="8" t="s">
        <v>2324</v>
      </c>
      <c r="L288" s="8" t="s">
        <v>2327</v>
      </c>
      <c r="M288" s="10">
        <v>89900</v>
      </c>
      <c r="N288" s="64">
        <v>0.7</v>
      </c>
      <c r="O288" s="12">
        <f t="shared" si="5"/>
        <v>26970</v>
      </c>
      <c r="P288" s="6" t="s">
        <v>3499</v>
      </c>
    </row>
    <row r="289" spans="1:16" x14ac:dyDescent="0.25">
      <c r="A289" s="6" t="s">
        <v>3509</v>
      </c>
      <c r="B289" s="7">
        <v>46121</v>
      </c>
      <c r="C289" s="45">
        <v>46127</v>
      </c>
      <c r="D289" s="8">
        <v>3271</v>
      </c>
      <c r="E289" s="8">
        <v>336</v>
      </c>
      <c r="F289" s="8">
        <v>4</v>
      </c>
      <c r="G289" s="8">
        <v>6</v>
      </c>
      <c r="H289" s="8">
        <v>4953</v>
      </c>
      <c r="I289" s="8" t="s">
        <v>543</v>
      </c>
      <c r="J289" s="8">
        <v>51865295</v>
      </c>
      <c r="K289" s="8" t="s">
        <v>2324</v>
      </c>
      <c r="L289" s="8" t="s">
        <v>2328</v>
      </c>
      <c r="M289" s="10">
        <v>89900</v>
      </c>
      <c r="N289" s="64">
        <v>0.7</v>
      </c>
      <c r="O289" s="12">
        <f t="shared" si="5"/>
        <v>26970</v>
      </c>
      <c r="P289" s="6" t="s">
        <v>3499</v>
      </c>
    </row>
    <row r="290" spans="1:16" x14ac:dyDescent="0.25">
      <c r="A290" s="6" t="s">
        <v>3509</v>
      </c>
      <c r="B290" s="7">
        <v>46121</v>
      </c>
      <c r="C290" s="45">
        <v>46127</v>
      </c>
      <c r="D290" s="8">
        <v>3271</v>
      </c>
      <c r="E290" s="8">
        <v>336</v>
      </c>
      <c r="F290" s="8">
        <v>4</v>
      </c>
      <c r="G290" s="8">
        <v>6</v>
      </c>
      <c r="H290" s="8">
        <v>4953</v>
      </c>
      <c r="I290" s="8" t="s">
        <v>543</v>
      </c>
      <c r="J290" s="8">
        <v>51865302</v>
      </c>
      <c r="K290" s="8" t="s">
        <v>2329</v>
      </c>
      <c r="L290" s="8" t="s">
        <v>2330</v>
      </c>
      <c r="M290" s="10">
        <v>89900</v>
      </c>
      <c r="N290" s="64">
        <v>0.7</v>
      </c>
      <c r="O290" s="12">
        <f t="shared" si="5"/>
        <v>26970</v>
      </c>
      <c r="P290" s="6" t="s">
        <v>3499</v>
      </c>
    </row>
    <row r="291" spans="1:16" x14ac:dyDescent="0.25">
      <c r="A291" s="6" t="s">
        <v>3509</v>
      </c>
      <c r="B291" s="7">
        <v>46121</v>
      </c>
      <c r="C291" s="45">
        <v>46127</v>
      </c>
      <c r="D291" s="8">
        <v>3271</v>
      </c>
      <c r="E291" s="8">
        <v>336</v>
      </c>
      <c r="F291" s="8">
        <v>4</v>
      </c>
      <c r="G291" s="8">
        <v>6</v>
      </c>
      <c r="H291" s="8">
        <v>4953</v>
      </c>
      <c r="I291" s="8" t="s">
        <v>543</v>
      </c>
      <c r="J291" s="8">
        <v>51865311</v>
      </c>
      <c r="K291" s="8" t="s">
        <v>2329</v>
      </c>
      <c r="L291" s="8" t="s">
        <v>2331</v>
      </c>
      <c r="M291" s="10">
        <v>89900</v>
      </c>
      <c r="N291" s="64">
        <v>0.7</v>
      </c>
      <c r="O291" s="12">
        <f t="shared" si="5"/>
        <v>26970</v>
      </c>
      <c r="P291" s="6" t="s">
        <v>3499</v>
      </c>
    </row>
    <row r="292" spans="1:16" x14ac:dyDescent="0.25">
      <c r="A292" s="6" t="s">
        <v>3509</v>
      </c>
      <c r="B292" s="7">
        <v>46121</v>
      </c>
      <c r="C292" s="45">
        <v>46127</v>
      </c>
      <c r="D292" s="8">
        <v>3271</v>
      </c>
      <c r="E292" s="8">
        <v>336</v>
      </c>
      <c r="F292" s="8">
        <v>4</v>
      </c>
      <c r="G292" s="8">
        <v>6</v>
      </c>
      <c r="H292" s="8">
        <v>4953</v>
      </c>
      <c r="I292" s="8" t="s">
        <v>543</v>
      </c>
      <c r="J292" s="8">
        <v>51865320</v>
      </c>
      <c r="K292" s="8" t="s">
        <v>2329</v>
      </c>
      <c r="L292" s="8" t="s">
        <v>2332</v>
      </c>
      <c r="M292" s="10">
        <v>89900</v>
      </c>
      <c r="N292" s="64">
        <v>0.7</v>
      </c>
      <c r="O292" s="12">
        <f t="shared" si="5"/>
        <v>26970</v>
      </c>
      <c r="P292" s="6" t="s">
        <v>3499</v>
      </c>
    </row>
    <row r="293" spans="1:16" x14ac:dyDescent="0.25">
      <c r="A293" s="6" t="s">
        <v>3509</v>
      </c>
      <c r="B293" s="7">
        <v>46121</v>
      </c>
      <c r="C293" s="45">
        <v>46127</v>
      </c>
      <c r="D293" s="8">
        <v>3271</v>
      </c>
      <c r="E293" s="8">
        <v>336</v>
      </c>
      <c r="F293" s="8">
        <v>4</v>
      </c>
      <c r="G293" s="8">
        <v>6</v>
      </c>
      <c r="H293" s="8">
        <v>4953</v>
      </c>
      <c r="I293" s="8" t="s">
        <v>543</v>
      </c>
      <c r="J293" s="8">
        <v>51865339</v>
      </c>
      <c r="K293" s="8" t="s">
        <v>2329</v>
      </c>
      <c r="L293" s="8" t="s">
        <v>2333</v>
      </c>
      <c r="M293" s="10">
        <v>89900</v>
      </c>
      <c r="N293" s="64">
        <v>0.7</v>
      </c>
      <c r="O293" s="12">
        <f t="shared" si="5"/>
        <v>26970</v>
      </c>
      <c r="P293" s="6" t="s">
        <v>3499</v>
      </c>
    </row>
    <row r="294" spans="1:16" x14ac:dyDescent="0.25">
      <c r="A294" s="6" t="s">
        <v>3509</v>
      </c>
      <c r="B294" s="7">
        <v>46121</v>
      </c>
      <c r="C294" s="45">
        <v>46127</v>
      </c>
      <c r="D294" s="8">
        <v>3271</v>
      </c>
      <c r="E294" s="8">
        <v>336</v>
      </c>
      <c r="F294" s="8">
        <v>4</v>
      </c>
      <c r="G294" s="8">
        <v>6</v>
      </c>
      <c r="H294" s="8">
        <v>4953</v>
      </c>
      <c r="I294" s="8" t="s">
        <v>543</v>
      </c>
      <c r="J294" s="8">
        <v>51865348</v>
      </c>
      <c r="K294" s="8" t="s">
        <v>2334</v>
      </c>
      <c r="L294" s="8" t="s">
        <v>2335</v>
      </c>
      <c r="M294" s="10">
        <v>89900</v>
      </c>
      <c r="N294" s="64">
        <v>0.7</v>
      </c>
      <c r="O294" s="12">
        <f t="shared" si="5"/>
        <v>26970</v>
      </c>
      <c r="P294" s="6" t="s">
        <v>3499</v>
      </c>
    </row>
    <row r="295" spans="1:16" x14ac:dyDescent="0.25">
      <c r="A295" s="6" t="s">
        <v>3509</v>
      </c>
      <c r="B295" s="7">
        <v>46121</v>
      </c>
      <c r="C295" s="45">
        <v>46127</v>
      </c>
      <c r="D295" s="8">
        <v>3271</v>
      </c>
      <c r="E295" s="8">
        <v>336</v>
      </c>
      <c r="F295" s="8">
        <v>4</v>
      </c>
      <c r="G295" s="8">
        <v>6</v>
      </c>
      <c r="H295" s="8">
        <v>4953</v>
      </c>
      <c r="I295" s="8" t="s">
        <v>543</v>
      </c>
      <c r="J295" s="8">
        <v>51865357</v>
      </c>
      <c r="K295" s="8" t="s">
        <v>2334</v>
      </c>
      <c r="L295" s="8" t="s">
        <v>2336</v>
      </c>
      <c r="M295" s="10">
        <v>89900</v>
      </c>
      <c r="N295" s="64">
        <v>0.7</v>
      </c>
      <c r="O295" s="12">
        <f t="shared" si="5"/>
        <v>26970</v>
      </c>
      <c r="P295" s="6" t="s">
        <v>3499</v>
      </c>
    </row>
    <row r="296" spans="1:16" x14ac:dyDescent="0.25">
      <c r="A296" s="6" t="s">
        <v>3509</v>
      </c>
      <c r="B296" s="7">
        <v>46121</v>
      </c>
      <c r="C296" s="45">
        <v>46127</v>
      </c>
      <c r="D296" s="8">
        <v>3271</v>
      </c>
      <c r="E296" s="8">
        <v>336</v>
      </c>
      <c r="F296" s="8">
        <v>4</v>
      </c>
      <c r="G296" s="8">
        <v>6</v>
      </c>
      <c r="H296" s="8">
        <v>4953</v>
      </c>
      <c r="I296" s="8" t="s">
        <v>543</v>
      </c>
      <c r="J296" s="8">
        <v>51865366</v>
      </c>
      <c r="K296" s="8" t="s">
        <v>2334</v>
      </c>
      <c r="L296" s="8" t="s">
        <v>2337</v>
      </c>
      <c r="M296" s="10">
        <v>89900</v>
      </c>
      <c r="N296" s="64">
        <v>0.7</v>
      </c>
      <c r="O296" s="12">
        <f t="shared" si="5"/>
        <v>26970</v>
      </c>
      <c r="P296" s="6" t="s">
        <v>3499</v>
      </c>
    </row>
    <row r="297" spans="1:16" x14ac:dyDescent="0.25">
      <c r="A297" s="6" t="s">
        <v>3509</v>
      </c>
      <c r="B297" s="7">
        <v>46121</v>
      </c>
      <c r="C297" s="45">
        <v>46127</v>
      </c>
      <c r="D297" s="8">
        <v>3271</v>
      </c>
      <c r="E297" s="8">
        <v>336</v>
      </c>
      <c r="F297" s="8">
        <v>4</v>
      </c>
      <c r="G297" s="8">
        <v>6</v>
      </c>
      <c r="H297" s="8">
        <v>4953</v>
      </c>
      <c r="I297" s="8" t="s">
        <v>543</v>
      </c>
      <c r="J297" s="8">
        <v>51865375</v>
      </c>
      <c r="K297" s="8" t="s">
        <v>2334</v>
      </c>
      <c r="L297" s="8" t="s">
        <v>2338</v>
      </c>
      <c r="M297" s="10">
        <v>89900</v>
      </c>
      <c r="N297" s="64">
        <v>0.7</v>
      </c>
      <c r="O297" s="12">
        <f t="shared" si="5"/>
        <v>26970</v>
      </c>
      <c r="P297" s="6" t="s">
        <v>3499</v>
      </c>
    </row>
    <row r="298" spans="1:16" x14ac:dyDescent="0.25">
      <c r="A298" s="6" t="s">
        <v>3509</v>
      </c>
      <c r="B298" s="7">
        <v>46121</v>
      </c>
      <c r="C298" s="45">
        <v>46127</v>
      </c>
      <c r="D298" s="8">
        <v>3271</v>
      </c>
      <c r="E298" s="8">
        <v>336</v>
      </c>
      <c r="F298" s="8">
        <v>4</v>
      </c>
      <c r="G298" s="8">
        <v>6</v>
      </c>
      <c r="H298" s="8">
        <v>4953</v>
      </c>
      <c r="I298" s="8" t="s">
        <v>543</v>
      </c>
      <c r="J298" s="8">
        <v>51865384</v>
      </c>
      <c r="K298" s="8" t="s">
        <v>2339</v>
      </c>
      <c r="L298" s="8" t="s">
        <v>2340</v>
      </c>
      <c r="M298" s="10">
        <v>89900</v>
      </c>
      <c r="N298" s="64">
        <v>0.7</v>
      </c>
      <c r="O298" s="12">
        <f t="shared" si="5"/>
        <v>26970</v>
      </c>
      <c r="P298" s="6" t="s">
        <v>3499</v>
      </c>
    </row>
    <row r="299" spans="1:16" x14ac:dyDescent="0.25">
      <c r="A299" s="6" t="s">
        <v>3509</v>
      </c>
      <c r="B299" s="7">
        <v>46121</v>
      </c>
      <c r="C299" s="45">
        <v>46127</v>
      </c>
      <c r="D299" s="8">
        <v>3271</v>
      </c>
      <c r="E299" s="8">
        <v>336</v>
      </c>
      <c r="F299" s="8">
        <v>4</v>
      </c>
      <c r="G299" s="8">
        <v>6</v>
      </c>
      <c r="H299" s="8">
        <v>4953</v>
      </c>
      <c r="I299" s="8" t="s">
        <v>543</v>
      </c>
      <c r="J299" s="8">
        <v>51865393</v>
      </c>
      <c r="K299" s="8" t="s">
        <v>2339</v>
      </c>
      <c r="L299" s="8" t="s">
        <v>2341</v>
      </c>
      <c r="M299" s="10">
        <v>89900</v>
      </c>
      <c r="N299" s="64">
        <v>0.7</v>
      </c>
      <c r="O299" s="12">
        <f t="shared" si="5"/>
        <v>26970</v>
      </c>
      <c r="P299" s="6" t="s">
        <v>3499</v>
      </c>
    </row>
    <row r="300" spans="1:16" x14ac:dyDescent="0.25">
      <c r="A300" s="6" t="s">
        <v>3509</v>
      </c>
      <c r="B300" s="7">
        <v>46121</v>
      </c>
      <c r="C300" s="45">
        <v>46127</v>
      </c>
      <c r="D300" s="8">
        <v>3271</v>
      </c>
      <c r="E300" s="8">
        <v>336</v>
      </c>
      <c r="F300" s="8">
        <v>4</v>
      </c>
      <c r="G300" s="8">
        <v>6</v>
      </c>
      <c r="H300" s="8">
        <v>4953</v>
      </c>
      <c r="I300" s="8" t="s">
        <v>543</v>
      </c>
      <c r="J300" s="8">
        <v>51865400</v>
      </c>
      <c r="K300" s="8" t="s">
        <v>2339</v>
      </c>
      <c r="L300" s="8" t="s">
        <v>2342</v>
      </c>
      <c r="M300" s="10">
        <v>89900</v>
      </c>
      <c r="N300" s="64">
        <v>0.7</v>
      </c>
      <c r="O300" s="12">
        <f t="shared" si="5"/>
        <v>26970</v>
      </c>
      <c r="P300" s="6" t="s">
        <v>3499</v>
      </c>
    </row>
    <row r="301" spans="1:16" x14ac:dyDescent="0.25">
      <c r="A301" s="6" t="s">
        <v>3509</v>
      </c>
      <c r="B301" s="7">
        <v>46121</v>
      </c>
      <c r="C301" s="45">
        <v>46127</v>
      </c>
      <c r="D301" s="8">
        <v>3271</v>
      </c>
      <c r="E301" s="8">
        <v>336</v>
      </c>
      <c r="F301" s="8">
        <v>4</v>
      </c>
      <c r="G301" s="8">
        <v>6</v>
      </c>
      <c r="H301" s="8">
        <v>4953</v>
      </c>
      <c r="I301" s="8" t="s">
        <v>543</v>
      </c>
      <c r="J301" s="8">
        <v>51865419</v>
      </c>
      <c r="K301" s="8" t="s">
        <v>2339</v>
      </c>
      <c r="L301" s="8" t="s">
        <v>2343</v>
      </c>
      <c r="M301" s="10">
        <v>89900</v>
      </c>
      <c r="N301" s="64">
        <v>0.7</v>
      </c>
      <c r="O301" s="12">
        <f t="shared" si="5"/>
        <v>26970</v>
      </c>
      <c r="P301" s="6" t="s">
        <v>3499</v>
      </c>
    </row>
    <row r="302" spans="1:16" x14ac:dyDescent="0.25">
      <c r="A302" s="6" t="s">
        <v>3509</v>
      </c>
      <c r="B302" s="7">
        <v>46121</v>
      </c>
      <c r="C302" s="45">
        <v>46127</v>
      </c>
      <c r="D302" s="8">
        <v>3271</v>
      </c>
      <c r="E302" s="8">
        <v>336</v>
      </c>
      <c r="F302" s="8">
        <v>4</v>
      </c>
      <c r="G302" s="8">
        <v>6</v>
      </c>
      <c r="H302" s="8">
        <v>4953</v>
      </c>
      <c r="I302" s="8" t="s">
        <v>543</v>
      </c>
      <c r="J302" s="8">
        <v>51865428</v>
      </c>
      <c r="K302" s="8" t="s">
        <v>2344</v>
      </c>
      <c r="L302" s="8" t="s">
        <v>2345</v>
      </c>
      <c r="M302" s="10">
        <v>89900</v>
      </c>
      <c r="N302" s="64">
        <v>0.7</v>
      </c>
      <c r="O302" s="12">
        <f t="shared" si="5"/>
        <v>26970</v>
      </c>
      <c r="P302" s="6" t="s">
        <v>3499</v>
      </c>
    </row>
    <row r="303" spans="1:16" x14ac:dyDescent="0.25">
      <c r="A303" s="6" t="s">
        <v>3509</v>
      </c>
      <c r="B303" s="7">
        <v>46121</v>
      </c>
      <c r="C303" s="45">
        <v>46127</v>
      </c>
      <c r="D303" s="8">
        <v>3271</v>
      </c>
      <c r="E303" s="8">
        <v>336</v>
      </c>
      <c r="F303" s="8">
        <v>4</v>
      </c>
      <c r="G303" s="8">
        <v>6</v>
      </c>
      <c r="H303" s="8">
        <v>4953</v>
      </c>
      <c r="I303" s="8" t="s">
        <v>543</v>
      </c>
      <c r="J303" s="8">
        <v>51865437</v>
      </c>
      <c r="K303" s="8" t="s">
        <v>2344</v>
      </c>
      <c r="L303" s="8" t="s">
        <v>2346</v>
      </c>
      <c r="M303" s="10">
        <v>89900</v>
      </c>
      <c r="N303" s="64">
        <v>0.7</v>
      </c>
      <c r="O303" s="12">
        <f t="shared" si="5"/>
        <v>26970</v>
      </c>
      <c r="P303" s="6" t="s">
        <v>3499</v>
      </c>
    </row>
    <row r="304" spans="1:16" x14ac:dyDescent="0.25">
      <c r="A304" s="6" t="s">
        <v>3509</v>
      </c>
      <c r="B304" s="7">
        <v>46121</v>
      </c>
      <c r="C304" s="45">
        <v>46127</v>
      </c>
      <c r="D304" s="8">
        <v>3271</v>
      </c>
      <c r="E304" s="8">
        <v>336</v>
      </c>
      <c r="F304" s="8">
        <v>4</v>
      </c>
      <c r="G304" s="8">
        <v>6</v>
      </c>
      <c r="H304" s="8">
        <v>4953</v>
      </c>
      <c r="I304" s="8" t="s">
        <v>543</v>
      </c>
      <c r="J304" s="8">
        <v>51865446</v>
      </c>
      <c r="K304" s="8" t="s">
        <v>2344</v>
      </c>
      <c r="L304" s="8" t="s">
        <v>2347</v>
      </c>
      <c r="M304" s="10">
        <v>89900</v>
      </c>
      <c r="N304" s="64">
        <v>0.7</v>
      </c>
      <c r="O304" s="12">
        <f t="shared" si="5"/>
        <v>26970</v>
      </c>
      <c r="P304" s="6" t="s">
        <v>3499</v>
      </c>
    </row>
    <row r="305" spans="1:16" x14ac:dyDescent="0.25">
      <c r="A305" s="6" t="s">
        <v>3509</v>
      </c>
      <c r="B305" s="7">
        <v>46121</v>
      </c>
      <c r="C305" s="45">
        <v>46127</v>
      </c>
      <c r="D305" s="8">
        <v>3271</v>
      </c>
      <c r="E305" s="8">
        <v>336</v>
      </c>
      <c r="F305" s="8">
        <v>4</v>
      </c>
      <c r="G305" s="8">
        <v>6</v>
      </c>
      <c r="H305" s="8">
        <v>4953</v>
      </c>
      <c r="I305" s="8" t="s">
        <v>543</v>
      </c>
      <c r="J305" s="8">
        <v>51865455</v>
      </c>
      <c r="K305" s="8" t="s">
        <v>2344</v>
      </c>
      <c r="L305" s="8" t="s">
        <v>2348</v>
      </c>
      <c r="M305" s="10">
        <v>89900</v>
      </c>
      <c r="N305" s="64">
        <v>0.7</v>
      </c>
      <c r="O305" s="12">
        <f t="shared" si="5"/>
        <v>26970</v>
      </c>
      <c r="P305" s="6" t="s">
        <v>3499</v>
      </c>
    </row>
    <row r="306" spans="1:16" x14ac:dyDescent="0.25">
      <c r="A306" s="6" t="s">
        <v>3509</v>
      </c>
      <c r="B306" s="7">
        <v>46121</v>
      </c>
      <c r="C306" s="45">
        <v>46127</v>
      </c>
      <c r="D306" s="8">
        <v>3271</v>
      </c>
      <c r="E306" s="8">
        <v>336</v>
      </c>
      <c r="F306" s="8">
        <v>4</v>
      </c>
      <c r="G306" s="8">
        <v>6</v>
      </c>
      <c r="H306" s="8">
        <v>4953</v>
      </c>
      <c r="I306" s="8" t="s">
        <v>543</v>
      </c>
      <c r="J306" s="8">
        <v>51865508</v>
      </c>
      <c r="K306" s="8" t="s">
        <v>2349</v>
      </c>
      <c r="L306" s="8" t="s">
        <v>2350</v>
      </c>
      <c r="M306" s="10">
        <v>89900</v>
      </c>
      <c r="N306" s="64">
        <v>0.7</v>
      </c>
      <c r="O306" s="12">
        <f t="shared" si="5"/>
        <v>26970</v>
      </c>
      <c r="P306" s="6" t="s">
        <v>3499</v>
      </c>
    </row>
    <row r="307" spans="1:16" x14ac:dyDescent="0.25">
      <c r="A307" s="6" t="s">
        <v>3509</v>
      </c>
      <c r="B307" s="7">
        <v>46121</v>
      </c>
      <c r="C307" s="45">
        <v>46127</v>
      </c>
      <c r="D307" s="8">
        <v>3271</v>
      </c>
      <c r="E307" s="8">
        <v>336</v>
      </c>
      <c r="F307" s="8">
        <v>4</v>
      </c>
      <c r="G307" s="8">
        <v>6</v>
      </c>
      <c r="H307" s="8">
        <v>4953</v>
      </c>
      <c r="I307" s="8" t="s">
        <v>543</v>
      </c>
      <c r="J307" s="8">
        <v>51865517</v>
      </c>
      <c r="K307" s="8" t="s">
        <v>2349</v>
      </c>
      <c r="L307" s="8" t="s">
        <v>2351</v>
      </c>
      <c r="M307" s="10">
        <v>89900</v>
      </c>
      <c r="N307" s="64">
        <v>0.7</v>
      </c>
      <c r="O307" s="12">
        <f t="shared" si="5"/>
        <v>26970</v>
      </c>
      <c r="P307" s="6" t="s">
        <v>3499</v>
      </c>
    </row>
    <row r="308" spans="1:16" x14ac:dyDescent="0.25">
      <c r="A308" s="6" t="s">
        <v>3509</v>
      </c>
      <c r="B308" s="7">
        <v>46121</v>
      </c>
      <c r="C308" s="45">
        <v>46127</v>
      </c>
      <c r="D308" s="8">
        <v>3271</v>
      </c>
      <c r="E308" s="8">
        <v>336</v>
      </c>
      <c r="F308" s="8">
        <v>4</v>
      </c>
      <c r="G308" s="8">
        <v>6</v>
      </c>
      <c r="H308" s="8">
        <v>4953</v>
      </c>
      <c r="I308" s="8" t="s">
        <v>543</v>
      </c>
      <c r="J308" s="8">
        <v>51865526</v>
      </c>
      <c r="K308" s="8" t="s">
        <v>2349</v>
      </c>
      <c r="L308" s="8" t="s">
        <v>2352</v>
      </c>
      <c r="M308" s="10">
        <v>89900</v>
      </c>
      <c r="N308" s="64">
        <v>0.7</v>
      </c>
      <c r="O308" s="12">
        <f t="shared" si="5"/>
        <v>26970</v>
      </c>
      <c r="P308" s="6" t="s">
        <v>3499</v>
      </c>
    </row>
    <row r="309" spans="1:16" x14ac:dyDescent="0.25">
      <c r="A309" s="6" t="s">
        <v>3509</v>
      </c>
      <c r="B309" s="7">
        <v>46121</v>
      </c>
      <c r="C309" s="45">
        <v>46127</v>
      </c>
      <c r="D309" s="8">
        <v>3271</v>
      </c>
      <c r="E309" s="8">
        <v>336</v>
      </c>
      <c r="F309" s="8">
        <v>4</v>
      </c>
      <c r="G309" s="8">
        <v>6</v>
      </c>
      <c r="H309" s="8">
        <v>4953</v>
      </c>
      <c r="I309" s="8" t="s">
        <v>543</v>
      </c>
      <c r="J309" s="8">
        <v>51865535</v>
      </c>
      <c r="K309" s="8" t="s">
        <v>2349</v>
      </c>
      <c r="L309" s="8" t="s">
        <v>2353</v>
      </c>
      <c r="M309" s="10">
        <v>89900</v>
      </c>
      <c r="N309" s="64">
        <v>0.7</v>
      </c>
      <c r="O309" s="12">
        <f t="shared" si="5"/>
        <v>26970</v>
      </c>
      <c r="P309" s="6" t="s">
        <v>3499</v>
      </c>
    </row>
    <row r="310" spans="1:16" x14ac:dyDescent="0.25">
      <c r="A310" s="6" t="s">
        <v>3509</v>
      </c>
      <c r="B310" s="7">
        <v>46121</v>
      </c>
      <c r="C310" s="45">
        <v>46127</v>
      </c>
      <c r="D310" s="8">
        <v>3271</v>
      </c>
      <c r="E310" s="8">
        <v>336</v>
      </c>
      <c r="F310" s="8">
        <v>4</v>
      </c>
      <c r="G310" s="8">
        <v>6</v>
      </c>
      <c r="H310" s="8">
        <v>81305</v>
      </c>
      <c r="I310" s="8" t="s">
        <v>543</v>
      </c>
      <c r="J310" s="8">
        <v>51679737</v>
      </c>
      <c r="K310" s="8" t="s">
        <v>2354</v>
      </c>
      <c r="L310" s="8" t="s">
        <v>2355</v>
      </c>
      <c r="M310" s="10">
        <v>89900</v>
      </c>
      <c r="N310" s="64">
        <v>0.7</v>
      </c>
      <c r="O310" s="12">
        <f t="shared" si="5"/>
        <v>26970</v>
      </c>
      <c r="P310" s="6" t="s">
        <v>3499</v>
      </c>
    </row>
    <row r="311" spans="1:16" x14ac:dyDescent="0.25">
      <c r="A311" s="6" t="s">
        <v>3509</v>
      </c>
      <c r="B311" s="7">
        <v>46121</v>
      </c>
      <c r="C311" s="45">
        <v>46127</v>
      </c>
      <c r="D311" s="8">
        <v>3271</v>
      </c>
      <c r="E311" s="8">
        <v>336</v>
      </c>
      <c r="F311" s="8">
        <v>4</v>
      </c>
      <c r="G311" s="8">
        <v>6</v>
      </c>
      <c r="H311" s="8">
        <v>81305</v>
      </c>
      <c r="I311" s="8" t="s">
        <v>543</v>
      </c>
      <c r="J311" s="8">
        <v>51679746</v>
      </c>
      <c r="K311" s="8" t="s">
        <v>2354</v>
      </c>
      <c r="L311" s="8" t="s">
        <v>2356</v>
      </c>
      <c r="M311" s="10">
        <v>89900</v>
      </c>
      <c r="N311" s="64">
        <v>0.7</v>
      </c>
      <c r="O311" s="12">
        <f t="shared" si="5"/>
        <v>26970</v>
      </c>
      <c r="P311" s="6" t="s">
        <v>3499</v>
      </c>
    </row>
    <row r="312" spans="1:16" x14ac:dyDescent="0.25">
      <c r="A312" s="6" t="s">
        <v>3509</v>
      </c>
      <c r="B312" s="7">
        <v>46121</v>
      </c>
      <c r="C312" s="45">
        <v>46127</v>
      </c>
      <c r="D312" s="8">
        <v>3271</v>
      </c>
      <c r="E312" s="8">
        <v>336</v>
      </c>
      <c r="F312" s="8">
        <v>4</v>
      </c>
      <c r="G312" s="8">
        <v>6</v>
      </c>
      <c r="H312" s="8">
        <v>81305</v>
      </c>
      <c r="I312" s="8" t="s">
        <v>543</v>
      </c>
      <c r="J312" s="8">
        <v>51679755</v>
      </c>
      <c r="K312" s="8" t="s">
        <v>2354</v>
      </c>
      <c r="L312" s="8" t="s">
        <v>2357</v>
      </c>
      <c r="M312" s="10">
        <v>89900</v>
      </c>
      <c r="N312" s="64">
        <v>0.7</v>
      </c>
      <c r="O312" s="12">
        <f t="shared" si="5"/>
        <v>26970</v>
      </c>
      <c r="P312" s="6" t="s">
        <v>3499</v>
      </c>
    </row>
    <row r="313" spans="1:16" x14ac:dyDescent="0.25">
      <c r="A313" s="6" t="s">
        <v>3509</v>
      </c>
      <c r="B313" s="7">
        <v>46121</v>
      </c>
      <c r="C313" s="45">
        <v>46127</v>
      </c>
      <c r="D313" s="8">
        <v>3271</v>
      </c>
      <c r="E313" s="8">
        <v>336</v>
      </c>
      <c r="F313" s="8">
        <v>4</v>
      </c>
      <c r="G313" s="8">
        <v>6</v>
      </c>
      <c r="H313" s="8">
        <v>81305</v>
      </c>
      <c r="I313" s="8" t="s">
        <v>543</v>
      </c>
      <c r="J313" s="8">
        <v>51679764</v>
      </c>
      <c r="K313" s="8" t="s">
        <v>2354</v>
      </c>
      <c r="L313" s="8" t="s">
        <v>2358</v>
      </c>
      <c r="M313" s="10">
        <v>89900</v>
      </c>
      <c r="N313" s="64">
        <v>0.7</v>
      </c>
      <c r="O313" s="12">
        <f t="shared" si="5"/>
        <v>26970</v>
      </c>
      <c r="P313" s="6" t="s">
        <v>3499</v>
      </c>
    </row>
    <row r="314" spans="1:16" x14ac:dyDescent="0.25">
      <c r="A314" s="6" t="s">
        <v>3509</v>
      </c>
      <c r="B314" s="7">
        <v>46121</v>
      </c>
      <c r="C314" s="45">
        <v>46127</v>
      </c>
      <c r="D314" s="8">
        <v>3271</v>
      </c>
      <c r="E314" s="8">
        <v>336</v>
      </c>
      <c r="F314" s="8">
        <v>4</v>
      </c>
      <c r="G314" s="8">
        <v>6</v>
      </c>
      <c r="H314" s="8">
        <v>81305</v>
      </c>
      <c r="I314" s="8" t="s">
        <v>543</v>
      </c>
      <c r="J314" s="8">
        <v>51679773</v>
      </c>
      <c r="K314" s="8" t="s">
        <v>2359</v>
      </c>
      <c r="L314" s="8" t="s">
        <v>2360</v>
      </c>
      <c r="M314" s="10">
        <v>89900</v>
      </c>
      <c r="N314" s="64">
        <v>0.7</v>
      </c>
      <c r="O314" s="12">
        <f t="shared" si="5"/>
        <v>26970</v>
      </c>
      <c r="P314" s="6" t="s">
        <v>3499</v>
      </c>
    </row>
    <row r="315" spans="1:16" x14ac:dyDescent="0.25">
      <c r="A315" s="6" t="s">
        <v>3509</v>
      </c>
      <c r="B315" s="7">
        <v>46121</v>
      </c>
      <c r="C315" s="45">
        <v>46127</v>
      </c>
      <c r="D315" s="8">
        <v>3271</v>
      </c>
      <c r="E315" s="8">
        <v>336</v>
      </c>
      <c r="F315" s="8">
        <v>4</v>
      </c>
      <c r="G315" s="8">
        <v>6</v>
      </c>
      <c r="H315" s="8">
        <v>81305</v>
      </c>
      <c r="I315" s="8" t="s">
        <v>543</v>
      </c>
      <c r="J315" s="8">
        <v>51679782</v>
      </c>
      <c r="K315" s="8" t="s">
        <v>2359</v>
      </c>
      <c r="L315" s="8" t="s">
        <v>2361</v>
      </c>
      <c r="M315" s="10">
        <v>89900</v>
      </c>
      <c r="N315" s="64">
        <v>0.7</v>
      </c>
      <c r="O315" s="12">
        <f t="shared" si="5"/>
        <v>26970</v>
      </c>
      <c r="P315" s="6" t="s">
        <v>3499</v>
      </c>
    </row>
    <row r="316" spans="1:16" x14ac:dyDescent="0.25">
      <c r="A316" s="6" t="s">
        <v>3509</v>
      </c>
      <c r="B316" s="7">
        <v>46121</v>
      </c>
      <c r="C316" s="45">
        <v>46127</v>
      </c>
      <c r="D316" s="8">
        <v>3271</v>
      </c>
      <c r="E316" s="8">
        <v>336</v>
      </c>
      <c r="F316" s="8">
        <v>4</v>
      </c>
      <c r="G316" s="8">
        <v>6</v>
      </c>
      <c r="H316" s="8">
        <v>81305</v>
      </c>
      <c r="I316" s="8" t="s">
        <v>543</v>
      </c>
      <c r="J316" s="8">
        <v>51679791</v>
      </c>
      <c r="K316" s="8" t="s">
        <v>2359</v>
      </c>
      <c r="L316" s="8" t="s">
        <v>2362</v>
      </c>
      <c r="M316" s="10">
        <v>89900</v>
      </c>
      <c r="N316" s="64">
        <v>0.7</v>
      </c>
      <c r="O316" s="12">
        <f t="shared" si="5"/>
        <v>26970</v>
      </c>
      <c r="P316" s="6" t="s">
        <v>3499</v>
      </c>
    </row>
    <row r="317" spans="1:16" x14ac:dyDescent="0.25">
      <c r="A317" s="6" t="s">
        <v>3509</v>
      </c>
      <c r="B317" s="7">
        <v>46121</v>
      </c>
      <c r="C317" s="45">
        <v>46127</v>
      </c>
      <c r="D317" s="8">
        <v>3271</v>
      </c>
      <c r="E317" s="8">
        <v>336</v>
      </c>
      <c r="F317" s="8">
        <v>4</v>
      </c>
      <c r="G317" s="8">
        <v>6</v>
      </c>
      <c r="H317" s="8">
        <v>81305</v>
      </c>
      <c r="I317" s="8" t="s">
        <v>543</v>
      </c>
      <c r="J317" s="8">
        <v>51679808</v>
      </c>
      <c r="K317" s="8" t="s">
        <v>2359</v>
      </c>
      <c r="L317" s="8" t="s">
        <v>2363</v>
      </c>
      <c r="M317" s="10">
        <v>89900</v>
      </c>
      <c r="N317" s="64">
        <v>0.7</v>
      </c>
      <c r="O317" s="12">
        <f t="shared" si="5"/>
        <v>26970</v>
      </c>
      <c r="P317" s="6" t="s">
        <v>3499</v>
      </c>
    </row>
    <row r="318" spans="1:16" x14ac:dyDescent="0.25">
      <c r="A318" s="6" t="s">
        <v>3509</v>
      </c>
      <c r="B318" s="7">
        <v>46121</v>
      </c>
      <c r="C318" s="45">
        <v>46127</v>
      </c>
      <c r="D318" s="8">
        <v>3271</v>
      </c>
      <c r="E318" s="8">
        <v>336</v>
      </c>
      <c r="F318" s="8">
        <v>4</v>
      </c>
      <c r="G318" s="8">
        <v>6</v>
      </c>
      <c r="H318" s="8">
        <v>81305</v>
      </c>
      <c r="I318" s="8" t="s">
        <v>543</v>
      </c>
      <c r="J318" s="8">
        <v>51679817</v>
      </c>
      <c r="K318" s="8" t="s">
        <v>2364</v>
      </c>
      <c r="L318" s="8" t="s">
        <v>2365</v>
      </c>
      <c r="M318" s="10">
        <v>89900</v>
      </c>
      <c r="N318" s="64">
        <v>0.7</v>
      </c>
      <c r="O318" s="12">
        <f t="shared" si="5"/>
        <v>26970</v>
      </c>
      <c r="P318" s="6" t="s">
        <v>3499</v>
      </c>
    </row>
    <row r="319" spans="1:16" x14ac:dyDescent="0.25">
      <c r="A319" s="6" t="s">
        <v>3509</v>
      </c>
      <c r="B319" s="7">
        <v>46121</v>
      </c>
      <c r="C319" s="45">
        <v>46127</v>
      </c>
      <c r="D319" s="8">
        <v>3271</v>
      </c>
      <c r="E319" s="8">
        <v>336</v>
      </c>
      <c r="F319" s="8">
        <v>4</v>
      </c>
      <c r="G319" s="8">
        <v>6</v>
      </c>
      <c r="H319" s="8">
        <v>81305</v>
      </c>
      <c r="I319" s="8" t="s">
        <v>543</v>
      </c>
      <c r="J319" s="8">
        <v>51679826</v>
      </c>
      <c r="K319" s="8" t="s">
        <v>2364</v>
      </c>
      <c r="L319" s="8" t="s">
        <v>2366</v>
      </c>
      <c r="M319" s="10">
        <v>89900</v>
      </c>
      <c r="N319" s="64">
        <v>0.7</v>
      </c>
      <c r="O319" s="12">
        <f t="shared" si="5"/>
        <v>26970</v>
      </c>
      <c r="P319" s="6" t="s">
        <v>3499</v>
      </c>
    </row>
    <row r="320" spans="1:16" x14ac:dyDescent="0.25">
      <c r="A320" s="6" t="s">
        <v>3509</v>
      </c>
      <c r="B320" s="7">
        <v>46121</v>
      </c>
      <c r="C320" s="45">
        <v>46127</v>
      </c>
      <c r="D320" s="8">
        <v>3271</v>
      </c>
      <c r="E320" s="8">
        <v>336</v>
      </c>
      <c r="F320" s="8">
        <v>4</v>
      </c>
      <c r="G320" s="8">
        <v>6</v>
      </c>
      <c r="H320" s="8">
        <v>81305</v>
      </c>
      <c r="I320" s="8" t="s">
        <v>543</v>
      </c>
      <c r="J320" s="8">
        <v>51679835</v>
      </c>
      <c r="K320" s="8" t="s">
        <v>2364</v>
      </c>
      <c r="L320" s="8" t="s">
        <v>2367</v>
      </c>
      <c r="M320" s="10">
        <v>89900</v>
      </c>
      <c r="N320" s="64">
        <v>0.7</v>
      </c>
      <c r="O320" s="12">
        <f t="shared" si="5"/>
        <v>26970</v>
      </c>
      <c r="P320" s="6" t="s">
        <v>3499</v>
      </c>
    </row>
    <row r="321" spans="1:16" x14ac:dyDescent="0.25">
      <c r="A321" s="6" t="s">
        <v>3509</v>
      </c>
      <c r="B321" s="7">
        <v>46121</v>
      </c>
      <c r="C321" s="45">
        <v>46127</v>
      </c>
      <c r="D321" s="8">
        <v>3271</v>
      </c>
      <c r="E321" s="8">
        <v>336</v>
      </c>
      <c r="F321" s="8">
        <v>4</v>
      </c>
      <c r="G321" s="8">
        <v>6</v>
      </c>
      <c r="H321" s="8">
        <v>81305</v>
      </c>
      <c r="I321" s="8" t="s">
        <v>543</v>
      </c>
      <c r="J321" s="8">
        <v>51679844</v>
      </c>
      <c r="K321" s="8" t="s">
        <v>2364</v>
      </c>
      <c r="L321" s="8" t="s">
        <v>2368</v>
      </c>
      <c r="M321" s="10">
        <v>89900</v>
      </c>
      <c r="N321" s="64">
        <v>0.7</v>
      </c>
      <c r="O321" s="12">
        <f t="shared" si="5"/>
        <v>26970</v>
      </c>
      <c r="P321" s="6" t="s">
        <v>3499</v>
      </c>
    </row>
    <row r="322" spans="1:16" x14ac:dyDescent="0.25">
      <c r="A322" s="6" t="s">
        <v>3509</v>
      </c>
      <c r="B322" s="7">
        <v>46121</v>
      </c>
      <c r="C322" s="45">
        <v>46127</v>
      </c>
      <c r="D322" s="8">
        <v>3271</v>
      </c>
      <c r="E322" s="8">
        <v>336</v>
      </c>
      <c r="F322" s="8">
        <v>4</v>
      </c>
      <c r="G322" s="8">
        <v>6</v>
      </c>
      <c r="H322" s="8">
        <v>81305</v>
      </c>
      <c r="I322" s="8" t="s">
        <v>543</v>
      </c>
      <c r="J322" s="8">
        <v>51679853</v>
      </c>
      <c r="K322" s="8" t="s">
        <v>2369</v>
      </c>
      <c r="L322" s="8" t="s">
        <v>2370</v>
      </c>
      <c r="M322" s="10">
        <v>89900</v>
      </c>
      <c r="N322" s="64">
        <v>0.7</v>
      </c>
      <c r="O322" s="12">
        <f t="shared" si="5"/>
        <v>26970</v>
      </c>
      <c r="P322" s="6" t="s">
        <v>3499</v>
      </c>
    </row>
    <row r="323" spans="1:16" x14ac:dyDescent="0.25">
      <c r="A323" s="6" t="s">
        <v>3509</v>
      </c>
      <c r="B323" s="7">
        <v>46121</v>
      </c>
      <c r="C323" s="45">
        <v>46127</v>
      </c>
      <c r="D323" s="8">
        <v>3271</v>
      </c>
      <c r="E323" s="8">
        <v>336</v>
      </c>
      <c r="F323" s="8">
        <v>4</v>
      </c>
      <c r="G323" s="8">
        <v>6</v>
      </c>
      <c r="H323" s="8">
        <v>81305</v>
      </c>
      <c r="I323" s="8" t="s">
        <v>543</v>
      </c>
      <c r="J323" s="8">
        <v>51679862</v>
      </c>
      <c r="K323" s="8" t="s">
        <v>2369</v>
      </c>
      <c r="L323" s="8" t="s">
        <v>2371</v>
      </c>
      <c r="M323" s="10">
        <v>89900</v>
      </c>
      <c r="N323" s="64">
        <v>0.7</v>
      </c>
      <c r="O323" s="12">
        <f t="shared" ref="O323:O325" si="6">M323-((70*M323)/100)</f>
        <v>26970</v>
      </c>
      <c r="P323" s="6" t="s">
        <v>3499</v>
      </c>
    </row>
    <row r="324" spans="1:16" x14ac:dyDescent="0.25">
      <c r="A324" s="6" t="s">
        <v>3509</v>
      </c>
      <c r="B324" s="7">
        <v>46121</v>
      </c>
      <c r="C324" s="45">
        <v>46127</v>
      </c>
      <c r="D324" s="8">
        <v>3271</v>
      </c>
      <c r="E324" s="8">
        <v>336</v>
      </c>
      <c r="F324" s="8">
        <v>4</v>
      </c>
      <c r="G324" s="8">
        <v>6</v>
      </c>
      <c r="H324" s="8">
        <v>81305</v>
      </c>
      <c r="I324" s="8" t="s">
        <v>543</v>
      </c>
      <c r="J324" s="8">
        <v>51679871</v>
      </c>
      <c r="K324" s="8" t="s">
        <v>2369</v>
      </c>
      <c r="L324" s="8" t="s">
        <v>2372</v>
      </c>
      <c r="M324" s="10">
        <v>89900</v>
      </c>
      <c r="N324" s="64">
        <v>0.7</v>
      </c>
      <c r="O324" s="12">
        <f t="shared" si="6"/>
        <v>26970</v>
      </c>
      <c r="P324" s="6" t="s">
        <v>3499</v>
      </c>
    </row>
    <row r="325" spans="1:16" x14ac:dyDescent="0.25">
      <c r="A325" s="6" t="s">
        <v>3509</v>
      </c>
      <c r="B325" s="7">
        <v>46121</v>
      </c>
      <c r="C325" s="45">
        <v>46127</v>
      </c>
      <c r="D325" s="8">
        <v>3271</v>
      </c>
      <c r="E325" s="8">
        <v>336</v>
      </c>
      <c r="F325" s="8">
        <v>4</v>
      </c>
      <c r="G325" s="8">
        <v>6</v>
      </c>
      <c r="H325" s="8">
        <v>81305</v>
      </c>
      <c r="I325" s="8" t="s">
        <v>543</v>
      </c>
      <c r="J325" s="8">
        <v>51679880</v>
      </c>
      <c r="K325" s="8" t="s">
        <v>2369</v>
      </c>
      <c r="L325" s="8" t="s">
        <v>2373</v>
      </c>
      <c r="M325" s="10">
        <v>89900</v>
      </c>
      <c r="N325" s="64">
        <v>0.7</v>
      </c>
      <c r="O325" s="12">
        <f t="shared" si="6"/>
        <v>26970</v>
      </c>
      <c r="P325" s="6" t="s">
        <v>3499</v>
      </c>
    </row>
  </sheetData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8F8A5-633D-4AEE-A893-0EF304038C1F}">
  <sheetPr>
    <tabColor rgb="FF00B050"/>
  </sheetPr>
  <dimension ref="A1:P283"/>
  <sheetViews>
    <sheetView topLeftCell="B264" workbookViewId="0">
      <selection activeCell="M272" sqref="M272"/>
    </sheetView>
  </sheetViews>
  <sheetFormatPr defaultRowHeight="15" x14ac:dyDescent="0.25"/>
  <cols>
    <col min="1" max="1" width="32.42578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2.140625" bestFit="1" customWidth="1"/>
    <col min="12" max="12" width="101.570312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3508</v>
      </c>
      <c r="B2" s="7">
        <v>46121</v>
      </c>
      <c r="C2" s="7">
        <v>46127</v>
      </c>
      <c r="D2" s="6">
        <v>3271</v>
      </c>
      <c r="E2" s="6">
        <v>336</v>
      </c>
      <c r="F2" s="6">
        <v>4</v>
      </c>
      <c r="G2" s="46">
        <v>4</v>
      </c>
      <c r="H2" s="46">
        <v>81810</v>
      </c>
      <c r="I2" s="46" t="s">
        <v>543</v>
      </c>
      <c r="J2" s="46">
        <v>52475240</v>
      </c>
      <c r="K2" s="46" t="s">
        <v>2374</v>
      </c>
      <c r="L2" s="46" t="s">
        <v>2375</v>
      </c>
      <c r="M2" s="47">
        <v>199900</v>
      </c>
      <c r="N2" s="64">
        <v>0.6</v>
      </c>
      <c r="O2" s="12">
        <f t="shared" ref="O2" si="0">M2-((60*M2)/100)</f>
        <v>79960</v>
      </c>
      <c r="P2" s="6" t="s">
        <v>3499</v>
      </c>
    </row>
    <row r="3" spans="1:16" x14ac:dyDescent="0.25">
      <c r="A3" s="6" t="s">
        <v>3508</v>
      </c>
      <c r="B3" s="7">
        <v>46121</v>
      </c>
      <c r="C3" s="7">
        <v>46127</v>
      </c>
      <c r="D3" s="6">
        <v>3271</v>
      </c>
      <c r="E3" s="6">
        <v>336</v>
      </c>
      <c r="F3" s="6">
        <v>4</v>
      </c>
      <c r="G3" s="46">
        <v>4</v>
      </c>
      <c r="H3" s="46">
        <v>81810</v>
      </c>
      <c r="I3" s="46" t="s">
        <v>543</v>
      </c>
      <c r="J3" s="46">
        <v>52475259</v>
      </c>
      <c r="K3" s="46" t="s">
        <v>2374</v>
      </c>
      <c r="L3" s="46" t="s">
        <v>2376</v>
      </c>
      <c r="M3" s="47">
        <v>199900</v>
      </c>
      <c r="N3" s="64">
        <v>0.6</v>
      </c>
      <c r="O3" s="12">
        <f t="shared" ref="O3:O66" si="1">M3-((60*M3)/100)</f>
        <v>79960</v>
      </c>
      <c r="P3" s="6" t="s">
        <v>3499</v>
      </c>
    </row>
    <row r="4" spans="1:16" x14ac:dyDescent="0.25">
      <c r="A4" s="6" t="s">
        <v>3508</v>
      </c>
      <c r="B4" s="7">
        <v>46121</v>
      </c>
      <c r="C4" s="7">
        <v>46127</v>
      </c>
      <c r="D4" s="6">
        <v>3271</v>
      </c>
      <c r="E4" s="6">
        <v>336</v>
      </c>
      <c r="F4" s="6">
        <v>4</v>
      </c>
      <c r="G4" s="46">
        <v>4</v>
      </c>
      <c r="H4" s="46">
        <v>81810</v>
      </c>
      <c r="I4" s="46" t="s">
        <v>543</v>
      </c>
      <c r="J4" s="46">
        <v>52475268</v>
      </c>
      <c r="K4" s="46" t="s">
        <v>2374</v>
      </c>
      <c r="L4" s="46" t="s">
        <v>2377</v>
      </c>
      <c r="M4" s="47">
        <v>199900</v>
      </c>
      <c r="N4" s="64">
        <v>0.6</v>
      </c>
      <c r="O4" s="12">
        <f t="shared" si="1"/>
        <v>79960</v>
      </c>
      <c r="P4" s="6" t="s">
        <v>3499</v>
      </c>
    </row>
    <row r="5" spans="1:16" x14ac:dyDescent="0.25">
      <c r="A5" s="6" t="s">
        <v>3508</v>
      </c>
      <c r="B5" s="7">
        <v>46121</v>
      </c>
      <c r="C5" s="7">
        <v>46127</v>
      </c>
      <c r="D5" s="6">
        <v>3271</v>
      </c>
      <c r="E5" s="6">
        <v>336</v>
      </c>
      <c r="F5" s="6">
        <v>4</v>
      </c>
      <c r="G5" s="46">
        <v>4</v>
      </c>
      <c r="H5" s="46">
        <v>81810</v>
      </c>
      <c r="I5" s="46" t="s">
        <v>543</v>
      </c>
      <c r="J5" s="46">
        <v>52475277</v>
      </c>
      <c r="K5" s="46" t="s">
        <v>2374</v>
      </c>
      <c r="L5" s="46" t="s">
        <v>2378</v>
      </c>
      <c r="M5" s="47">
        <v>199900</v>
      </c>
      <c r="N5" s="64">
        <v>0.6</v>
      </c>
      <c r="O5" s="12">
        <f t="shared" si="1"/>
        <v>79960</v>
      </c>
      <c r="P5" s="6" t="s">
        <v>3499</v>
      </c>
    </row>
    <row r="6" spans="1:16" x14ac:dyDescent="0.25">
      <c r="A6" s="6" t="s">
        <v>3508</v>
      </c>
      <c r="B6" s="7">
        <v>46121</v>
      </c>
      <c r="C6" s="7">
        <v>46127</v>
      </c>
      <c r="D6" s="35">
        <v>3271</v>
      </c>
      <c r="E6" s="35">
        <v>336</v>
      </c>
      <c r="F6" s="35">
        <v>4</v>
      </c>
      <c r="G6" s="35">
        <v>4</v>
      </c>
      <c r="H6" s="35">
        <v>81810</v>
      </c>
      <c r="I6" s="35" t="s">
        <v>543</v>
      </c>
      <c r="J6" s="35">
        <v>52475286</v>
      </c>
      <c r="K6" s="35" t="s">
        <v>2379</v>
      </c>
      <c r="L6" s="35" t="s">
        <v>2380</v>
      </c>
      <c r="M6" s="41">
        <v>199900</v>
      </c>
      <c r="N6" s="64">
        <v>0.6</v>
      </c>
      <c r="O6" s="12">
        <f t="shared" si="1"/>
        <v>79960</v>
      </c>
      <c r="P6" s="6" t="s">
        <v>3499</v>
      </c>
    </row>
    <row r="7" spans="1:16" x14ac:dyDescent="0.25">
      <c r="A7" s="6" t="s">
        <v>3508</v>
      </c>
      <c r="B7" s="7">
        <v>46121</v>
      </c>
      <c r="C7" s="7">
        <v>46127</v>
      </c>
      <c r="D7" s="35">
        <v>3271</v>
      </c>
      <c r="E7" s="35">
        <v>336</v>
      </c>
      <c r="F7" s="35">
        <v>4</v>
      </c>
      <c r="G7" s="35">
        <v>4</v>
      </c>
      <c r="H7" s="35">
        <v>81810</v>
      </c>
      <c r="I7" s="35" t="s">
        <v>543</v>
      </c>
      <c r="J7" s="35">
        <v>52475295</v>
      </c>
      <c r="K7" s="35" t="s">
        <v>2379</v>
      </c>
      <c r="L7" s="35" t="s">
        <v>2381</v>
      </c>
      <c r="M7" s="41">
        <v>199900</v>
      </c>
      <c r="N7" s="64">
        <v>0.6</v>
      </c>
      <c r="O7" s="12">
        <f t="shared" si="1"/>
        <v>79960</v>
      </c>
      <c r="P7" s="6" t="s">
        <v>3499</v>
      </c>
    </row>
    <row r="8" spans="1:16" x14ac:dyDescent="0.25">
      <c r="A8" s="6" t="s">
        <v>3508</v>
      </c>
      <c r="B8" s="7">
        <v>46121</v>
      </c>
      <c r="C8" s="7">
        <v>46127</v>
      </c>
      <c r="D8" s="35">
        <v>3271</v>
      </c>
      <c r="E8" s="35">
        <v>336</v>
      </c>
      <c r="F8" s="35">
        <v>4</v>
      </c>
      <c r="G8" s="35">
        <v>4</v>
      </c>
      <c r="H8" s="35">
        <v>81810</v>
      </c>
      <c r="I8" s="35" t="s">
        <v>543</v>
      </c>
      <c r="J8" s="35">
        <v>52475302</v>
      </c>
      <c r="K8" s="35" t="s">
        <v>2379</v>
      </c>
      <c r="L8" s="35" t="s">
        <v>2382</v>
      </c>
      <c r="M8" s="41">
        <v>199900</v>
      </c>
      <c r="N8" s="64">
        <v>0.6</v>
      </c>
      <c r="O8" s="12">
        <f t="shared" si="1"/>
        <v>79960</v>
      </c>
      <c r="P8" s="6" t="s">
        <v>3499</v>
      </c>
    </row>
    <row r="9" spans="1:16" x14ac:dyDescent="0.25">
      <c r="A9" s="6" t="s">
        <v>3508</v>
      </c>
      <c r="B9" s="7">
        <v>46121</v>
      </c>
      <c r="C9" s="7">
        <v>46127</v>
      </c>
      <c r="D9" s="35">
        <v>3271</v>
      </c>
      <c r="E9" s="35">
        <v>336</v>
      </c>
      <c r="F9" s="35">
        <v>4</v>
      </c>
      <c r="G9" s="35">
        <v>4</v>
      </c>
      <c r="H9" s="35">
        <v>81810</v>
      </c>
      <c r="I9" s="35" t="s">
        <v>543</v>
      </c>
      <c r="J9" s="35">
        <v>52475311</v>
      </c>
      <c r="K9" s="35" t="s">
        <v>2379</v>
      </c>
      <c r="L9" s="35" t="s">
        <v>2383</v>
      </c>
      <c r="M9" s="41">
        <v>199900</v>
      </c>
      <c r="N9" s="64">
        <v>0.6</v>
      </c>
      <c r="O9" s="12">
        <f t="shared" si="1"/>
        <v>79960</v>
      </c>
      <c r="P9" s="6" t="s">
        <v>3499</v>
      </c>
    </row>
    <row r="10" spans="1:16" x14ac:dyDescent="0.25">
      <c r="A10" s="6" t="s">
        <v>3508</v>
      </c>
      <c r="B10" s="7">
        <v>46121</v>
      </c>
      <c r="C10" s="7">
        <v>46127</v>
      </c>
      <c r="D10" s="35">
        <v>3271</v>
      </c>
      <c r="E10" s="35">
        <v>336</v>
      </c>
      <c r="F10" s="35">
        <v>4</v>
      </c>
      <c r="G10" s="35">
        <v>4</v>
      </c>
      <c r="H10" s="35">
        <v>81810</v>
      </c>
      <c r="I10" s="35" t="s">
        <v>543</v>
      </c>
      <c r="J10" s="35">
        <v>52475320</v>
      </c>
      <c r="K10" s="35" t="s">
        <v>2384</v>
      </c>
      <c r="L10" s="35" t="s">
        <v>2385</v>
      </c>
      <c r="M10" s="41">
        <v>199900</v>
      </c>
      <c r="N10" s="64">
        <v>0.6</v>
      </c>
      <c r="O10" s="12">
        <f t="shared" si="1"/>
        <v>79960</v>
      </c>
      <c r="P10" s="6" t="s">
        <v>3499</v>
      </c>
    </row>
    <row r="11" spans="1:16" x14ac:dyDescent="0.25">
      <c r="A11" s="6" t="s">
        <v>3508</v>
      </c>
      <c r="B11" s="7">
        <v>46121</v>
      </c>
      <c r="C11" s="7">
        <v>46127</v>
      </c>
      <c r="D11" s="35">
        <v>3271</v>
      </c>
      <c r="E11" s="35">
        <v>336</v>
      </c>
      <c r="F11" s="35">
        <v>4</v>
      </c>
      <c r="G11" s="35">
        <v>4</v>
      </c>
      <c r="H11" s="35">
        <v>81810</v>
      </c>
      <c r="I11" s="35" t="s">
        <v>543</v>
      </c>
      <c r="J11" s="35">
        <v>52475339</v>
      </c>
      <c r="K11" s="35" t="s">
        <v>2384</v>
      </c>
      <c r="L11" s="35" t="s">
        <v>2386</v>
      </c>
      <c r="M11" s="41">
        <v>199900</v>
      </c>
      <c r="N11" s="64">
        <v>0.6</v>
      </c>
      <c r="O11" s="12">
        <f t="shared" si="1"/>
        <v>79960</v>
      </c>
      <c r="P11" s="6" t="s">
        <v>3499</v>
      </c>
    </row>
    <row r="12" spans="1:16" x14ac:dyDescent="0.25">
      <c r="A12" s="6" t="s">
        <v>3508</v>
      </c>
      <c r="B12" s="7">
        <v>46121</v>
      </c>
      <c r="C12" s="7">
        <v>46127</v>
      </c>
      <c r="D12" s="35">
        <v>3271</v>
      </c>
      <c r="E12" s="35">
        <v>336</v>
      </c>
      <c r="F12" s="35">
        <v>4</v>
      </c>
      <c r="G12" s="35">
        <v>4</v>
      </c>
      <c r="H12" s="35">
        <v>81810</v>
      </c>
      <c r="I12" s="35" t="s">
        <v>543</v>
      </c>
      <c r="J12" s="35">
        <v>52475348</v>
      </c>
      <c r="K12" s="35" t="s">
        <v>2384</v>
      </c>
      <c r="L12" s="35" t="s">
        <v>2387</v>
      </c>
      <c r="M12" s="41">
        <v>199900</v>
      </c>
      <c r="N12" s="64">
        <v>0.6</v>
      </c>
      <c r="O12" s="12">
        <f t="shared" si="1"/>
        <v>79960</v>
      </c>
      <c r="P12" s="6" t="s">
        <v>3499</v>
      </c>
    </row>
    <row r="13" spans="1:16" x14ac:dyDescent="0.25">
      <c r="A13" s="6" t="s">
        <v>3508</v>
      </c>
      <c r="B13" s="7">
        <v>46121</v>
      </c>
      <c r="C13" s="7">
        <v>46127</v>
      </c>
      <c r="D13" s="35">
        <v>3271</v>
      </c>
      <c r="E13" s="35">
        <v>336</v>
      </c>
      <c r="F13" s="35">
        <v>4</v>
      </c>
      <c r="G13" s="35">
        <v>4</v>
      </c>
      <c r="H13" s="35">
        <v>81810</v>
      </c>
      <c r="I13" s="35" t="s">
        <v>543</v>
      </c>
      <c r="J13" s="35">
        <v>52475357</v>
      </c>
      <c r="K13" s="35" t="s">
        <v>2384</v>
      </c>
      <c r="L13" s="35" t="s">
        <v>2388</v>
      </c>
      <c r="M13" s="41">
        <v>199900</v>
      </c>
      <c r="N13" s="64">
        <v>0.6</v>
      </c>
      <c r="O13" s="12">
        <f t="shared" si="1"/>
        <v>79960</v>
      </c>
      <c r="P13" s="6" t="s">
        <v>3499</v>
      </c>
    </row>
    <row r="14" spans="1:16" x14ac:dyDescent="0.25">
      <c r="A14" s="6" t="s">
        <v>3508</v>
      </c>
      <c r="B14" s="7">
        <v>46121</v>
      </c>
      <c r="C14" s="7">
        <v>46127</v>
      </c>
      <c r="D14" s="6">
        <v>3271</v>
      </c>
      <c r="E14" s="6">
        <v>336</v>
      </c>
      <c r="F14" s="6">
        <v>4</v>
      </c>
      <c r="G14" s="42">
        <v>4</v>
      </c>
      <c r="H14" s="42">
        <v>81626</v>
      </c>
      <c r="I14" s="42" t="s">
        <v>543</v>
      </c>
      <c r="J14" s="42">
        <v>51902511</v>
      </c>
      <c r="K14" s="42" t="s">
        <v>2389</v>
      </c>
      <c r="L14" s="42" t="s">
        <v>2390</v>
      </c>
      <c r="M14" s="43">
        <v>169900</v>
      </c>
      <c r="N14" s="64">
        <v>0.6</v>
      </c>
      <c r="O14" s="12">
        <f t="shared" si="1"/>
        <v>67960</v>
      </c>
      <c r="P14" s="6" t="s">
        <v>3499</v>
      </c>
    </row>
    <row r="15" spans="1:16" x14ac:dyDescent="0.25">
      <c r="A15" s="6" t="s">
        <v>3508</v>
      </c>
      <c r="B15" s="7">
        <v>46121</v>
      </c>
      <c r="C15" s="7">
        <v>46127</v>
      </c>
      <c r="D15" s="6">
        <v>3271</v>
      </c>
      <c r="E15" s="6">
        <v>336</v>
      </c>
      <c r="F15" s="6">
        <v>4</v>
      </c>
      <c r="G15" s="42">
        <v>4</v>
      </c>
      <c r="H15" s="42">
        <v>81626</v>
      </c>
      <c r="I15" s="42" t="s">
        <v>543</v>
      </c>
      <c r="J15" s="42">
        <v>51902520</v>
      </c>
      <c r="K15" s="42" t="s">
        <v>2389</v>
      </c>
      <c r="L15" s="42" t="s">
        <v>2391</v>
      </c>
      <c r="M15" s="43">
        <v>169900</v>
      </c>
      <c r="N15" s="64">
        <v>0.6</v>
      </c>
      <c r="O15" s="12">
        <f t="shared" si="1"/>
        <v>67960</v>
      </c>
      <c r="P15" s="6" t="s">
        <v>3499</v>
      </c>
    </row>
    <row r="16" spans="1:16" x14ac:dyDescent="0.25">
      <c r="A16" s="6" t="s">
        <v>3508</v>
      </c>
      <c r="B16" s="7">
        <v>46121</v>
      </c>
      <c r="C16" s="7">
        <v>46127</v>
      </c>
      <c r="D16" s="6">
        <v>3271</v>
      </c>
      <c r="E16" s="6">
        <v>336</v>
      </c>
      <c r="F16" s="6">
        <v>4</v>
      </c>
      <c r="G16" s="42">
        <v>4</v>
      </c>
      <c r="H16" s="42">
        <v>81626</v>
      </c>
      <c r="I16" s="42" t="s">
        <v>543</v>
      </c>
      <c r="J16" s="42">
        <v>51902539</v>
      </c>
      <c r="K16" s="42" t="s">
        <v>2389</v>
      </c>
      <c r="L16" s="42" t="s">
        <v>2392</v>
      </c>
      <c r="M16" s="43">
        <v>169900</v>
      </c>
      <c r="N16" s="64">
        <v>0.6</v>
      </c>
      <c r="O16" s="12">
        <f t="shared" si="1"/>
        <v>67960</v>
      </c>
      <c r="P16" s="6" t="s">
        <v>3499</v>
      </c>
    </row>
    <row r="17" spans="1:16" x14ac:dyDescent="0.25">
      <c r="A17" s="6" t="s">
        <v>3508</v>
      </c>
      <c r="B17" s="7">
        <v>46121</v>
      </c>
      <c r="C17" s="7">
        <v>46127</v>
      </c>
      <c r="D17" s="6">
        <v>3271</v>
      </c>
      <c r="E17" s="6">
        <v>336</v>
      </c>
      <c r="F17" s="6">
        <v>4</v>
      </c>
      <c r="G17" s="42">
        <v>4</v>
      </c>
      <c r="H17" s="42">
        <v>81626</v>
      </c>
      <c r="I17" s="42" t="s">
        <v>543</v>
      </c>
      <c r="J17" s="42">
        <v>51902548</v>
      </c>
      <c r="K17" s="42" t="s">
        <v>2389</v>
      </c>
      <c r="L17" s="42" t="s">
        <v>2393</v>
      </c>
      <c r="M17" s="43">
        <v>169900</v>
      </c>
      <c r="N17" s="64">
        <v>0.6</v>
      </c>
      <c r="O17" s="12">
        <f t="shared" si="1"/>
        <v>67960</v>
      </c>
      <c r="P17" s="6" t="s">
        <v>3499</v>
      </c>
    </row>
    <row r="18" spans="1:16" x14ac:dyDescent="0.25">
      <c r="A18" s="6" t="s">
        <v>3508</v>
      </c>
      <c r="B18" s="7">
        <v>46121</v>
      </c>
      <c r="C18" s="7">
        <v>46127</v>
      </c>
      <c r="D18" s="6">
        <v>3271</v>
      </c>
      <c r="E18" s="6">
        <v>336</v>
      </c>
      <c r="F18" s="6">
        <v>4</v>
      </c>
      <c r="G18" s="42">
        <v>4</v>
      </c>
      <c r="H18" s="42">
        <v>81626</v>
      </c>
      <c r="I18" s="42" t="s">
        <v>543</v>
      </c>
      <c r="J18" s="42">
        <v>51902557</v>
      </c>
      <c r="K18" s="42" t="s">
        <v>2394</v>
      </c>
      <c r="L18" s="42" t="s">
        <v>2395</v>
      </c>
      <c r="M18" s="43">
        <v>169900</v>
      </c>
      <c r="N18" s="64">
        <v>0.6</v>
      </c>
      <c r="O18" s="12">
        <f t="shared" si="1"/>
        <v>67960</v>
      </c>
      <c r="P18" s="6" t="s">
        <v>3499</v>
      </c>
    </row>
    <row r="19" spans="1:16" x14ac:dyDescent="0.25">
      <c r="A19" s="6" t="s">
        <v>3508</v>
      </c>
      <c r="B19" s="7">
        <v>46121</v>
      </c>
      <c r="C19" s="7">
        <v>46127</v>
      </c>
      <c r="D19" s="6">
        <v>3271</v>
      </c>
      <c r="E19" s="6">
        <v>336</v>
      </c>
      <c r="F19" s="6">
        <v>4</v>
      </c>
      <c r="G19" s="42">
        <v>4</v>
      </c>
      <c r="H19" s="42">
        <v>81626</v>
      </c>
      <c r="I19" s="42" t="s">
        <v>543</v>
      </c>
      <c r="J19" s="42">
        <v>51902566</v>
      </c>
      <c r="K19" s="42" t="s">
        <v>2394</v>
      </c>
      <c r="L19" s="42" t="s">
        <v>2396</v>
      </c>
      <c r="M19" s="43">
        <v>169900</v>
      </c>
      <c r="N19" s="64">
        <v>0.6</v>
      </c>
      <c r="O19" s="12">
        <f t="shared" si="1"/>
        <v>67960</v>
      </c>
      <c r="P19" s="6" t="s">
        <v>3499</v>
      </c>
    </row>
    <row r="20" spans="1:16" x14ac:dyDescent="0.25">
      <c r="A20" s="6" t="s">
        <v>3508</v>
      </c>
      <c r="B20" s="7">
        <v>46121</v>
      </c>
      <c r="C20" s="7">
        <v>46127</v>
      </c>
      <c r="D20" s="6">
        <v>3271</v>
      </c>
      <c r="E20" s="6">
        <v>336</v>
      </c>
      <c r="F20" s="6">
        <v>4</v>
      </c>
      <c r="G20" s="42">
        <v>4</v>
      </c>
      <c r="H20" s="42">
        <v>81626</v>
      </c>
      <c r="I20" s="42" t="s">
        <v>543</v>
      </c>
      <c r="J20" s="42">
        <v>51902575</v>
      </c>
      <c r="K20" s="42" t="s">
        <v>2394</v>
      </c>
      <c r="L20" s="42" t="s">
        <v>2397</v>
      </c>
      <c r="M20" s="43">
        <v>169900</v>
      </c>
      <c r="N20" s="64">
        <v>0.6</v>
      </c>
      <c r="O20" s="12">
        <f t="shared" si="1"/>
        <v>67960</v>
      </c>
      <c r="P20" s="6" t="s">
        <v>3499</v>
      </c>
    </row>
    <row r="21" spans="1:16" x14ac:dyDescent="0.25">
      <c r="A21" s="6" t="s">
        <v>3508</v>
      </c>
      <c r="B21" s="7">
        <v>46121</v>
      </c>
      <c r="C21" s="7">
        <v>46127</v>
      </c>
      <c r="D21" s="6">
        <v>3271</v>
      </c>
      <c r="E21" s="6">
        <v>336</v>
      </c>
      <c r="F21" s="6">
        <v>4</v>
      </c>
      <c r="G21" s="42">
        <v>4</v>
      </c>
      <c r="H21" s="42">
        <v>81626</v>
      </c>
      <c r="I21" s="42" t="s">
        <v>543</v>
      </c>
      <c r="J21" s="42">
        <v>51902584</v>
      </c>
      <c r="K21" s="42" t="s">
        <v>2394</v>
      </c>
      <c r="L21" s="42" t="s">
        <v>2398</v>
      </c>
      <c r="M21" s="43">
        <v>169900</v>
      </c>
      <c r="N21" s="64">
        <v>0.6</v>
      </c>
      <c r="O21" s="12">
        <f t="shared" si="1"/>
        <v>67960</v>
      </c>
      <c r="P21" s="6" t="s">
        <v>3499</v>
      </c>
    </row>
    <row r="22" spans="1:16" x14ac:dyDescent="0.25">
      <c r="A22" s="6" t="s">
        <v>3508</v>
      </c>
      <c r="B22" s="7">
        <v>46121</v>
      </c>
      <c r="C22" s="7">
        <v>46127</v>
      </c>
      <c r="D22" s="6">
        <v>3271</v>
      </c>
      <c r="E22" s="6">
        <v>336</v>
      </c>
      <c r="F22" s="6">
        <v>4</v>
      </c>
      <c r="G22" s="42">
        <v>4</v>
      </c>
      <c r="H22" s="42">
        <v>81626</v>
      </c>
      <c r="I22" s="42" t="s">
        <v>543</v>
      </c>
      <c r="J22" s="42">
        <v>51902593</v>
      </c>
      <c r="K22" s="42" t="s">
        <v>2399</v>
      </c>
      <c r="L22" s="42" t="s">
        <v>2400</v>
      </c>
      <c r="M22" s="43">
        <v>169900</v>
      </c>
      <c r="N22" s="64">
        <v>0.6</v>
      </c>
      <c r="O22" s="12">
        <f t="shared" si="1"/>
        <v>67960</v>
      </c>
      <c r="P22" s="6" t="s">
        <v>3499</v>
      </c>
    </row>
    <row r="23" spans="1:16" x14ac:dyDescent="0.25">
      <c r="A23" s="6" t="s">
        <v>3508</v>
      </c>
      <c r="B23" s="7">
        <v>46121</v>
      </c>
      <c r="C23" s="7">
        <v>46127</v>
      </c>
      <c r="D23" s="6">
        <v>3271</v>
      </c>
      <c r="E23" s="6">
        <v>336</v>
      </c>
      <c r="F23" s="6">
        <v>4</v>
      </c>
      <c r="G23" s="42">
        <v>4</v>
      </c>
      <c r="H23" s="42">
        <v>81626</v>
      </c>
      <c r="I23" s="42" t="s">
        <v>543</v>
      </c>
      <c r="J23" s="42">
        <v>51902600</v>
      </c>
      <c r="K23" s="42" t="s">
        <v>2399</v>
      </c>
      <c r="L23" s="42" t="s">
        <v>2401</v>
      </c>
      <c r="M23" s="43">
        <v>169900</v>
      </c>
      <c r="N23" s="64">
        <v>0.6</v>
      </c>
      <c r="O23" s="12">
        <f t="shared" si="1"/>
        <v>67960</v>
      </c>
      <c r="P23" s="6" t="s">
        <v>3499</v>
      </c>
    </row>
    <row r="24" spans="1:16" x14ac:dyDescent="0.25">
      <c r="A24" s="6" t="s">
        <v>3508</v>
      </c>
      <c r="B24" s="7">
        <v>46121</v>
      </c>
      <c r="C24" s="7">
        <v>46127</v>
      </c>
      <c r="D24" s="6">
        <v>3271</v>
      </c>
      <c r="E24" s="6">
        <v>336</v>
      </c>
      <c r="F24" s="6">
        <v>4</v>
      </c>
      <c r="G24" s="42">
        <v>4</v>
      </c>
      <c r="H24" s="42">
        <v>81626</v>
      </c>
      <c r="I24" s="42" t="s">
        <v>543</v>
      </c>
      <c r="J24" s="42">
        <v>51902619</v>
      </c>
      <c r="K24" s="42" t="s">
        <v>2399</v>
      </c>
      <c r="L24" s="42" t="s">
        <v>2402</v>
      </c>
      <c r="M24" s="43">
        <v>169900</v>
      </c>
      <c r="N24" s="64">
        <v>0.6</v>
      </c>
      <c r="O24" s="12">
        <f t="shared" si="1"/>
        <v>67960</v>
      </c>
      <c r="P24" s="6" t="s">
        <v>3499</v>
      </c>
    </row>
    <row r="25" spans="1:16" x14ac:dyDescent="0.25">
      <c r="A25" s="6" t="s">
        <v>3508</v>
      </c>
      <c r="B25" s="7">
        <v>46121</v>
      </c>
      <c r="C25" s="7">
        <v>46127</v>
      </c>
      <c r="D25" s="6">
        <v>3271</v>
      </c>
      <c r="E25" s="6">
        <v>336</v>
      </c>
      <c r="F25" s="6">
        <v>4</v>
      </c>
      <c r="G25" s="42">
        <v>4</v>
      </c>
      <c r="H25" s="42">
        <v>81626</v>
      </c>
      <c r="I25" s="42" t="s">
        <v>543</v>
      </c>
      <c r="J25" s="42">
        <v>51902628</v>
      </c>
      <c r="K25" s="42" t="s">
        <v>2399</v>
      </c>
      <c r="L25" s="42" t="s">
        <v>2403</v>
      </c>
      <c r="M25" s="43">
        <v>169900</v>
      </c>
      <c r="N25" s="64">
        <v>0.6</v>
      </c>
      <c r="O25" s="12">
        <f t="shared" si="1"/>
        <v>67960</v>
      </c>
      <c r="P25" s="6" t="s">
        <v>3499</v>
      </c>
    </row>
    <row r="26" spans="1:16" x14ac:dyDescent="0.25">
      <c r="A26" s="6" t="s">
        <v>3508</v>
      </c>
      <c r="B26" s="7">
        <v>46121</v>
      </c>
      <c r="C26" s="7">
        <v>46127</v>
      </c>
      <c r="D26" s="6">
        <v>3271</v>
      </c>
      <c r="E26" s="6">
        <v>336</v>
      </c>
      <c r="F26" s="6">
        <v>4</v>
      </c>
      <c r="G26" s="42">
        <v>4</v>
      </c>
      <c r="H26" s="42">
        <v>81626</v>
      </c>
      <c r="I26" s="42" t="s">
        <v>543</v>
      </c>
      <c r="J26" s="42">
        <v>51902637</v>
      </c>
      <c r="K26" s="42" t="s">
        <v>2404</v>
      </c>
      <c r="L26" s="42" t="s">
        <v>2405</v>
      </c>
      <c r="M26" s="43">
        <v>169900</v>
      </c>
      <c r="N26" s="64">
        <v>0.6</v>
      </c>
      <c r="O26" s="12">
        <f t="shared" si="1"/>
        <v>67960</v>
      </c>
      <c r="P26" s="6" t="s">
        <v>3499</v>
      </c>
    </row>
    <row r="27" spans="1:16" x14ac:dyDescent="0.25">
      <c r="A27" s="6" t="s">
        <v>3508</v>
      </c>
      <c r="B27" s="7">
        <v>46121</v>
      </c>
      <c r="C27" s="7">
        <v>46127</v>
      </c>
      <c r="D27" s="6">
        <v>3271</v>
      </c>
      <c r="E27" s="6">
        <v>336</v>
      </c>
      <c r="F27" s="6">
        <v>4</v>
      </c>
      <c r="G27" s="42">
        <v>4</v>
      </c>
      <c r="H27" s="42">
        <v>81626</v>
      </c>
      <c r="I27" s="42" t="s">
        <v>543</v>
      </c>
      <c r="J27" s="42">
        <v>51902646</v>
      </c>
      <c r="K27" s="42" t="s">
        <v>2404</v>
      </c>
      <c r="L27" s="42" t="s">
        <v>2406</v>
      </c>
      <c r="M27" s="43">
        <v>169900</v>
      </c>
      <c r="N27" s="64">
        <v>0.6</v>
      </c>
      <c r="O27" s="12">
        <f t="shared" si="1"/>
        <v>67960</v>
      </c>
      <c r="P27" s="6" t="s">
        <v>3499</v>
      </c>
    </row>
    <row r="28" spans="1:16" x14ac:dyDescent="0.25">
      <c r="A28" s="6" t="s">
        <v>3508</v>
      </c>
      <c r="B28" s="7">
        <v>46121</v>
      </c>
      <c r="C28" s="7">
        <v>46127</v>
      </c>
      <c r="D28" s="6">
        <v>3271</v>
      </c>
      <c r="E28" s="6">
        <v>336</v>
      </c>
      <c r="F28" s="6">
        <v>4</v>
      </c>
      <c r="G28" s="42">
        <v>4</v>
      </c>
      <c r="H28" s="42">
        <v>81626</v>
      </c>
      <c r="I28" s="42" t="s">
        <v>543</v>
      </c>
      <c r="J28" s="42">
        <v>51902655</v>
      </c>
      <c r="K28" s="42" t="s">
        <v>2404</v>
      </c>
      <c r="L28" s="42" t="s">
        <v>2407</v>
      </c>
      <c r="M28" s="43">
        <v>169900</v>
      </c>
      <c r="N28" s="64">
        <v>0.6</v>
      </c>
      <c r="O28" s="12">
        <f t="shared" si="1"/>
        <v>67960</v>
      </c>
      <c r="P28" s="6" t="s">
        <v>3499</v>
      </c>
    </row>
    <row r="29" spans="1:16" x14ac:dyDescent="0.25">
      <c r="A29" s="6" t="s">
        <v>3508</v>
      </c>
      <c r="B29" s="7">
        <v>46121</v>
      </c>
      <c r="C29" s="7">
        <v>46127</v>
      </c>
      <c r="D29" s="6">
        <v>3271</v>
      </c>
      <c r="E29" s="6">
        <v>336</v>
      </c>
      <c r="F29" s="6">
        <v>4</v>
      </c>
      <c r="G29" s="42">
        <v>4</v>
      </c>
      <c r="H29" s="42">
        <v>81626</v>
      </c>
      <c r="I29" s="42" t="s">
        <v>543</v>
      </c>
      <c r="J29" s="42">
        <v>51902664</v>
      </c>
      <c r="K29" s="42" t="s">
        <v>2404</v>
      </c>
      <c r="L29" s="42" t="s">
        <v>2408</v>
      </c>
      <c r="M29" s="43">
        <v>169900</v>
      </c>
      <c r="N29" s="64">
        <v>0.6</v>
      </c>
      <c r="O29" s="12">
        <f t="shared" si="1"/>
        <v>67960</v>
      </c>
      <c r="P29" s="6" t="s">
        <v>3499</v>
      </c>
    </row>
    <row r="30" spans="1:16" x14ac:dyDescent="0.25">
      <c r="A30" s="6" t="s">
        <v>3508</v>
      </c>
      <c r="B30" s="7">
        <v>46121</v>
      </c>
      <c r="C30" s="7">
        <v>46127</v>
      </c>
      <c r="D30" s="6">
        <v>3271</v>
      </c>
      <c r="E30" s="6">
        <v>336</v>
      </c>
      <c r="F30" s="6">
        <v>4</v>
      </c>
      <c r="G30" s="42">
        <v>4</v>
      </c>
      <c r="H30" s="42">
        <v>81626</v>
      </c>
      <c r="I30" s="42" t="s">
        <v>543</v>
      </c>
      <c r="J30" s="42">
        <v>51902673</v>
      </c>
      <c r="K30" s="42" t="s">
        <v>2409</v>
      </c>
      <c r="L30" s="42" t="s">
        <v>2410</v>
      </c>
      <c r="M30" s="43">
        <v>169900</v>
      </c>
      <c r="N30" s="64">
        <v>0.6</v>
      </c>
      <c r="O30" s="12">
        <f t="shared" si="1"/>
        <v>67960</v>
      </c>
      <c r="P30" s="6" t="s">
        <v>3499</v>
      </c>
    </row>
    <row r="31" spans="1:16" x14ac:dyDescent="0.25">
      <c r="A31" s="6" t="s">
        <v>3508</v>
      </c>
      <c r="B31" s="7">
        <v>46121</v>
      </c>
      <c r="C31" s="7">
        <v>46127</v>
      </c>
      <c r="D31" s="6">
        <v>3271</v>
      </c>
      <c r="E31" s="6">
        <v>336</v>
      </c>
      <c r="F31" s="6">
        <v>4</v>
      </c>
      <c r="G31" s="42">
        <v>4</v>
      </c>
      <c r="H31" s="42">
        <v>81626</v>
      </c>
      <c r="I31" s="42" t="s">
        <v>543</v>
      </c>
      <c r="J31" s="42">
        <v>51902682</v>
      </c>
      <c r="K31" s="42" t="s">
        <v>2409</v>
      </c>
      <c r="L31" s="42" t="s">
        <v>2411</v>
      </c>
      <c r="M31" s="43">
        <v>169900</v>
      </c>
      <c r="N31" s="64">
        <v>0.6</v>
      </c>
      <c r="O31" s="12">
        <f t="shared" si="1"/>
        <v>67960</v>
      </c>
      <c r="P31" s="6" t="s">
        <v>3499</v>
      </c>
    </row>
    <row r="32" spans="1:16" x14ac:dyDescent="0.25">
      <c r="A32" s="6" t="s">
        <v>3508</v>
      </c>
      <c r="B32" s="7">
        <v>46121</v>
      </c>
      <c r="C32" s="7">
        <v>46127</v>
      </c>
      <c r="D32" s="6">
        <v>3271</v>
      </c>
      <c r="E32" s="6">
        <v>336</v>
      </c>
      <c r="F32" s="6">
        <v>4</v>
      </c>
      <c r="G32" s="42">
        <v>4</v>
      </c>
      <c r="H32" s="42">
        <v>81626</v>
      </c>
      <c r="I32" s="42" t="s">
        <v>543</v>
      </c>
      <c r="J32" s="42">
        <v>51902691</v>
      </c>
      <c r="K32" s="42" t="s">
        <v>2409</v>
      </c>
      <c r="L32" s="42" t="s">
        <v>2412</v>
      </c>
      <c r="M32" s="43">
        <v>169900</v>
      </c>
      <c r="N32" s="64">
        <v>0.6</v>
      </c>
      <c r="O32" s="12">
        <f t="shared" si="1"/>
        <v>67960</v>
      </c>
      <c r="P32" s="6" t="s">
        <v>3499</v>
      </c>
    </row>
    <row r="33" spans="1:16" x14ac:dyDescent="0.25">
      <c r="A33" s="6" t="s">
        <v>3508</v>
      </c>
      <c r="B33" s="7">
        <v>46121</v>
      </c>
      <c r="C33" s="7">
        <v>46127</v>
      </c>
      <c r="D33" s="6">
        <v>3271</v>
      </c>
      <c r="E33" s="6">
        <v>336</v>
      </c>
      <c r="F33" s="6">
        <v>4</v>
      </c>
      <c r="G33" s="42">
        <v>4</v>
      </c>
      <c r="H33" s="42">
        <v>81626</v>
      </c>
      <c r="I33" s="42" t="s">
        <v>543</v>
      </c>
      <c r="J33" s="42">
        <v>51902708</v>
      </c>
      <c r="K33" s="42" t="s">
        <v>2409</v>
      </c>
      <c r="L33" s="42" t="s">
        <v>2413</v>
      </c>
      <c r="M33" s="43">
        <v>169900</v>
      </c>
      <c r="N33" s="64">
        <v>0.6</v>
      </c>
      <c r="O33" s="12">
        <f t="shared" si="1"/>
        <v>67960</v>
      </c>
      <c r="P33" s="6" t="s">
        <v>3499</v>
      </c>
    </row>
    <row r="34" spans="1:16" x14ac:dyDescent="0.25">
      <c r="A34" s="6" t="s">
        <v>3508</v>
      </c>
      <c r="B34" s="7">
        <v>46121</v>
      </c>
      <c r="C34" s="7">
        <v>46127</v>
      </c>
      <c r="D34" s="6">
        <v>3271</v>
      </c>
      <c r="E34" s="6">
        <v>336</v>
      </c>
      <c r="F34" s="6">
        <v>4</v>
      </c>
      <c r="G34" s="42">
        <v>4</v>
      </c>
      <c r="H34" s="42">
        <v>81626</v>
      </c>
      <c r="I34" s="42" t="s">
        <v>543</v>
      </c>
      <c r="J34" s="42">
        <v>51902717</v>
      </c>
      <c r="K34" s="42" t="s">
        <v>2414</v>
      </c>
      <c r="L34" s="42" t="s">
        <v>2415</v>
      </c>
      <c r="M34" s="43">
        <v>169900</v>
      </c>
      <c r="N34" s="64">
        <v>0.6</v>
      </c>
      <c r="O34" s="12">
        <f t="shared" si="1"/>
        <v>67960</v>
      </c>
      <c r="P34" s="6" t="s">
        <v>3499</v>
      </c>
    </row>
    <row r="35" spans="1:16" x14ac:dyDescent="0.25">
      <c r="A35" s="6" t="s">
        <v>3508</v>
      </c>
      <c r="B35" s="7">
        <v>46121</v>
      </c>
      <c r="C35" s="7">
        <v>46127</v>
      </c>
      <c r="D35" s="6">
        <v>3271</v>
      </c>
      <c r="E35" s="6">
        <v>336</v>
      </c>
      <c r="F35" s="6">
        <v>4</v>
      </c>
      <c r="G35" s="42">
        <v>4</v>
      </c>
      <c r="H35" s="42">
        <v>81626</v>
      </c>
      <c r="I35" s="42" t="s">
        <v>543</v>
      </c>
      <c r="J35" s="42">
        <v>51902726</v>
      </c>
      <c r="K35" s="42" t="s">
        <v>2414</v>
      </c>
      <c r="L35" s="42" t="s">
        <v>2416</v>
      </c>
      <c r="M35" s="43">
        <v>169900</v>
      </c>
      <c r="N35" s="64">
        <v>0.6</v>
      </c>
      <c r="O35" s="12">
        <f t="shared" si="1"/>
        <v>67960</v>
      </c>
      <c r="P35" s="6" t="s">
        <v>3499</v>
      </c>
    </row>
    <row r="36" spans="1:16" x14ac:dyDescent="0.25">
      <c r="A36" s="6" t="s">
        <v>3508</v>
      </c>
      <c r="B36" s="7">
        <v>46121</v>
      </c>
      <c r="C36" s="7">
        <v>46127</v>
      </c>
      <c r="D36" s="6">
        <v>3271</v>
      </c>
      <c r="E36" s="6">
        <v>336</v>
      </c>
      <c r="F36" s="6">
        <v>4</v>
      </c>
      <c r="G36" s="42">
        <v>4</v>
      </c>
      <c r="H36" s="42">
        <v>81626</v>
      </c>
      <c r="I36" s="42" t="s">
        <v>543</v>
      </c>
      <c r="J36" s="42">
        <v>51902735</v>
      </c>
      <c r="K36" s="42" t="s">
        <v>2414</v>
      </c>
      <c r="L36" s="42" t="s">
        <v>2417</v>
      </c>
      <c r="M36" s="43">
        <v>169900</v>
      </c>
      <c r="N36" s="64">
        <v>0.6</v>
      </c>
      <c r="O36" s="12">
        <f t="shared" si="1"/>
        <v>67960</v>
      </c>
      <c r="P36" s="6" t="s">
        <v>3499</v>
      </c>
    </row>
    <row r="37" spans="1:16" x14ac:dyDescent="0.25">
      <c r="A37" s="6" t="s">
        <v>3508</v>
      </c>
      <c r="B37" s="7">
        <v>46121</v>
      </c>
      <c r="C37" s="7">
        <v>46127</v>
      </c>
      <c r="D37" s="6">
        <v>3271</v>
      </c>
      <c r="E37" s="6">
        <v>336</v>
      </c>
      <c r="F37" s="6">
        <v>4</v>
      </c>
      <c r="G37" s="42">
        <v>4</v>
      </c>
      <c r="H37" s="42">
        <v>81626</v>
      </c>
      <c r="I37" s="42" t="s">
        <v>543</v>
      </c>
      <c r="J37" s="42">
        <v>51902744</v>
      </c>
      <c r="K37" s="42" t="s">
        <v>2414</v>
      </c>
      <c r="L37" s="42" t="s">
        <v>2418</v>
      </c>
      <c r="M37" s="43">
        <v>169900</v>
      </c>
      <c r="N37" s="64">
        <v>0.6</v>
      </c>
      <c r="O37" s="12">
        <f t="shared" si="1"/>
        <v>67960</v>
      </c>
      <c r="P37" s="6" t="s">
        <v>3499</v>
      </c>
    </row>
    <row r="38" spans="1:16" x14ac:dyDescent="0.25">
      <c r="A38" s="6" t="s">
        <v>3508</v>
      </c>
      <c r="B38" s="7">
        <v>46121</v>
      </c>
      <c r="C38" s="7">
        <v>46127</v>
      </c>
      <c r="D38" s="6">
        <v>3271</v>
      </c>
      <c r="E38" s="6">
        <v>336</v>
      </c>
      <c r="F38" s="6">
        <v>4</v>
      </c>
      <c r="G38" s="42">
        <v>7</v>
      </c>
      <c r="H38" s="42">
        <v>81683</v>
      </c>
      <c r="I38" s="42" t="s">
        <v>543</v>
      </c>
      <c r="J38" s="42">
        <v>51901558</v>
      </c>
      <c r="K38" s="42" t="s">
        <v>2419</v>
      </c>
      <c r="L38" s="42" t="s">
        <v>2420</v>
      </c>
      <c r="M38" s="43">
        <v>139900</v>
      </c>
      <c r="N38" s="64">
        <v>0.6</v>
      </c>
      <c r="O38" s="12">
        <f t="shared" si="1"/>
        <v>55960</v>
      </c>
      <c r="P38" s="6" t="s">
        <v>3499</v>
      </c>
    </row>
    <row r="39" spans="1:16" x14ac:dyDescent="0.25">
      <c r="A39" s="6" t="s">
        <v>3508</v>
      </c>
      <c r="B39" s="7">
        <v>46121</v>
      </c>
      <c r="C39" s="7">
        <v>46127</v>
      </c>
      <c r="D39" s="6">
        <v>3271</v>
      </c>
      <c r="E39" s="6">
        <v>336</v>
      </c>
      <c r="F39" s="6">
        <v>4</v>
      </c>
      <c r="G39" s="42">
        <v>7</v>
      </c>
      <c r="H39" s="42">
        <v>81683</v>
      </c>
      <c r="I39" s="42" t="s">
        <v>543</v>
      </c>
      <c r="J39" s="42">
        <v>51901567</v>
      </c>
      <c r="K39" s="42" t="s">
        <v>2419</v>
      </c>
      <c r="L39" s="42" t="s">
        <v>2421</v>
      </c>
      <c r="M39" s="43">
        <v>139900</v>
      </c>
      <c r="N39" s="64">
        <v>0.6</v>
      </c>
      <c r="O39" s="12">
        <f t="shared" si="1"/>
        <v>55960</v>
      </c>
      <c r="P39" s="6" t="s">
        <v>3499</v>
      </c>
    </row>
    <row r="40" spans="1:16" x14ac:dyDescent="0.25">
      <c r="A40" s="6" t="s">
        <v>3508</v>
      </c>
      <c r="B40" s="7">
        <v>46121</v>
      </c>
      <c r="C40" s="7">
        <v>46127</v>
      </c>
      <c r="D40" s="6">
        <v>3271</v>
      </c>
      <c r="E40" s="6">
        <v>336</v>
      </c>
      <c r="F40" s="6">
        <v>4</v>
      </c>
      <c r="G40" s="42">
        <v>7</v>
      </c>
      <c r="H40" s="42">
        <v>81683</v>
      </c>
      <c r="I40" s="42" t="s">
        <v>543</v>
      </c>
      <c r="J40" s="42">
        <v>51901576</v>
      </c>
      <c r="K40" s="42" t="s">
        <v>2419</v>
      </c>
      <c r="L40" s="42" t="s">
        <v>2422</v>
      </c>
      <c r="M40" s="43">
        <v>139900</v>
      </c>
      <c r="N40" s="64">
        <v>0.6</v>
      </c>
      <c r="O40" s="12">
        <f t="shared" si="1"/>
        <v>55960</v>
      </c>
      <c r="P40" s="6" t="s">
        <v>3499</v>
      </c>
    </row>
    <row r="41" spans="1:16" x14ac:dyDescent="0.25">
      <c r="A41" s="6" t="s">
        <v>3508</v>
      </c>
      <c r="B41" s="7">
        <v>46121</v>
      </c>
      <c r="C41" s="7">
        <v>46127</v>
      </c>
      <c r="D41" s="6">
        <v>3271</v>
      </c>
      <c r="E41" s="6">
        <v>336</v>
      </c>
      <c r="F41" s="6">
        <v>4</v>
      </c>
      <c r="G41" s="42">
        <v>7</v>
      </c>
      <c r="H41" s="42">
        <v>81683</v>
      </c>
      <c r="I41" s="42" t="s">
        <v>543</v>
      </c>
      <c r="J41" s="42">
        <v>51901585</v>
      </c>
      <c r="K41" s="42" t="s">
        <v>2419</v>
      </c>
      <c r="L41" s="42" t="s">
        <v>2423</v>
      </c>
      <c r="M41" s="43">
        <v>139900</v>
      </c>
      <c r="N41" s="64">
        <v>0.6</v>
      </c>
      <c r="O41" s="12">
        <f t="shared" si="1"/>
        <v>55960</v>
      </c>
      <c r="P41" s="6" t="s">
        <v>3499</v>
      </c>
    </row>
    <row r="42" spans="1:16" x14ac:dyDescent="0.25">
      <c r="A42" s="6" t="s">
        <v>3508</v>
      </c>
      <c r="B42" s="7">
        <v>46121</v>
      </c>
      <c r="C42" s="7">
        <v>46127</v>
      </c>
      <c r="D42" s="6">
        <v>3271</v>
      </c>
      <c r="E42" s="6">
        <v>336</v>
      </c>
      <c r="F42" s="6">
        <v>4</v>
      </c>
      <c r="G42" s="42">
        <v>7</v>
      </c>
      <c r="H42" s="42">
        <v>81683</v>
      </c>
      <c r="I42" s="42" t="s">
        <v>543</v>
      </c>
      <c r="J42" s="42">
        <v>51901594</v>
      </c>
      <c r="K42" s="42" t="s">
        <v>2424</v>
      </c>
      <c r="L42" s="42" t="s">
        <v>2425</v>
      </c>
      <c r="M42" s="43">
        <v>139900</v>
      </c>
      <c r="N42" s="64">
        <v>0.6</v>
      </c>
      <c r="O42" s="12">
        <f t="shared" si="1"/>
        <v>55960</v>
      </c>
      <c r="P42" s="6" t="s">
        <v>3499</v>
      </c>
    </row>
    <row r="43" spans="1:16" x14ac:dyDescent="0.25">
      <c r="A43" s="6" t="s">
        <v>3508</v>
      </c>
      <c r="B43" s="7">
        <v>46121</v>
      </c>
      <c r="C43" s="7">
        <v>46127</v>
      </c>
      <c r="D43" s="6">
        <v>3271</v>
      </c>
      <c r="E43" s="6">
        <v>336</v>
      </c>
      <c r="F43" s="6">
        <v>4</v>
      </c>
      <c r="G43" s="42">
        <v>7</v>
      </c>
      <c r="H43" s="42">
        <v>81683</v>
      </c>
      <c r="I43" s="42" t="s">
        <v>543</v>
      </c>
      <c r="J43" s="42">
        <v>51901601</v>
      </c>
      <c r="K43" s="42" t="s">
        <v>2424</v>
      </c>
      <c r="L43" s="42" t="s">
        <v>2426</v>
      </c>
      <c r="M43" s="43">
        <v>139900</v>
      </c>
      <c r="N43" s="64">
        <v>0.6</v>
      </c>
      <c r="O43" s="12">
        <f t="shared" si="1"/>
        <v>55960</v>
      </c>
      <c r="P43" s="6" t="s">
        <v>3499</v>
      </c>
    </row>
    <row r="44" spans="1:16" x14ac:dyDescent="0.25">
      <c r="A44" s="6" t="s">
        <v>3508</v>
      </c>
      <c r="B44" s="7">
        <v>46121</v>
      </c>
      <c r="C44" s="7">
        <v>46127</v>
      </c>
      <c r="D44" s="6">
        <v>3271</v>
      </c>
      <c r="E44" s="6">
        <v>336</v>
      </c>
      <c r="F44" s="6">
        <v>4</v>
      </c>
      <c r="G44" s="42">
        <v>7</v>
      </c>
      <c r="H44" s="42">
        <v>81683</v>
      </c>
      <c r="I44" s="42" t="s">
        <v>543</v>
      </c>
      <c r="J44" s="42">
        <v>51901610</v>
      </c>
      <c r="K44" s="42" t="s">
        <v>2424</v>
      </c>
      <c r="L44" s="42" t="s">
        <v>2427</v>
      </c>
      <c r="M44" s="43">
        <v>139900</v>
      </c>
      <c r="N44" s="64">
        <v>0.6</v>
      </c>
      <c r="O44" s="12">
        <f t="shared" si="1"/>
        <v>55960</v>
      </c>
      <c r="P44" s="6" t="s">
        <v>3499</v>
      </c>
    </row>
    <row r="45" spans="1:16" x14ac:dyDescent="0.25">
      <c r="A45" s="6" t="s">
        <v>3508</v>
      </c>
      <c r="B45" s="7">
        <v>46121</v>
      </c>
      <c r="C45" s="7">
        <v>46127</v>
      </c>
      <c r="D45" s="6">
        <v>3271</v>
      </c>
      <c r="E45" s="6">
        <v>336</v>
      </c>
      <c r="F45" s="6">
        <v>4</v>
      </c>
      <c r="G45" s="42">
        <v>7</v>
      </c>
      <c r="H45" s="42">
        <v>81683</v>
      </c>
      <c r="I45" s="42" t="s">
        <v>543</v>
      </c>
      <c r="J45" s="42">
        <v>51901629</v>
      </c>
      <c r="K45" s="42" t="s">
        <v>2424</v>
      </c>
      <c r="L45" s="42" t="s">
        <v>2428</v>
      </c>
      <c r="M45" s="43">
        <v>139900</v>
      </c>
      <c r="N45" s="64">
        <v>0.6</v>
      </c>
      <c r="O45" s="12">
        <f t="shared" si="1"/>
        <v>55960</v>
      </c>
      <c r="P45" s="6" t="s">
        <v>3499</v>
      </c>
    </row>
    <row r="46" spans="1:16" x14ac:dyDescent="0.25">
      <c r="A46" s="6" t="s">
        <v>3508</v>
      </c>
      <c r="B46" s="7">
        <v>46121</v>
      </c>
      <c r="C46" s="7">
        <v>46127</v>
      </c>
      <c r="D46" s="6">
        <v>3271</v>
      </c>
      <c r="E46" s="6">
        <v>336</v>
      </c>
      <c r="F46" s="6">
        <v>4</v>
      </c>
      <c r="G46" s="42">
        <v>7</v>
      </c>
      <c r="H46" s="42">
        <v>81683</v>
      </c>
      <c r="I46" s="42" t="s">
        <v>543</v>
      </c>
      <c r="J46" s="42">
        <v>51901638</v>
      </c>
      <c r="K46" s="42" t="s">
        <v>2429</v>
      </c>
      <c r="L46" s="42" t="s">
        <v>2430</v>
      </c>
      <c r="M46" s="43">
        <v>139900</v>
      </c>
      <c r="N46" s="64">
        <v>0.6</v>
      </c>
      <c r="O46" s="12">
        <f t="shared" si="1"/>
        <v>55960</v>
      </c>
      <c r="P46" s="6" t="s">
        <v>3499</v>
      </c>
    </row>
    <row r="47" spans="1:16" x14ac:dyDescent="0.25">
      <c r="A47" s="6" t="s">
        <v>3508</v>
      </c>
      <c r="B47" s="7">
        <v>46121</v>
      </c>
      <c r="C47" s="7">
        <v>46127</v>
      </c>
      <c r="D47" s="6">
        <v>3271</v>
      </c>
      <c r="E47" s="6">
        <v>336</v>
      </c>
      <c r="F47" s="6">
        <v>4</v>
      </c>
      <c r="G47" s="42">
        <v>7</v>
      </c>
      <c r="H47" s="42">
        <v>81683</v>
      </c>
      <c r="I47" s="42" t="s">
        <v>543</v>
      </c>
      <c r="J47" s="42">
        <v>51901647</v>
      </c>
      <c r="K47" s="42" t="s">
        <v>2429</v>
      </c>
      <c r="L47" s="42" t="s">
        <v>2431</v>
      </c>
      <c r="M47" s="43">
        <v>139900</v>
      </c>
      <c r="N47" s="64">
        <v>0.6</v>
      </c>
      <c r="O47" s="12">
        <f t="shared" si="1"/>
        <v>55960</v>
      </c>
      <c r="P47" s="6" t="s">
        <v>3499</v>
      </c>
    </row>
    <row r="48" spans="1:16" x14ac:dyDescent="0.25">
      <c r="A48" s="6" t="s">
        <v>3508</v>
      </c>
      <c r="B48" s="7">
        <v>46121</v>
      </c>
      <c r="C48" s="7">
        <v>46127</v>
      </c>
      <c r="D48" s="6">
        <v>3271</v>
      </c>
      <c r="E48" s="6">
        <v>336</v>
      </c>
      <c r="F48" s="6">
        <v>4</v>
      </c>
      <c r="G48" s="42">
        <v>7</v>
      </c>
      <c r="H48" s="42">
        <v>81683</v>
      </c>
      <c r="I48" s="42" t="s">
        <v>543</v>
      </c>
      <c r="J48" s="42">
        <v>51901656</v>
      </c>
      <c r="K48" s="42" t="s">
        <v>2429</v>
      </c>
      <c r="L48" s="42" t="s">
        <v>2432</v>
      </c>
      <c r="M48" s="43">
        <v>139900</v>
      </c>
      <c r="N48" s="64">
        <v>0.6</v>
      </c>
      <c r="O48" s="12">
        <f t="shared" si="1"/>
        <v>55960</v>
      </c>
      <c r="P48" s="6" t="s">
        <v>3499</v>
      </c>
    </row>
    <row r="49" spans="1:16" x14ac:dyDescent="0.25">
      <c r="A49" s="6" t="s">
        <v>3508</v>
      </c>
      <c r="B49" s="7">
        <v>46121</v>
      </c>
      <c r="C49" s="7">
        <v>46127</v>
      </c>
      <c r="D49" s="6">
        <v>3271</v>
      </c>
      <c r="E49" s="6">
        <v>336</v>
      </c>
      <c r="F49" s="6">
        <v>4</v>
      </c>
      <c r="G49" s="42">
        <v>7</v>
      </c>
      <c r="H49" s="42">
        <v>81683</v>
      </c>
      <c r="I49" s="42" t="s">
        <v>543</v>
      </c>
      <c r="J49" s="42">
        <v>51901665</v>
      </c>
      <c r="K49" s="42" t="s">
        <v>2429</v>
      </c>
      <c r="L49" s="42" t="s">
        <v>2433</v>
      </c>
      <c r="M49" s="43">
        <v>139900</v>
      </c>
      <c r="N49" s="64">
        <v>0.6</v>
      </c>
      <c r="O49" s="12">
        <f t="shared" si="1"/>
        <v>55960</v>
      </c>
      <c r="P49" s="6" t="s">
        <v>3499</v>
      </c>
    </row>
    <row r="50" spans="1:16" x14ac:dyDescent="0.25">
      <c r="A50" s="6" t="s">
        <v>3508</v>
      </c>
      <c r="B50" s="7">
        <v>46121</v>
      </c>
      <c r="C50" s="7">
        <v>46127</v>
      </c>
      <c r="D50" s="6">
        <v>3271</v>
      </c>
      <c r="E50" s="6">
        <v>336</v>
      </c>
      <c r="F50" s="6">
        <v>4</v>
      </c>
      <c r="G50" s="42">
        <v>7</v>
      </c>
      <c r="H50" s="42">
        <v>81683</v>
      </c>
      <c r="I50" s="42" t="s">
        <v>543</v>
      </c>
      <c r="J50" s="42">
        <v>51901478</v>
      </c>
      <c r="K50" s="42" t="s">
        <v>2434</v>
      </c>
      <c r="L50" s="42" t="s">
        <v>2435</v>
      </c>
      <c r="M50" s="43">
        <v>139900</v>
      </c>
      <c r="N50" s="64">
        <v>0.6</v>
      </c>
      <c r="O50" s="12">
        <f t="shared" si="1"/>
        <v>55960</v>
      </c>
      <c r="P50" s="6" t="s">
        <v>3499</v>
      </c>
    </row>
    <row r="51" spans="1:16" x14ac:dyDescent="0.25">
      <c r="A51" s="6" t="s">
        <v>3508</v>
      </c>
      <c r="B51" s="7">
        <v>46121</v>
      </c>
      <c r="C51" s="7">
        <v>46127</v>
      </c>
      <c r="D51" s="6">
        <v>3271</v>
      </c>
      <c r="E51" s="6">
        <v>336</v>
      </c>
      <c r="F51" s="6">
        <v>4</v>
      </c>
      <c r="G51" s="42">
        <v>7</v>
      </c>
      <c r="H51" s="42">
        <v>81683</v>
      </c>
      <c r="I51" s="42" t="s">
        <v>543</v>
      </c>
      <c r="J51" s="42">
        <v>51901487</v>
      </c>
      <c r="K51" s="42" t="s">
        <v>2434</v>
      </c>
      <c r="L51" s="42" t="s">
        <v>2436</v>
      </c>
      <c r="M51" s="43">
        <v>139900</v>
      </c>
      <c r="N51" s="64">
        <v>0.6</v>
      </c>
      <c r="O51" s="12">
        <f t="shared" si="1"/>
        <v>55960</v>
      </c>
      <c r="P51" s="6" t="s">
        <v>3499</v>
      </c>
    </row>
    <row r="52" spans="1:16" x14ac:dyDescent="0.25">
      <c r="A52" s="6" t="s">
        <v>3508</v>
      </c>
      <c r="B52" s="7">
        <v>46121</v>
      </c>
      <c r="C52" s="7">
        <v>46127</v>
      </c>
      <c r="D52" s="6">
        <v>3271</v>
      </c>
      <c r="E52" s="6">
        <v>336</v>
      </c>
      <c r="F52" s="6">
        <v>4</v>
      </c>
      <c r="G52" s="42">
        <v>7</v>
      </c>
      <c r="H52" s="42">
        <v>81683</v>
      </c>
      <c r="I52" s="42" t="s">
        <v>543</v>
      </c>
      <c r="J52" s="42">
        <v>51901496</v>
      </c>
      <c r="K52" s="42" t="s">
        <v>2434</v>
      </c>
      <c r="L52" s="42" t="s">
        <v>2437</v>
      </c>
      <c r="M52" s="43">
        <v>139900</v>
      </c>
      <c r="N52" s="64">
        <v>0.6</v>
      </c>
      <c r="O52" s="12">
        <f t="shared" si="1"/>
        <v>55960</v>
      </c>
      <c r="P52" s="6" t="s">
        <v>3499</v>
      </c>
    </row>
    <row r="53" spans="1:16" x14ac:dyDescent="0.25">
      <c r="A53" s="6" t="s">
        <v>3508</v>
      </c>
      <c r="B53" s="7">
        <v>46121</v>
      </c>
      <c r="C53" s="7">
        <v>46127</v>
      </c>
      <c r="D53" s="6">
        <v>3271</v>
      </c>
      <c r="E53" s="6">
        <v>336</v>
      </c>
      <c r="F53" s="6">
        <v>4</v>
      </c>
      <c r="G53" s="42">
        <v>7</v>
      </c>
      <c r="H53" s="42">
        <v>81683</v>
      </c>
      <c r="I53" s="42" t="s">
        <v>543</v>
      </c>
      <c r="J53" s="42">
        <v>51901503</v>
      </c>
      <c r="K53" s="42" t="s">
        <v>2434</v>
      </c>
      <c r="L53" s="42" t="s">
        <v>2438</v>
      </c>
      <c r="M53" s="43">
        <v>139900</v>
      </c>
      <c r="N53" s="64">
        <v>0.6</v>
      </c>
      <c r="O53" s="12">
        <f t="shared" si="1"/>
        <v>55960</v>
      </c>
      <c r="P53" s="6" t="s">
        <v>3499</v>
      </c>
    </row>
    <row r="54" spans="1:16" x14ac:dyDescent="0.25">
      <c r="A54" s="6" t="s">
        <v>3508</v>
      </c>
      <c r="B54" s="7">
        <v>46121</v>
      </c>
      <c r="C54" s="7">
        <v>46127</v>
      </c>
      <c r="D54" s="6">
        <v>3271</v>
      </c>
      <c r="E54" s="6">
        <v>336</v>
      </c>
      <c r="F54" s="6">
        <v>4</v>
      </c>
      <c r="G54" s="42">
        <v>7</v>
      </c>
      <c r="H54" s="42">
        <v>81683</v>
      </c>
      <c r="I54" s="42" t="s">
        <v>543</v>
      </c>
      <c r="J54" s="42">
        <v>51901512</v>
      </c>
      <c r="K54" s="42" t="s">
        <v>2439</v>
      </c>
      <c r="L54" s="42" t="s">
        <v>2440</v>
      </c>
      <c r="M54" s="43">
        <v>139900</v>
      </c>
      <c r="N54" s="64">
        <v>0.6</v>
      </c>
      <c r="O54" s="12">
        <f t="shared" si="1"/>
        <v>55960</v>
      </c>
      <c r="P54" s="6" t="s">
        <v>3499</v>
      </c>
    </row>
    <row r="55" spans="1:16" x14ac:dyDescent="0.25">
      <c r="A55" s="6" t="s">
        <v>3508</v>
      </c>
      <c r="B55" s="7">
        <v>46121</v>
      </c>
      <c r="C55" s="7">
        <v>46127</v>
      </c>
      <c r="D55" s="6">
        <v>3271</v>
      </c>
      <c r="E55" s="6">
        <v>336</v>
      </c>
      <c r="F55" s="6">
        <v>4</v>
      </c>
      <c r="G55" s="42">
        <v>7</v>
      </c>
      <c r="H55" s="42">
        <v>81683</v>
      </c>
      <c r="I55" s="42" t="s">
        <v>543</v>
      </c>
      <c r="J55" s="42">
        <v>51901521</v>
      </c>
      <c r="K55" s="42" t="s">
        <v>2439</v>
      </c>
      <c r="L55" s="42" t="s">
        <v>2441</v>
      </c>
      <c r="M55" s="43">
        <v>139900</v>
      </c>
      <c r="N55" s="64">
        <v>0.6</v>
      </c>
      <c r="O55" s="12">
        <f t="shared" si="1"/>
        <v>55960</v>
      </c>
      <c r="P55" s="6" t="s">
        <v>3499</v>
      </c>
    </row>
    <row r="56" spans="1:16" x14ac:dyDescent="0.25">
      <c r="A56" s="6" t="s">
        <v>3508</v>
      </c>
      <c r="B56" s="7">
        <v>46121</v>
      </c>
      <c r="C56" s="7">
        <v>46127</v>
      </c>
      <c r="D56" s="6">
        <v>3271</v>
      </c>
      <c r="E56" s="6">
        <v>336</v>
      </c>
      <c r="F56" s="6">
        <v>4</v>
      </c>
      <c r="G56" s="42">
        <v>7</v>
      </c>
      <c r="H56" s="42">
        <v>81683</v>
      </c>
      <c r="I56" s="42" t="s">
        <v>543</v>
      </c>
      <c r="J56" s="42">
        <v>51901530</v>
      </c>
      <c r="K56" s="42" t="s">
        <v>2439</v>
      </c>
      <c r="L56" s="42" t="s">
        <v>2442</v>
      </c>
      <c r="M56" s="43">
        <v>139900</v>
      </c>
      <c r="N56" s="64">
        <v>0.6</v>
      </c>
      <c r="O56" s="12">
        <f t="shared" si="1"/>
        <v>55960</v>
      </c>
      <c r="P56" s="6" t="s">
        <v>3499</v>
      </c>
    </row>
    <row r="57" spans="1:16" x14ac:dyDescent="0.25">
      <c r="A57" s="6" t="s">
        <v>3508</v>
      </c>
      <c r="B57" s="7">
        <v>46121</v>
      </c>
      <c r="C57" s="7">
        <v>46127</v>
      </c>
      <c r="D57" s="6">
        <v>3271</v>
      </c>
      <c r="E57" s="6">
        <v>336</v>
      </c>
      <c r="F57" s="6">
        <v>4</v>
      </c>
      <c r="G57" s="42">
        <v>7</v>
      </c>
      <c r="H57" s="42">
        <v>81683</v>
      </c>
      <c r="I57" s="42" t="s">
        <v>543</v>
      </c>
      <c r="J57" s="42">
        <v>51901549</v>
      </c>
      <c r="K57" s="42" t="s">
        <v>2439</v>
      </c>
      <c r="L57" s="42" t="s">
        <v>2443</v>
      </c>
      <c r="M57" s="43">
        <v>139900</v>
      </c>
      <c r="N57" s="64">
        <v>0.6</v>
      </c>
      <c r="O57" s="12">
        <f t="shared" si="1"/>
        <v>55960</v>
      </c>
      <c r="P57" s="6" t="s">
        <v>3499</v>
      </c>
    </row>
    <row r="58" spans="1:16" x14ac:dyDescent="0.25">
      <c r="A58" s="6" t="s">
        <v>3508</v>
      </c>
      <c r="B58" s="7">
        <v>46121</v>
      </c>
      <c r="C58" s="7">
        <v>46127</v>
      </c>
      <c r="D58" s="6">
        <v>3271</v>
      </c>
      <c r="E58" s="6">
        <v>336</v>
      </c>
      <c r="F58" s="6">
        <v>4</v>
      </c>
      <c r="G58" s="46">
        <v>4</v>
      </c>
      <c r="H58" s="46">
        <v>81626</v>
      </c>
      <c r="I58" s="46" t="s">
        <v>543</v>
      </c>
      <c r="J58" s="46">
        <v>51488596</v>
      </c>
      <c r="K58" s="46" t="s">
        <v>2444</v>
      </c>
      <c r="L58" s="46" t="s">
        <v>2445</v>
      </c>
      <c r="M58" s="48">
        <v>169900</v>
      </c>
      <c r="N58" s="64">
        <v>0.6</v>
      </c>
      <c r="O58" s="12">
        <f t="shared" si="1"/>
        <v>67960</v>
      </c>
      <c r="P58" s="6" t="s">
        <v>3499</v>
      </c>
    </row>
    <row r="59" spans="1:16" x14ac:dyDescent="0.25">
      <c r="A59" s="6" t="s">
        <v>3508</v>
      </c>
      <c r="B59" s="7">
        <v>46121</v>
      </c>
      <c r="C59" s="7">
        <v>46127</v>
      </c>
      <c r="D59" s="6">
        <v>3271</v>
      </c>
      <c r="E59" s="6">
        <v>336</v>
      </c>
      <c r="F59" s="6">
        <v>4</v>
      </c>
      <c r="G59" s="46">
        <v>4</v>
      </c>
      <c r="H59" s="46">
        <v>81626</v>
      </c>
      <c r="I59" s="46" t="s">
        <v>543</v>
      </c>
      <c r="J59" s="46">
        <v>51488603</v>
      </c>
      <c r="K59" s="46" t="s">
        <v>2444</v>
      </c>
      <c r="L59" s="46" t="s">
        <v>2446</v>
      </c>
      <c r="M59" s="48">
        <v>169900</v>
      </c>
      <c r="N59" s="64">
        <v>0.6</v>
      </c>
      <c r="O59" s="12">
        <f t="shared" si="1"/>
        <v>67960</v>
      </c>
      <c r="P59" s="6" t="s">
        <v>3499</v>
      </c>
    </row>
    <row r="60" spans="1:16" x14ac:dyDescent="0.25">
      <c r="A60" s="6" t="s">
        <v>3508</v>
      </c>
      <c r="B60" s="7">
        <v>46121</v>
      </c>
      <c r="C60" s="7">
        <v>46127</v>
      </c>
      <c r="D60" s="6">
        <v>3271</v>
      </c>
      <c r="E60" s="6">
        <v>336</v>
      </c>
      <c r="F60" s="6">
        <v>4</v>
      </c>
      <c r="G60" s="46">
        <v>4</v>
      </c>
      <c r="H60" s="46">
        <v>81626</v>
      </c>
      <c r="I60" s="46" t="s">
        <v>543</v>
      </c>
      <c r="J60" s="46">
        <v>51488612</v>
      </c>
      <c r="K60" s="46" t="s">
        <v>2444</v>
      </c>
      <c r="L60" s="46" t="s">
        <v>2447</v>
      </c>
      <c r="M60" s="48">
        <v>169900</v>
      </c>
      <c r="N60" s="64">
        <v>0.6</v>
      </c>
      <c r="O60" s="12">
        <f t="shared" si="1"/>
        <v>67960</v>
      </c>
      <c r="P60" s="6" t="s">
        <v>3499</v>
      </c>
    </row>
    <row r="61" spans="1:16" x14ac:dyDescent="0.25">
      <c r="A61" s="6" t="s">
        <v>3508</v>
      </c>
      <c r="B61" s="7">
        <v>46121</v>
      </c>
      <c r="C61" s="7">
        <v>46127</v>
      </c>
      <c r="D61" s="6">
        <v>3271</v>
      </c>
      <c r="E61" s="6">
        <v>336</v>
      </c>
      <c r="F61" s="6">
        <v>4</v>
      </c>
      <c r="G61" s="46">
        <v>4</v>
      </c>
      <c r="H61" s="46">
        <v>81626</v>
      </c>
      <c r="I61" s="46" t="s">
        <v>543</v>
      </c>
      <c r="J61" s="46">
        <v>51488621</v>
      </c>
      <c r="K61" s="46" t="s">
        <v>2444</v>
      </c>
      <c r="L61" s="46" t="s">
        <v>2448</v>
      </c>
      <c r="M61" s="48">
        <v>169900</v>
      </c>
      <c r="N61" s="64">
        <v>0.6</v>
      </c>
      <c r="O61" s="12">
        <f t="shared" si="1"/>
        <v>67960</v>
      </c>
      <c r="P61" s="6" t="s">
        <v>3499</v>
      </c>
    </row>
    <row r="62" spans="1:16" x14ac:dyDescent="0.25">
      <c r="A62" s="6" t="s">
        <v>3508</v>
      </c>
      <c r="B62" s="7">
        <v>46121</v>
      </c>
      <c r="C62" s="7">
        <v>46127</v>
      </c>
      <c r="D62" s="6">
        <v>3271</v>
      </c>
      <c r="E62" s="6">
        <v>336</v>
      </c>
      <c r="F62" s="6">
        <v>4</v>
      </c>
      <c r="G62" s="46">
        <v>4</v>
      </c>
      <c r="H62" s="46">
        <v>81626</v>
      </c>
      <c r="I62" s="46" t="s">
        <v>543</v>
      </c>
      <c r="J62" s="46">
        <v>51488630</v>
      </c>
      <c r="K62" s="46" t="s">
        <v>2444</v>
      </c>
      <c r="L62" s="46" t="s">
        <v>2449</v>
      </c>
      <c r="M62" s="48">
        <v>169900</v>
      </c>
      <c r="N62" s="64">
        <v>0.6</v>
      </c>
      <c r="O62" s="12">
        <f t="shared" si="1"/>
        <v>67960</v>
      </c>
      <c r="P62" s="6" t="s">
        <v>3499</v>
      </c>
    </row>
    <row r="63" spans="1:16" x14ac:dyDescent="0.25">
      <c r="A63" s="6" t="s">
        <v>3508</v>
      </c>
      <c r="B63" s="7">
        <v>46121</v>
      </c>
      <c r="C63" s="7">
        <v>46127</v>
      </c>
      <c r="D63" s="6">
        <v>3271</v>
      </c>
      <c r="E63" s="6">
        <v>336</v>
      </c>
      <c r="F63" s="6">
        <v>4</v>
      </c>
      <c r="G63" s="46">
        <v>4</v>
      </c>
      <c r="H63" s="46">
        <v>81626</v>
      </c>
      <c r="I63" s="46" t="s">
        <v>543</v>
      </c>
      <c r="J63" s="46">
        <v>51488649</v>
      </c>
      <c r="K63" s="46" t="s">
        <v>2444</v>
      </c>
      <c r="L63" s="46" t="s">
        <v>2450</v>
      </c>
      <c r="M63" s="48">
        <v>169900</v>
      </c>
      <c r="N63" s="64">
        <v>0.6</v>
      </c>
      <c r="O63" s="12">
        <f t="shared" si="1"/>
        <v>67960</v>
      </c>
      <c r="P63" s="6" t="s">
        <v>3499</v>
      </c>
    </row>
    <row r="64" spans="1:16" x14ac:dyDescent="0.25">
      <c r="A64" s="6" t="s">
        <v>3508</v>
      </c>
      <c r="B64" s="7">
        <v>46121</v>
      </c>
      <c r="C64" s="7">
        <v>46127</v>
      </c>
      <c r="D64" s="6">
        <v>3271</v>
      </c>
      <c r="E64" s="6">
        <v>336</v>
      </c>
      <c r="F64" s="6">
        <v>4</v>
      </c>
      <c r="G64" s="46">
        <v>4</v>
      </c>
      <c r="H64" s="46">
        <v>81626</v>
      </c>
      <c r="I64" s="46" t="s">
        <v>543</v>
      </c>
      <c r="J64" s="46">
        <v>51488658</v>
      </c>
      <c r="K64" s="46" t="s">
        <v>2444</v>
      </c>
      <c r="L64" s="46" t="s">
        <v>2451</v>
      </c>
      <c r="M64" s="48">
        <v>169900</v>
      </c>
      <c r="N64" s="64">
        <v>0.6</v>
      </c>
      <c r="O64" s="12">
        <f t="shared" si="1"/>
        <v>67960</v>
      </c>
      <c r="P64" s="6" t="s">
        <v>3499</v>
      </c>
    </row>
    <row r="65" spans="1:16" x14ac:dyDescent="0.25">
      <c r="A65" s="6" t="s">
        <v>3508</v>
      </c>
      <c r="B65" s="7">
        <v>46121</v>
      </c>
      <c r="C65" s="7">
        <v>46127</v>
      </c>
      <c r="D65" s="6">
        <v>3271</v>
      </c>
      <c r="E65" s="6">
        <v>336</v>
      </c>
      <c r="F65" s="6">
        <v>4</v>
      </c>
      <c r="G65" s="46">
        <v>4</v>
      </c>
      <c r="H65" s="46">
        <v>81626</v>
      </c>
      <c r="I65" s="46" t="s">
        <v>543</v>
      </c>
      <c r="J65" s="46">
        <v>51488667</v>
      </c>
      <c r="K65" s="46" t="s">
        <v>2444</v>
      </c>
      <c r="L65" s="46" t="s">
        <v>2452</v>
      </c>
      <c r="M65" s="48">
        <v>169900</v>
      </c>
      <c r="N65" s="64">
        <v>0.6</v>
      </c>
      <c r="O65" s="12">
        <f t="shared" si="1"/>
        <v>67960</v>
      </c>
      <c r="P65" s="6" t="s">
        <v>3499</v>
      </c>
    </row>
    <row r="66" spans="1:16" x14ac:dyDescent="0.25">
      <c r="A66" s="6" t="s">
        <v>3508</v>
      </c>
      <c r="B66" s="7">
        <v>46121</v>
      </c>
      <c r="C66" s="7">
        <v>46127</v>
      </c>
      <c r="D66" s="6">
        <v>3271</v>
      </c>
      <c r="E66" s="6">
        <v>336</v>
      </c>
      <c r="F66" s="6">
        <v>4</v>
      </c>
      <c r="G66" s="46">
        <v>4</v>
      </c>
      <c r="H66" s="46">
        <v>81626</v>
      </c>
      <c r="I66" s="46" t="s">
        <v>543</v>
      </c>
      <c r="J66" s="46">
        <v>51488676</v>
      </c>
      <c r="K66" s="46" t="s">
        <v>2444</v>
      </c>
      <c r="L66" s="46" t="s">
        <v>2453</v>
      </c>
      <c r="M66" s="48">
        <v>169900</v>
      </c>
      <c r="N66" s="64">
        <v>0.6</v>
      </c>
      <c r="O66" s="12">
        <f t="shared" si="1"/>
        <v>67960</v>
      </c>
      <c r="P66" s="6" t="s">
        <v>3499</v>
      </c>
    </row>
    <row r="67" spans="1:16" x14ac:dyDescent="0.25">
      <c r="A67" s="6" t="s">
        <v>3508</v>
      </c>
      <c r="B67" s="7">
        <v>46121</v>
      </c>
      <c r="C67" s="7">
        <v>46127</v>
      </c>
      <c r="D67" s="6">
        <v>3271</v>
      </c>
      <c r="E67" s="6">
        <v>336</v>
      </c>
      <c r="F67" s="6">
        <v>4</v>
      </c>
      <c r="G67" s="46">
        <v>4</v>
      </c>
      <c r="H67" s="46">
        <v>81626</v>
      </c>
      <c r="I67" s="46" t="s">
        <v>543</v>
      </c>
      <c r="J67" s="46">
        <v>51488685</v>
      </c>
      <c r="K67" s="46" t="s">
        <v>2444</v>
      </c>
      <c r="L67" s="46" t="s">
        <v>2454</v>
      </c>
      <c r="M67" s="48">
        <v>169900</v>
      </c>
      <c r="N67" s="64">
        <v>0.6</v>
      </c>
      <c r="O67" s="12">
        <f t="shared" ref="O67:O130" si="2">M67-((60*M67)/100)</f>
        <v>67960</v>
      </c>
      <c r="P67" s="6" t="s">
        <v>3499</v>
      </c>
    </row>
    <row r="68" spans="1:16" x14ac:dyDescent="0.25">
      <c r="A68" s="6" t="s">
        <v>3508</v>
      </c>
      <c r="B68" s="7">
        <v>46121</v>
      </c>
      <c r="C68" s="7">
        <v>46127</v>
      </c>
      <c r="D68" s="6">
        <v>3271</v>
      </c>
      <c r="E68" s="6">
        <v>336</v>
      </c>
      <c r="F68" s="6">
        <v>4</v>
      </c>
      <c r="G68" s="46">
        <v>4</v>
      </c>
      <c r="H68" s="46">
        <v>81626</v>
      </c>
      <c r="I68" s="46" t="s">
        <v>543</v>
      </c>
      <c r="J68" s="46">
        <v>51488694</v>
      </c>
      <c r="K68" s="46" t="s">
        <v>2444</v>
      </c>
      <c r="L68" s="46" t="s">
        <v>2455</v>
      </c>
      <c r="M68" s="48">
        <v>169900</v>
      </c>
      <c r="N68" s="64">
        <v>0.6</v>
      </c>
      <c r="O68" s="12">
        <f t="shared" si="2"/>
        <v>67960</v>
      </c>
      <c r="P68" s="6" t="s">
        <v>3499</v>
      </c>
    </row>
    <row r="69" spans="1:16" x14ac:dyDescent="0.25">
      <c r="A69" s="6" t="s">
        <v>3508</v>
      </c>
      <c r="B69" s="7">
        <v>46121</v>
      </c>
      <c r="C69" s="7">
        <v>46127</v>
      </c>
      <c r="D69" s="6">
        <v>3271</v>
      </c>
      <c r="E69" s="6">
        <v>336</v>
      </c>
      <c r="F69" s="6">
        <v>4</v>
      </c>
      <c r="G69" s="46">
        <v>4</v>
      </c>
      <c r="H69" s="46">
        <v>81626</v>
      </c>
      <c r="I69" s="46" t="s">
        <v>543</v>
      </c>
      <c r="J69" s="46">
        <v>51488701</v>
      </c>
      <c r="K69" s="46" t="s">
        <v>2444</v>
      </c>
      <c r="L69" s="46" t="s">
        <v>2456</v>
      </c>
      <c r="M69" s="48">
        <v>169900</v>
      </c>
      <c r="N69" s="64">
        <v>0.6</v>
      </c>
      <c r="O69" s="12">
        <f t="shared" si="2"/>
        <v>67960</v>
      </c>
      <c r="P69" s="6" t="s">
        <v>3499</v>
      </c>
    </row>
    <row r="70" spans="1:16" x14ac:dyDescent="0.25">
      <c r="A70" s="6" t="s">
        <v>3508</v>
      </c>
      <c r="B70" s="7">
        <v>46121</v>
      </c>
      <c r="C70" s="7">
        <v>46127</v>
      </c>
      <c r="D70" s="6">
        <v>3271</v>
      </c>
      <c r="E70" s="6">
        <v>336</v>
      </c>
      <c r="F70" s="6">
        <v>4</v>
      </c>
      <c r="G70" s="46">
        <v>7</v>
      </c>
      <c r="H70" s="46">
        <v>81683</v>
      </c>
      <c r="I70" s="46" t="s">
        <v>543</v>
      </c>
      <c r="J70" s="46">
        <v>51901718</v>
      </c>
      <c r="K70" s="46" t="s">
        <v>2457</v>
      </c>
      <c r="L70" s="46" t="s">
        <v>2458</v>
      </c>
      <c r="M70" s="48">
        <v>139900</v>
      </c>
      <c r="N70" s="64">
        <v>0.6</v>
      </c>
      <c r="O70" s="12">
        <f t="shared" si="2"/>
        <v>55960</v>
      </c>
      <c r="P70" s="6" t="s">
        <v>3499</v>
      </c>
    </row>
    <row r="71" spans="1:16" x14ac:dyDescent="0.25">
      <c r="A71" s="6" t="s">
        <v>3508</v>
      </c>
      <c r="B71" s="7">
        <v>46121</v>
      </c>
      <c r="C71" s="7">
        <v>46127</v>
      </c>
      <c r="D71" s="6">
        <v>3271</v>
      </c>
      <c r="E71" s="6">
        <v>336</v>
      </c>
      <c r="F71" s="6">
        <v>4</v>
      </c>
      <c r="G71" s="46">
        <v>7</v>
      </c>
      <c r="H71" s="46">
        <v>81683</v>
      </c>
      <c r="I71" s="46" t="s">
        <v>543</v>
      </c>
      <c r="J71" s="46">
        <v>51901727</v>
      </c>
      <c r="K71" s="46" t="s">
        <v>2457</v>
      </c>
      <c r="L71" s="46" t="s">
        <v>2459</v>
      </c>
      <c r="M71" s="48">
        <v>139900</v>
      </c>
      <c r="N71" s="64">
        <v>0.6</v>
      </c>
      <c r="O71" s="12">
        <f t="shared" si="2"/>
        <v>55960</v>
      </c>
      <c r="P71" s="6" t="s">
        <v>3499</v>
      </c>
    </row>
    <row r="72" spans="1:16" x14ac:dyDescent="0.25">
      <c r="A72" s="6" t="s">
        <v>3508</v>
      </c>
      <c r="B72" s="7">
        <v>46121</v>
      </c>
      <c r="C72" s="7">
        <v>46127</v>
      </c>
      <c r="D72" s="6">
        <v>3271</v>
      </c>
      <c r="E72" s="6">
        <v>336</v>
      </c>
      <c r="F72" s="6">
        <v>4</v>
      </c>
      <c r="G72" s="46">
        <v>7</v>
      </c>
      <c r="H72" s="46">
        <v>81683</v>
      </c>
      <c r="I72" s="46" t="s">
        <v>543</v>
      </c>
      <c r="J72" s="46">
        <v>51901736</v>
      </c>
      <c r="K72" s="46" t="s">
        <v>2457</v>
      </c>
      <c r="L72" s="46" t="s">
        <v>2460</v>
      </c>
      <c r="M72" s="48">
        <v>139900</v>
      </c>
      <c r="N72" s="64">
        <v>0.6</v>
      </c>
      <c r="O72" s="12">
        <f t="shared" si="2"/>
        <v>55960</v>
      </c>
      <c r="P72" s="6" t="s">
        <v>3499</v>
      </c>
    </row>
    <row r="73" spans="1:16" x14ac:dyDescent="0.25">
      <c r="A73" s="6" t="s">
        <v>3508</v>
      </c>
      <c r="B73" s="7">
        <v>46121</v>
      </c>
      <c r="C73" s="7">
        <v>46127</v>
      </c>
      <c r="D73" s="6">
        <v>3271</v>
      </c>
      <c r="E73" s="6">
        <v>336</v>
      </c>
      <c r="F73" s="6">
        <v>4</v>
      </c>
      <c r="G73" s="46">
        <v>7</v>
      </c>
      <c r="H73" s="46">
        <v>81683</v>
      </c>
      <c r="I73" s="46" t="s">
        <v>543</v>
      </c>
      <c r="J73" s="46">
        <v>51901745</v>
      </c>
      <c r="K73" s="46" t="s">
        <v>2457</v>
      </c>
      <c r="L73" s="46" t="s">
        <v>2461</v>
      </c>
      <c r="M73" s="48">
        <v>139900</v>
      </c>
      <c r="N73" s="64">
        <v>0.6</v>
      </c>
      <c r="O73" s="12">
        <f t="shared" si="2"/>
        <v>55960</v>
      </c>
      <c r="P73" s="6" t="s">
        <v>3499</v>
      </c>
    </row>
    <row r="74" spans="1:16" x14ac:dyDescent="0.25">
      <c r="A74" s="6" t="s">
        <v>3508</v>
      </c>
      <c r="B74" s="7">
        <v>46121</v>
      </c>
      <c r="C74" s="7">
        <v>46127</v>
      </c>
      <c r="D74" s="6">
        <v>3271</v>
      </c>
      <c r="E74" s="6">
        <v>336</v>
      </c>
      <c r="F74" s="6">
        <v>4</v>
      </c>
      <c r="G74" s="46">
        <v>7</v>
      </c>
      <c r="H74" s="46">
        <v>81683</v>
      </c>
      <c r="I74" s="46" t="s">
        <v>543</v>
      </c>
      <c r="J74" s="46">
        <v>51901754</v>
      </c>
      <c r="K74" s="46" t="s">
        <v>2462</v>
      </c>
      <c r="L74" s="46" t="s">
        <v>2463</v>
      </c>
      <c r="M74" s="48">
        <v>139900</v>
      </c>
      <c r="N74" s="64">
        <v>0.6</v>
      </c>
      <c r="O74" s="12">
        <f t="shared" si="2"/>
        <v>55960</v>
      </c>
      <c r="P74" s="6" t="s">
        <v>3499</v>
      </c>
    </row>
    <row r="75" spans="1:16" x14ac:dyDescent="0.25">
      <c r="A75" s="6" t="s">
        <v>3508</v>
      </c>
      <c r="B75" s="7">
        <v>46121</v>
      </c>
      <c r="C75" s="7">
        <v>46127</v>
      </c>
      <c r="D75" s="6">
        <v>3271</v>
      </c>
      <c r="E75" s="6">
        <v>336</v>
      </c>
      <c r="F75" s="6">
        <v>4</v>
      </c>
      <c r="G75" s="46">
        <v>7</v>
      </c>
      <c r="H75" s="46">
        <v>81683</v>
      </c>
      <c r="I75" s="46" t="s">
        <v>543</v>
      </c>
      <c r="J75" s="46">
        <v>51901763</v>
      </c>
      <c r="K75" s="46" t="s">
        <v>2462</v>
      </c>
      <c r="L75" s="46" t="s">
        <v>2464</v>
      </c>
      <c r="M75" s="48">
        <v>139900</v>
      </c>
      <c r="N75" s="64">
        <v>0.6</v>
      </c>
      <c r="O75" s="12">
        <f t="shared" si="2"/>
        <v>55960</v>
      </c>
      <c r="P75" s="6" t="s">
        <v>3499</v>
      </c>
    </row>
    <row r="76" spans="1:16" x14ac:dyDescent="0.25">
      <c r="A76" s="6" t="s">
        <v>3508</v>
      </c>
      <c r="B76" s="7">
        <v>46121</v>
      </c>
      <c r="C76" s="7">
        <v>46127</v>
      </c>
      <c r="D76" s="6">
        <v>3271</v>
      </c>
      <c r="E76" s="6">
        <v>336</v>
      </c>
      <c r="F76" s="6">
        <v>4</v>
      </c>
      <c r="G76" s="46">
        <v>7</v>
      </c>
      <c r="H76" s="46">
        <v>81683</v>
      </c>
      <c r="I76" s="46" t="s">
        <v>543</v>
      </c>
      <c r="J76" s="46">
        <v>51901772</v>
      </c>
      <c r="K76" s="46" t="s">
        <v>2462</v>
      </c>
      <c r="L76" s="46" t="s">
        <v>2465</v>
      </c>
      <c r="M76" s="48">
        <v>139900</v>
      </c>
      <c r="N76" s="64">
        <v>0.6</v>
      </c>
      <c r="O76" s="12">
        <f t="shared" si="2"/>
        <v>55960</v>
      </c>
      <c r="P76" s="6" t="s">
        <v>3499</v>
      </c>
    </row>
    <row r="77" spans="1:16" x14ac:dyDescent="0.25">
      <c r="A77" s="6" t="s">
        <v>3508</v>
      </c>
      <c r="B77" s="7">
        <v>46121</v>
      </c>
      <c r="C77" s="7">
        <v>46127</v>
      </c>
      <c r="D77" s="6">
        <v>3271</v>
      </c>
      <c r="E77" s="6">
        <v>336</v>
      </c>
      <c r="F77" s="6">
        <v>4</v>
      </c>
      <c r="G77" s="46">
        <v>7</v>
      </c>
      <c r="H77" s="46">
        <v>81683</v>
      </c>
      <c r="I77" s="46" t="s">
        <v>543</v>
      </c>
      <c r="J77" s="46">
        <v>51901781</v>
      </c>
      <c r="K77" s="46" t="s">
        <v>2462</v>
      </c>
      <c r="L77" s="46" t="s">
        <v>2466</v>
      </c>
      <c r="M77" s="48">
        <v>139900</v>
      </c>
      <c r="N77" s="64">
        <v>0.6</v>
      </c>
      <c r="O77" s="12">
        <f t="shared" si="2"/>
        <v>55960</v>
      </c>
      <c r="P77" s="6" t="s">
        <v>3499</v>
      </c>
    </row>
    <row r="78" spans="1:16" x14ac:dyDescent="0.25">
      <c r="A78" s="6" t="s">
        <v>3508</v>
      </c>
      <c r="B78" s="7">
        <v>46121</v>
      </c>
      <c r="C78" s="7">
        <v>46127</v>
      </c>
      <c r="D78" s="6">
        <v>3271</v>
      </c>
      <c r="E78" s="6">
        <v>336</v>
      </c>
      <c r="F78" s="6">
        <v>4</v>
      </c>
      <c r="G78" s="46">
        <v>7</v>
      </c>
      <c r="H78" s="46">
        <v>81683</v>
      </c>
      <c r="I78" s="46" t="s">
        <v>543</v>
      </c>
      <c r="J78" s="46">
        <v>51901870</v>
      </c>
      <c r="K78" s="46" t="s">
        <v>2467</v>
      </c>
      <c r="L78" s="46" t="s">
        <v>2468</v>
      </c>
      <c r="M78" s="48">
        <v>139900</v>
      </c>
      <c r="N78" s="64">
        <v>0.6</v>
      </c>
      <c r="O78" s="12">
        <f t="shared" si="2"/>
        <v>55960</v>
      </c>
      <c r="P78" s="6" t="s">
        <v>3499</v>
      </c>
    </row>
    <row r="79" spans="1:16" x14ac:dyDescent="0.25">
      <c r="A79" s="6" t="s">
        <v>3508</v>
      </c>
      <c r="B79" s="7">
        <v>46121</v>
      </c>
      <c r="C79" s="7">
        <v>46127</v>
      </c>
      <c r="D79" s="6">
        <v>3271</v>
      </c>
      <c r="E79" s="6">
        <v>336</v>
      </c>
      <c r="F79" s="6">
        <v>4</v>
      </c>
      <c r="G79" s="46">
        <v>7</v>
      </c>
      <c r="H79" s="46">
        <v>81683</v>
      </c>
      <c r="I79" s="46" t="s">
        <v>543</v>
      </c>
      <c r="J79" s="46">
        <v>51901889</v>
      </c>
      <c r="K79" s="46" t="s">
        <v>2467</v>
      </c>
      <c r="L79" s="46" t="s">
        <v>2469</v>
      </c>
      <c r="M79" s="48">
        <v>139900</v>
      </c>
      <c r="N79" s="64">
        <v>0.6</v>
      </c>
      <c r="O79" s="12">
        <f t="shared" si="2"/>
        <v>55960</v>
      </c>
      <c r="P79" s="6" t="s">
        <v>3499</v>
      </c>
    </row>
    <row r="80" spans="1:16" x14ac:dyDescent="0.25">
      <c r="A80" s="6" t="s">
        <v>3508</v>
      </c>
      <c r="B80" s="7">
        <v>46121</v>
      </c>
      <c r="C80" s="7">
        <v>46127</v>
      </c>
      <c r="D80" s="6">
        <v>3271</v>
      </c>
      <c r="E80" s="6">
        <v>336</v>
      </c>
      <c r="F80" s="6">
        <v>4</v>
      </c>
      <c r="G80" s="46">
        <v>7</v>
      </c>
      <c r="H80" s="46">
        <v>81683</v>
      </c>
      <c r="I80" s="46" t="s">
        <v>543</v>
      </c>
      <c r="J80" s="46">
        <v>51901898</v>
      </c>
      <c r="K80" s="46" t="s">
        <v>2467</v>
      </c>
      <c r="L80" s="46" t="s">
        <v>2470</v>
      </c>
      <c r="M80" s="48">
        <v>139900</v>
      </c>
      <c r="N80" s="64">
        <v>0.6</v>
      </c>
      <c r="O80" s="12">
        <f t="shared" si="2"/>
        <v>55960</v>
      </c>
      <c r="P80" s="6" t="s">
        <v>3499</v>
      </c>
    </row>
    <row r="81" spans="1:16" x14ac:dyDescent="0.25">
      <c r="A81" s="6" t="s">
        <v>3508</v>
      </c>
      <c r="B81" s="7">
        <v>46121</v>
      </c>
      <c r="C81" s="7">
        <v>46127</v>
      </c>
      <c r="D81" s="6">
        <v>3271</v>
      </c>
      <c r="E81" s="6">
        <v>336</v>
      </c>
      <c r="F81" s="6">
        <v>4</v>
      </c>
      <c r="G81" s="46">
        <v>7</v>
      </c>
      <c r="H81" s="46">
        <v>81683</v>
      </c>
      <c r="I81" s="46" t="s">
        <v>543</v>
      </c>
      <c r="J81" s="46">
        <v>51901905</v>
      </c>
      <c r="K81" s="46" t="s">
        <v>2467</v>
      </c>
      <c r="L81" s="46" t="s">
        <v>2471</v>
      </c>
      <c r="M81" s="48">
        <v>139900</v>
      </c>
      <c r="N81" s="64">
        <v>0.6</v>
      </c>
      <c r="O81" s="12">
        <f t="shared" si="2"/>
        <v>55960</v>
      </c>
      <c r="P81" s="6" t="s">
        <v>3499</v>
      </c>
    </row>
    <row r="82" spans="1:16" x14ac:dyDescent="0.25">
      <c r="A82" s="6" t="s">
        <v>3508</v>
      </c>
      <c r="B82" s="7">
        <v>46121</v>
      </c>
      <c r="C82" s="7">
        <v>46127</v>
      </c>
      <c r="D82" s="6">
        <v>3271</v>
      </c>
      <c r="E82" s="6">
        <v>336</v>
      </c>
      <c r="F82" s="6">
        <v>4</v>
      </c>
      <c r="G82" s="46">
        <v>7</v>
      </c>
      <c r="H82" s="46">
        <v>81683</v>
      </c>
      <c r="I82" s="46" t="s">
        <v>543</v>
      </c>
      <c r="J82" s="46">
        <v>51901914</v>
      </c>
      <c r="K82" s="46" t="s">
        <v>2472</v>
      </c>
      <c r="L82" s="46" t="s">
        <v>2473</v>
      </c>
      <c r="M82" s="48">
        <v>139900</v>
      </c>
      <c r="N82" s="64">
        <v>0.6</v>
      </c>
      <c r="O82" s="12">
        <f t="shared" si="2"/>
        <v>55960</v>
      </c>
      <c r="P82" s="6" t="s">
        <v>3499</v>
      </c>
    </row>
    <row r="83" spans="1:16" x14ac:dyDescent="0.25">
      <c r="A83" s="6" t="s">
        <v>3508</v>
      </c>
      <c r="B83" s="7">
        <v>46121</v>
      </c>
      <c r="C83" s="7">
        <v>46127</v>
      </c>
      <c r="D83" s="6">
        <v>3271</v>
      </c>
      <c r="E83" s="6">
        <v>336</v>
      </c>
      <c r="F83" s="6">
        <v>4</v>
      </c>
      <c r="G83" s="46">
        <v>7</v>
      </c>
      <c r="H83" s="46">
        <v>81683</v>
      </c>
      <c r="I83" s="46" t="s">
        <v>543</v>
      </c>
      <c r="J83" s="46">
        <v>51901923</v>
      </c>
      <c r="K83" s="46" t="s">
        <v>2472</v>
      </c>
      <c r="L83" s="46" t="s">
        <v>2474</v>
      </c>
      <c r="M83" s="48">
        <v>139900</v>
      </c>
      <c r="N83" s="64">
        <v>0.6</v>
      </c>
      <c r="O83" s="12">
        <f t="shared" si="2"/>
        <v>55960</v>
      </c>
      <c r="P83" s="6" t="s">
        <v>3499</v>
      </c>
    </row>
    <row r="84" spans="1:16" x14ac:dyDescent="0.25">
      <c r="A84" s="6" t="s">
        <v>3508</v>
      </c>
      <c r="B84" s="7">
        <v>46121</v>
      </c>
      <c r="C84" s="7">
        <v>46127</v>
      </c>
      <c r="D84" s="6">
        <v>3271</v>
      </c>
      <c r="E84" s="6">
        <v>336</v>
      </c>
      <c r="F84" s="6">
        <v>4</v>
      </c>
      <c r="G84" s="46">
        <v>7</v>
      </c>
      <c r="H84" s="46">
        <v>81683</v>
      </c>
      <c r="I84" s="46" t="s">
        <v>543</v>
      </c>
      <c r="J84" s="46">
        <v>51901932</v>
      </c>
      <c r="K84" s="46" t="s">
        <v>2472</v>
      </c>
      <c r="L84" s="46" t="s">
        <v>2475</v>
      </c>
      <c r="M84" s="48">
        <v>139900</v>
      </c>
      <c r="N84" s="64">
        <v>0.6</v>
      </c>
      <c r="O84" s="12">
        <f t="shared" si="2"/>
        <v>55960</v>
      </c>
      <c r="P84" s="6" t="s">
        <v>3499</v>
      </c>
    </row>
    <row r="85" spans="1:16" x14ac:dyDescent="0.25">
      <c r="A85" s="6" t="s">
        <v>3508</v>
      </c>
      <c r="B85" s="7">
        <v>46121</v>
      </c>
      <c r="C85" s="7">
        <v>46127</v>
      </c>
      <c r="D85" s="6">
        <v>3271</v>
      </c>
      <c r="E85" s="6">
        <v>336</v>
      </c>
      <c r="F85" s="6">
        <v>4</v>
      </c>
      <c r="G85" s="46">
        <v>7</v>
      </c>
      <c r="H85" s="46">
        <v>81683</v>
      </c>
      <c r="I85" s="46" t="s">
        <v>543</v>
      </c>
      <c r="J85" s="46">
        <v>51901941</v>
      </c>
      <c r="K85" s="46" t="s">
        <v>2472</v>
      </c>
      <c r="L85" s="46" t="s">
        <v>2476</v>
      </c>
      <c r="M85" s="48">
        <v>139900</v>
      </c>
      <c r="N85" s="64">
        <v>0.6</v>
      </c>
      <c r="O85" s="12">
        <f t="shared" si="2"/>
        <v>55960</v>
      </c>
      <c r="P85" s="6" t="s">
        <v>3499</v>
      </c>
    </row>
    <row r="86" spans="1:16" x14ac:dyDescent="0.25">
      <c r="A86" s="6" t="s">
        <v>3508</v>
      </c>
      <c r="B86" s="7">
        <v>46121</v>
      </c>
      <c r="C86" s="7">
        <v>46127</v>
      </c>
      <c r="D86" s="6">
        <v>3271</v>
      </c>
      <c r="E86" s="6">
        <v>336</v>
      </c>
      <c r="F86" s="6">
        <v>4</v>
      </c>
      <c r="G86" s="46">
        <v>7</v>
      </c>
      <c r="H86" s="46">
        <v>81683</v>
      </c>
      <c r="I86" s="46" t="s">
        <v>543</v>
      </c>
      <c r="J86" s="46">
        <v>51901950</v>
      </c>
      <c r="K86" s="46" t="s">
        <v>2477</v>
      </c>
      <c r="L86" s="46" t="s">
        <v>2478</v>
      </c>
      <c r="M86" s="48">
        <v>139900</v>
      </c>
      <c r="N86" s="64">
        <v>0.6</v>
      </c>
      <c r="O86" s="12">
        <f t="shared" si="2"/>
        <v>55960</v>
      </c>
      <c r="P86" s="6" t="s">
        <v>3499</v>
      </c>
    </row>
    <row r="87" spans="1:16" x14ac:dyDescent="0.25">
      <c r="A87" s="6" t="s">
        <v>3508</v>
      </c>
      <c r="B87" s="7">
        <v>46121</v>
      </c>
      <c r="C87" s="7">
        <v>46127</v>
      </c>
      <c r="D87" s="6">
        <v>3271</v>
      </c>
      <c r="E87" s="6">
        <v>336</v>
      </c>
      <c r="F87" s="6">
        <v>4</v>
      </c>
      <c r="G87" s="46">
        <v>7</v>
      </c>
      <c r="H87" s="46">
        <v>81683</v>
      </c>
      <c r="I87" s="46" t="s">
        <v>543</v>
      </c>
      <c r="J87" s="46">
        <v>51901969</v>
      </c>
      <c r="K87" s="46" t="s">
        <v>2477</v>
      </c>
      <c r="L87" s="46" t="s">
        <v>2479</v>
      </c>
      <c r="M87" s="48">
        <v>139900</v>
      </c>
      <c r="N87" s="64">
        <v>0.6</v>
      </c>
      <c r="O87" s="12">
        <f t="shared" si="2"/>
        <v>55960</v>
      </c>
      <c r="P87" s="6" t="s">
        <v>3499</v>
      </c>
    </row>
    <row r="88" spans="1:16" x14ac:dyDescent="0.25">
      <c r="A88" s="6" t="s">
        <v>3508</v>
      </c>
      <c r="B88" s="7">
        <v>46121</v>
      </c>
      <c r="C88" s="7">
        <v>46127</v>
      </c>
      <c r="D88" s="6">
        <v>3271</v>
      </c>
      <c r="E88" s="6">
        <v>336</v>
      </c>
      <c r="F88" s="6">
        <v>4</v>
      </c>
      <c r="G88" s="46">
        <v>7</v>
      </c>
      <c r="H88" s="46">
        <v>81683</v>
      </c>
      <c r="I88" s="46" t="s">
        <v>543</v>
      </c>
      <c r="J88" s="46">
        <v>51901978</v>
      </c>
      <c r="K88" s="46" t="s">
        <v>2477</v>
      </c>
      <c r="L88" s="46" t="s">
        <v>2480</v>
      </c>
      <c r="M88" s="48">
        <v>139900</v>
      </c>
      <c r="N88" s="64">
        <v>0.6</v>
      </c>
      <c r="O88" s="12">
        <f t="shared" si="2"/>
        <v>55960</v>
      </c>
      <c r="P88" s="6" t="s">
        <v>3499</v>
      </c>
    </row>
    <row r="89" spans="1:16" x14ac:dyDescent="0.25">
      <c r="A89" s="6" t="s">
        <v>3508</v>
      </c>
      <c r="B89" s="7">
        <v>46121</v>
      </c>
      <c r="C89" s="7">
        <v>46127</v>
      </c>
      <c r="D89" s="6">
        <v>3271</v>
      </c>
      <c r="E89" s="6">
        <v>336</v>
      </c>
      <c r="F89" s="6">
        <v>4</v>
      </c>
      <c r="G89" s="46">
        <v>7</v>
      </c>
      <c r="H89" s="46">
        <v>81683</v>
      </c>
      <c r="I89" s="46" t="s">
        <v>543</v>
      </c>
      <c r="J89" s="46">
        <v>51901987</v>
      </c>
      <c r="K89" s="46" t="s">
        <v>2477</v>
      </c>
      <c r="L89" s="46" t="s">
        <v>2481</v>
      </c>
      <c r="M89" s="48">
        <v>139900</v>
      </c>
      <c r="N89" s="64">
        <v>0.6</v>
      </c>
      <c r="O89" s="12">
        <f t="shared" si="2"/>
        <v>55960</v>
      </c>
      <c r="P89" s="6" t="s">
        <v>3499</v>
      </c>
    </row>
    <row r="90" spans="1:16" x14ac:dyDescent="0.25">
      <c r="A90" s="6" t="s">
        <v>3508</v>
      </c>
      <c r="B90" s="7">
        <v>46121</v>
      </c>
      <c r="C90" s="7">
        <v>46127</v>
      </c>
      <c r="D90" s="6">
        <v>3271</v>
      </c>
      <c r="E90" s="6">
        <v>336</v>
      </c>
      <c r="F90" s="6">
        <v>4</v>
      </c>
      <c r="G90" s="46">
        <v>7</v>
      </c>
      <c r="H90" s="46">
        <v>81683</v>
      </c>
      <c r="I90" s="46" t="s">
        <v>543</v>
      </c>
      <c r="J90" s="46">
        <v>51901996</v>
      </c>
      <c r="K90" s="46" t="s">
        <v>2482</v>
      </c>
      <c r="L90" s="46" t="s">
        <v>2483</v>
      </c>
      <c r="M90" s="48">
        <v>139900</v>
      </c>
      <c r="N90" s="64">
        <v>0.6</v>
      </c>
      <c r="O90" s="12">
        <f t="shared" si="2"/>
        <v>55960</v>
      </c>
      <c r="P90" s="6" t="s">
        <v>3499</v>
      </c>
    </row>
    <row r="91" spans="1:16" x14ac:dyDescent="0.25">
      <c r="A91" s="6" t="s">
        <v>3508</v>
      </c>
      <c r="B91" s="7">
        <v>46121</v>
      </c>
      <c r="C91" s="7">
        <v>46127</v>
      </c>
      <c r="D91" s="6">
        <v>3271</v>
      </c>
      <c r="E91" s="6">
        <v>336</v>
      </c>
      <c r="F91" s="6">
        <v>4</v>
      </c>
      <c r="G91" s="46">
        <v>7</v>
      </c>
      <c r="H91" s="46">
        <v>81683</v>
      </c>
      <c r="I91" s="46" t="s">
        <v>543</v>
      </c>
      <c r="J91" s="46">
        <v>51902002</v>
      </c>
      <c r="K91" s="46" t="s">
        <v>2482</v>
      </c>
      <c r="L91" s="46" t="s">
        <v>2484</v>
      </c>
      <c r="M91" s="48">
        <v>139900</v>
      </c>
      <c r="N91" s="64">
        <v>0.6</v>
      </c>
      <c r="O91" s="12">
        <f t="shared" si="2"/>
        <v>55960</v>
      </c>
      <c r="P91" s="6" t="s">
        <v>3499</v>
      </c>
    </row>
    <row r="92" spans="1:16" x14ac:dyDescent="0.25">
      <c r="A92" s="6" t="s">
        <v>3508</v>
      </c>
      <c r="B92" s="7">
        <v>46121</v>
      </c>
      <c r="C92" s="7">
        <v>46127</v>
      </c>
      <c r="D92" s="6">
        <v>3271</v>
      </c>
      <c r="E92" s="6">
        <v>336</v>
      </c>
      <c r="F92" s="6">
        <v>4</v>
      </c>
      <c r="G92" s="46">
        <v>7</v>
      </c>
      <c r="H92" s="46">
        <v>81683</v>
      </c>
      <c r="I92" s="46" t="s">
        <v>543</v>
      </c>
      <c r="J92" s="46">
        <v>51902011</v>
      </c>
      <c r="K92" s="46" t="s">
        <v>2482</v>
      </c>
      <c r="L92" s="46" t="s">
        <v>2485</v>
      </c>
      <c r="M92" s="48">
        <v>139900</v>
      </c>
      <c r="N92" s="64">
        <v>0.6</v>
      </c>
      <c r="O92" s="12">
        <f t="shared" si="2"/>
        <v>55960</v>
      </c>
      <c r="P92" s="6" t="s">
        <v>3499</v>
      </c>
    </row>
    <row r="93" spans="1:16" x14ac:dyDescent="0.25">
      <c r="A93" s="6" t="s">
        <v>3508</v>
      </c>
      <c r="B93" s="7">
        <v>46121</v>
      </c>
      <c r="C93" s="7">
        <v>46127</v>
      </c>
      <c r="D93" s="6">
        <v>3271</v>
      </c>
      <c r="E93" s="6">
        <v>336</v>
      </c>
      <c r="F93" s="6">
        <v>4</v>
      </c>
      <c r="G93" s="46">
        <v>7</v>
      </c>
      <c r="H93" s="46">
        <v>81683</v>
      </c>
      <c r="I93" s="46" t="s">
        <v>543</v>
      </c>
      <c r="J93" s="46">
        <v>51902020</v>
      </c>
      <c r="K93" s="46" t="s">
        <v>2482</v>
      </c>
      <c r="L93" s="46" t="s">
        <v>2486</v>
      </c>
      <c r="M93" s="48">
        <v>139900</v>
      </c>
      <c r="N93" s="64">
        <v>0.6</v>
      </c>
      <c r="O93" s="12">
        <f t="shared" si="2"/>
        <v>55960</v>
      </c>
      <c r="P93" s="6" t="s">
        <v>3499</v>
      </c>
    </row>
    <row r="94" spans="1:16" x14ac:dyDescent="0.25">
      <c r="A94" s="6" t="s">
        <v>3508</v>
      </c>
      <c r="B94" s="7">
        <v>46121</v>
      </c>
      <c r="C94" s="7">
        <v>46127</v>
      </c>
      <c r="D94" s="6">
        <v>3271</v>
      </c>
      <c r="E94" s="6">
        <v>336</v>
      </c>
      <c r="F94" s="6">
        <v>4</v>
      </c>
      <c r="G94" s="46">
        <v>7</v>
      </c>
      <c r="H94" s="46">
        <v>81683</v>
      </c>
      <c r="I94" s="46" t="s">
        <v>543</v>
      </c>
      <c r="J94" s="46">
        <v>51902155</v>
      </c>
      <c r="K94" s="46" t="s">
        <v>2487</v>
      </c>
      <c r="L94" s="46" t="s">
        <v>2488</v>
      </c>
      <c r="M94" s="48">
        <v>139900</v>
      </c>
      <c r="N94" s="64">
        <v>0.6</v>
      </c>
      <c r="O94" s="12">
        <f t="shared" si="2"/>
        <v>55960</v>
      </c>
      <c r="P94" s="6" t="s">
        <v>3499</v>
      </c>
    </row>
    <row r="95" spans="1:16" x14ac:dyDescent="0.25">
      <c r="A95" s="6" t="s">
        <v>3508</v>
      </c>
      <c r="B95" s="7">
        <v>46121</v>
      </c>
      <c r="C95" s="7">
        <v>46127</v>
      </c>
      <c r="D95" s="6">
        <v>3271</v>
      </c>
      <c r="E95" s="6">
        <v>336</v>
      </c>
      <c r="F95" s="6">
        <v>4</v>
      </c>
      <c r="G95" s="46">
        <v>7</v>
      </c>
      <c r="H95" s="46">
        <v>81683</v>
      </c>
      <c r="I95" s="46" t="s">
        <v>543</v>
      </c>
      <c r="J95" s="46">
        <v>51902164</v>
      </c>
      <c r="K95" s="46" t="s">
        <v>2487</v>
      </c>
      <c r="L95" s="46" t="s">
        <v>2489</v>
      </c>
      <c r="M95" s="48">
        <v>139900</v>
      </c>
      <c r="N95" s="64">
        <v>0.6</v>
      </c>
      <c r="O95" s="12">
        <f t="shared" si="2"/>
        <v>55960</v>
      </c>
      <c r="P95" s="6" t="s">
        <v>3499</v>
      </c>
    </row>
    <row r="96" spans="1:16" x14ac:dyDescent="0.25">
      <c r="A96" s="6" t="s">
        <v>3508</v>
      </c>
      <c r="B96" s="7">
        <v>46121</v>
      </c>
      <c r="C96" s="7">
        <v>46127</v>
      </c>
      <c r="D96" s="6">
        <v>3271</v>
      </c>
      <c r="E96" s="6">
        <v>336</v>
      </c>
      <c r="F96" s="6">
        <v>4</v>
      </c>
      <c r="G96" s="46">
        <v>7</v>
      </c>
      <c r="H96" s="46">
        <v>81683</v>
      </c>
      <c r="I96" s="46" t="s">
        <v>543</v>
      </c>
      <c r="J96" s="46">
        <v>51902173</v>
      </c>
      <c r="K96" s="46" t="s">
        <v>2487</v>
      </c>
      <c r="L96" s="46" t="s">
        <v>2490</v>
      </c>
      <c r="M96" s="48">
        <v>139900</v>
      </c>
      <c r="N96" s="64">
        <v>0.6</v>
      </c>
      <c r="O96" s="12">
        <f t="shared" si="2"/>
        <v>55960</v>
      </c>
      <c r="P96" s="6" t="s">
        <v>3499</v>
      </c>
    </row>
    <row r="97" spans="1:16" x14ac:dyDescent="0.25">
      <c r="A97" s="6" t="s">
        <v>3508</v>
      </c>
      <c r="B97" s="7">
        <v>46121</v>
      </c>
      <c r="C97" s="7">
        <v>46127</v>
      </c>
      <c r="D97" s="6">
        <v>3271</v>
      </c>
      <c r="E97" s="6">
        <v>336</v>
      </c>
      <c r="F97" s="6">
        <v>4</v>
      </c>
      <c r="G97" s="46">
        <v>7</v>
      </c>
      <c r="H97" s="46">
        <v>81683</v>
      </c>
      <c r="I97" s="46" t="s">
        <v>543</v>
      </c>
      <c r="J97" s="46">
        <v>51902182</v>
      </c>
      <c r="K97" s="46" t="s">
        <v>2487</v>
      </c>
      <c r="L97" s="46" t="s">
        <v>2491</v>
      </c>
      <c r="M97" s="48">
        <v>139900</v>
      </c>
      <c r="N97" s="64">
        <v>0.6</v>
      </c>
      <c r="O97" s="12">
        <f t="shared" si="2"/>
        <v>55960</v>
      </c>
      <c r="P97" s="6" t="s">
        <v>3499</v>
      </c>
    </row>
    <row r="98" spans="1:16" x14ac:dyDescent="0.25">
      <c r="A98" s="6" t="s">
        <v>3508</v>
      </c>
      <c r="B98" s="7">
        <v>46121</v>
      </c>
      <c r="C98" s="7">
        <v>46127</v>
      </c>
      <c r="D98" s="6">
        <v>3271</v>
      </c>
      <c r="E98" s="6">
        <v>336</v>
      </c>
      <c r="F98" s="6">
        <v>4</v>
      </c>
      <c r="G98" s="46">
        <v>7</v>
      </c>
      <c r="H98" s="46">
        <v>81683</v>
      </c>
      <c r="I98" s="46" t="s">
        <v>543</v>
      </c>
      <c r="J98" s="46">
        <v>51902191</v>
      </c>
      <c r="K98" s="46" t="s">
        <v>2492</v>
      </c>
      <c r="L98" s="46" t="s">
        <v>2493</v>
      </c>
      <c r="M98" s="48">
        <v>139900</v>
      </c>
      <c r="N98" s="64">
        <v>0.6</v>
      </c>
      <c r="O98" s="12">
        <f t="shared" si="2"/>
        <v>55960</v>
      </c>
      <c r="P98" s="6" t="s">
        <v>3499</v>
      </c>
    </row>
    <row r="99" spans="1:16" x14ac:dyDescent="0.25">
      <c r="A99" s="6" t="s">
        <v>3508</v>
      </c>
      <c r="B99" s="7">
        <v>46121</v>
      </c>
      <c r="C99" s="7">
        <v>46127</v>
      </c>
      <c r="D99" s="6">
        <v>3271</v>
      </c>
      <c r="E99" s="6">
        <v>336</v>
      </c>
      <c r="F99" s="6">
        <v>4</v>
      </c>
      <c r="G99" s="46">
        <v>7</v>
      </c>
      <c r="H99" s="46">
        <v>81683</v>
      </c>
      <c r="I99" s="46" t="s">
        <v>543</v>
      </c>
      <c r="J99" s="46">
        <v>51902208</v>
      </c>
      <c r="K99" s="46" t="s">
        <v>2492</v>
      </c>
      <c r="L99" s="46" t="s">
        <v>2494</v>
      </c>
      <c r="M99" s="48">
        <v>139900</v>
      </c>
      <c r="N99" s="64">
        <v>0.6</v>
      </c>
      <c r="O99" s="12">
        <f t="shared" si="2"/>
        <v>55960</v>
      </c>
      <c r="P99" s="6" t="s">
        <v>3499</v>
      </c>
    </row>
    <row r="100" spans="1:16" x14ac:dyDescent="0.25">
      <c r="A100" s="6" t="s">
        <v>3508</v>
      </c>
      <c r="B100" s="7">
        <v>46121</v>
      </c>
      <c r="C100" s="7">
        <v>46127</v>
      </c>
      <c r="D100" s="6">
        <v>3271</v>
      </c>
      <c r="E100" s="6">
        <v>336</v>
      </c>
      <c r="F100" s="6">
        <v>4</v>
      </c>
      <c r="G100" s="46">
        <v>7</v>
      </c>
      <c r="H100" s="46">
        <v>81683</v>
      </c>
      <c r="I100" s="46" t="s">
        <v>543</v>
      </c>
      <c r="J100" s="46">
        <v>51902217</v>
      </c>
      <c r="K100" s="46" t="s">
        <v>2492</v>
      </c>
      <c r="L100" s="46" t="s">
        <v>2495</v>
      </c>
      <c r="M100" s="48">
        <v>139900</v>
      </c>
      <c r="N100" s="64">
        <v>0.6</v>
      </c>
      <c r="O100" s="12">
        <f t="shared" si="2"/>
        <v>55960</v>
      </c>
      <c r="P100" s="6" t="s">
        <v>3499</v>
      </c>
    </row>
    <row r="101" spans="1:16" x14ac:dyDescent="0.25">
      <c r="A101" s="6" t="s">
        <v>3508</v>
      </c>
      <c r="B101" s="7">
        <v>46121</v>
      </c>
      <c r="C101" s="7">
        <v>46127</v>
      </c>
      <c r="D101" s="6">
        <v>3271</v>
      </c>
      <c r="E101" s="6">
        <v>336</v>
      </c>
      <c r="F101" s="6">
        <v>4</v>
      </c>
      <c r="G101" s="46">
        <v>7</v>
      </c>
      <c r="H101" s="46">
        <v>81683</v>
      </c>
      <c r="I101" s="46" t="s">
        <v>543</v>
      </c>
      <c r="J101" s="46">
        <v>51902226</v>
      </c>
      <c r="K101" s="46" t="s">
        <v>2492</v>
      </c>
      <c r="L101" s="46" t="s">
        <v>2496</v>
      </c>
      <c r="M101" s="48">
        <v>139900</v>
      </c>
      <c r="N101" s="64">
        <v>0.6</v>
      </c>
      <c r="O101" s="12">
        <f t="shared" si="2"/>
        <v>55960</v>
      </c>
      <c r="P101" s="6" t="s">
        <v>3499</v>
      </c>
    </row>
    <row r="102" spans="1:16" x14ac:dyDescent="0.25">
      <c r="A102" s="6" t="s">
        <v>3508</v>
      </c>
      <c r="B102" s="7">
        <v>46121</v>
      </c>
      <c r="C102" s="7">
        <v>46127</v>
      </c>
      <c r="D102" s="6">
        <v>3271</v>
      </c>
      <c r="E102" s="6">
        <v>336</v>
      </c>
      <c r="F102" s="6">
        <v>4</v>
      </c>
      <c r="G102" s="46">
        <v>7</v>
      </c>
      <c r="H102" s="46">
        <v>81683</v>
      </c>
      <c r="I102" s="46" t="s">
        <v>543</v>
      </c>
      <c r="J102" s="46">
        <v>51902235</v>
      </c>
      <c r="K102" s="46" t="s">
        <v>2497</v>
      </c>
      <c r="L102" s="46" t="s">
        <v>2498</v>
      </c>
      <c r="M102" s="48">
        <v>139900</v>
      </c>
      <c r="N102" s="64">
        <v>0.6</v>
      </c>
      <c r="O102" s="12">
        <f t="shared" si="2"/>
        <v>55960</v>
      </c>
      <c r="P102" s="6" t="s">
        <v>3499</v>
      </c>
    </row>
    <row r="103" spans="1:16" x14ac:dyDescent="0.25">
      <c r="A103" s="6" t="s">
        <v>3508</v>
      </c>
      <c r="B103" s="7">
        <v>46121</v>
      </c>
      <c r="C103" s="7">
        <v>46127</v>
      </c>
      <c r="D103" s="6">
        <v>3271</v>
      </c>
      <c r="E103" s="6">
        <v>336</v>
      </c>
      <c r="F103" s="6">
        <v>4</v>
      </c>
      <c r="G103" s="46">
        <v>7</v>
      </c>
      <c r="H103" s="46">
        <v>81683</v>
      </c>
      <c r="I103" s="46" t="s">
        <v>543</v>
      </c>
      <c r="J103" s="46">
        <v>51902244</v>
      </c>
      <c r="K103" s="46" t="s">
        <v>2497</v>
      </c>
      <c r="L103" s="46" t="s">
        <v>2499</v>
      </c>
      <c r="M103" s="48">
        <v>139900</v>
      </c>
      <c r="N103" s="64">
        <v>0.6</v>
      </c>
      <c r="O103" s="12">
        <f t="shared" si="2"/>
        <v>55960</v>
      </c>
      <c r="P103" s="6" t="s">
        <v>3499</v>
      </c>
    </row>
    <row r="104" spans="1:16" x14ac:dyDescent="0.25">
      <c r="A104" s="6" t="s">
        <v>3508</v>
      </c>
      <c r="B104" s="7">
        <v>46121</v>
      </c>
      <c r="C104" s="7">
        <v>46127</v>
      </c>
      <c r="D104" s="6">
        <v>3271</v>
      </c>
      <c r="E104" s="6">
        <v>336</v>
      </c>
      <c r="F104" s="6">
        <v>4</v>
      </c>
      <c r="G104" s="46">
        <v>7</v>
      </c>
      <c r="H104" s="46">
        <v>81683</v>
      </c>
      <c r="I104" s="46" t="s">
        <v>543</v>
      </c>
      <c r="J104" s="46">
        <v>51902253</v>
      </c>
      <c r="K104" s="46" t="s">
        <v>2497</v>
      </c>
      <c r="L104" s="46" t="s">
        <v>2500</v>
      </c>
      <c r="M104" s="48">
        <v>139900</v>
      </c>
      <c r="N104" s="64">
        <v>0.6</v>
      </c>
      <c r="O104" s="12">
        <f t="shared" si="2"/>
        <v>55960</v>
      </c>
      <c r="P104" s="6" t="s">
        <v>3499</v>
      </c>
    </row>
    <row r="105" spans="1:16" x14ac:dyDescent="0.25">
      <c r="A105" s="6" t="s">
        <v>3508</v>
      </c>
      <c r="B105" s="7">
        <v>46121</v>
      </c>
      <c r="C105" s="7">
        <v>46127</v>
      </c>
      <c r="D105" s="6">
        <v>3271</v>
      </c>
      <c r="E105" s="6">
        <v>336</v>
      </c>
      <c r="F105" s="6">
        <v>4</v>
      </c>
      <c r="G105" s="46">
        <v>7</v>
      </c>
      <c r="H105" s="46">
        <v>81683</v>
      </c>
      <c r="I105" s="46" t="s">
        <v>543</v>
      </c>
      <c r="J105" s="46">
        <v>51902262</v>
      </c>
      <c r="K105" s="46" t="s">
        <v>2497</v>
      </c>
      <c r="L105" s="46" t="s">
        <v>2501</v>
      </c>
      <c r="M105" s="48">
        <v>139900</v>
      </c>
      <c r="N105" s="64">
        <v>0.6</v>
      </c>
      <c r="O105" s="12">
        <f t="shared" si="2"/>
        <v>55960</v>
      </c>
      <c r="P105" s="6" t="s">
        <v>3499</v>
      </c>
    </row>
    <row r="106" spans="1:16" x14ac:dyDescent="0.25">
      <c r="A106" s="6" t="s">
        <v>3508</v>
      </c>
      <c r="B106" s="7">
        <v>46121</v>
      </c>
      <c r="C106" s="7">
        <v>46127</v>
      </c>
      <c r="D106" s="35">
        <v>3271</v>
      </c>
      <c r="E106" s="35">
        <v>336</v>
      </c>
      <c r="F106" s="35">
        <v>4</v>
      </c>
      <c r="G106" s="35">
        <v>7</v>
      </c>
      <c r="H106" s="35">
        <v>81683</v>
      </c>
      <c r="I106" s="35" t="s">
        <v>543</v>
      </c>
      <c r="J106" s="35">
        <v>51901674</v>
      </c>
      <c r="K106" s="35" t="s">
        <v>2502</v>
      </c>
      <c r="L106" s="35" t="s">
        <v>2503</v>
      </c>
      <c r="M106" s="41">
        <v>139900</v>
      </c>
      <c r="N106" s="64">
        <v>0.6</v>
      </c>
      <c r="O106" s="12">
        <f t="shared" si="2"/>
        <v>55960</v>
      </c>
      <c r="P106" s="6" t="s">
        <v>3499</v>
      </c>
    </row>
    <row r="107" spans="1:16" x14ac:dyDescent="0.25">
      <c r="A107" s="6" t="s">
        <v>3508</v>
      </c>
      <c r="B107" s="7">
        <v>46121</v>
      </c>
      <c r="C107" s="7">
        <v>46127</v>
      </c>
      <c r="D107" s="35">
        <v>3271</v>
      </c>
      <c r="E107" s="35">
        <v>336</v>
      </c>
      <c r="F107" s="35">
        <v>4</v>
      </c>
      <c r="G107" s="35">
        <v>7</v>
      </c>
      <c r="H107" s="35">
        <v>81683</v>
      </c>
      <c r="I107" s="35" t="s">
        <v>543</v>
      </c>
      <c r="J107" s="35">
        <v>51901683</v>
      </c>
      <c r="K107" s="35" t="s">
        <v>2502</v>
      </c>
      <c r="L107" s="35" t="s">
        <v>2504</v>
      </c>
      <c r="M107" s="41">
        <v>139900</v>
      </c>
      <c r="N107" s="64">
        <v>0.6</v>
      </c>
      <c r="O107" s="12">
        <f t="shared" si="2"/>
        <v>55960</v>
      </c>
      <c r="P107" s="6" t="s">
        <v>3499</v>
      </c>
    </row>
    <row r="108" spans="1:16" x14ac:dyDescent="0.25">
      <c r="A108" s="6" t="s">
        <v>3508</v>
      </c>
      <c r="B108" s="7">
        <v>46121</v>
      </c>
      <c r="C108" s="7">
        <v>46127</v>
      </c>
      <c r="D108" s="35">
        <v>3271</v>
      </c>
      <c r="E108" s="35">
        <v>336</v>
      </c>
      <c r="F108" s="35">
        <v>4</v>
      </c>
      <c r="G108" s="35">
        <v>7</v>
      </c>
      <c r="H108" s="35">
        <v>81683</v>
      </c>
      <c r="I108" s="35" t="s">
        <v>543</v>
      </c>
      <c r="J108" s="35">
        <v>51901692</v>
      </c>
      <c r="K108" s="35" t="s">
        <v>2502</v>
      </c>
      <c r="L108" s="35" t="s">
        <v>2505</v>
      </c>
      <c r="M108" s="41">
        <v>139900</v>
      </c>
      <c r="N108" s="64">
        <v>0.6</v>
      </c>
      <c r="O108" s="12">
        <f t="shared" si="2"/>
        <v>55960</v>
      </c>
      <c r="P108" s="6" t="s">
        <v>3499</v>
      </c>
    </row>
    <row r="109" spans="1:16" x14ac:dyDescent="0.25">
      <c r="A109" s="6" t="s">
        <v>3508</v>
      </c>
      <c r="B109" s="7">
        <v>46121</v>
      </c>
      <c r="C109" s="7">
        <v>46127</v>
      </c>
      <c r="D109" s="35">
        <v>3271</v>
      </c>
      <c r="E109" s="35">
        <v>336</v>
      </c>
      <c r="F109" s="35">
        <v>4</v>
      </c>
      <c r="G109" s="35">
        <v>7</v>
      </c>
      <c r="H109" s="35">
        <v>81683</v>
      </c>
      <c r="I109" s="35" t="s">
        <v>543</v>
      </c>
      <c r="J109" s="35">
        <v>51901709</v>
      </c>
      <c r="K109" s="35" t="s">
        <v>2502</v>
      </c>
      <c r="L109" s="35" t="s">
        <v>2506</v>
      </c>
      <c r="M109" s="41">
        <v>139900</v>
      </c>
      <c r="N109" s="64">
        <v>0.6</v>
      </c>
      <c r="O109" s="12">
        <f t="shared" si="2"/>
        <v>55960</v>
      </c>
      <c r="P109" s="6" t="s">
        <v>3499</v>
      </c>
    </row>
    <row r="110" spans="1:16" x14ac:dyDescent="0.25">
      <c r="A110" s="6" t="s">
        <v>3508</v>
      </c>
      <c r="B110" s="7">
        <v>46121</v>
      </c>
      <c r="C110" s="7">
        <v>46127</v>
      </c>
      <c r="D110" s="35">
        <v>3271</v>
      </c>
      <c r="E110" s="35">
        <v>336</v>
      </c>
      <c r="F110" s="35">
        <v>4</v>
      </c>
      <c r="G110" s="35">
        <v>7</v>
      </c>
      <c r="H110" s="35">
        <v>81683</v>
      </c>
      <c r="I110" s="35" t="s">
        <v>543</v>
      </c>
      <c r="J110" s="35">
        <v>51901790</v>
      </c>
      <c r="K110" s="35" t="s">
        <v>2507</v>
      </c>
      <c r="L110" s="35" t="s">
        <v>2508</v>
      </c>
      <c r="M110" s="41">
        <v>139900</v>
      </c>
      <c r="N110" s="64">
        <v>0.6</v>
      </c>
      <c r="O110" s="12">
        <f t="shared" si="2"/>
        <v>55960</v>
      </c>
      <c r="P110" s="6" t="s">
        <v>3499</v>
      </c>
    </row>
    <row r="111" spans="1:16" x14ac:dyDescent="0.25">
      <c r="A111" s="6" t="s">
        <v>3508</v>
      </c>
      <c r="B111" s="7">
        <v>46121</v>
      </c>
      <c r="C111" s="7">
        <v>46127</v>
      </c>
      <c r="D111" s="35">
        <v>3271</v>
      </c>
      <c r="E111" s="35">
        <v>336</v>
      </c>
      <c r="F111" s="35">
        <v>4</v>
      </c>
      <c r="G111" s="35">
        <v>7</v>
      </c>
      <c r="H111" s="35">
        <v>81683</v>
      </c>
      <c r="I111" s="35" t="s">
        <v>543</v>
      </c>
      <c r="J111" s="35">
        <v>51901807</v>
      </c>
      <c r="K111" s="35" t="s">
        <v>2507</v>
      </c>
      <c r="L111" s="35" t="s">
        <v>2509</v>
      </c>
      <c r="M111" s="41">
        <v>139900</v>
      </c>
      <c r="N111" s="64">
        <v>0.6</v>
      </c>
      <c r="O111" s="12">
        <f t="shared" si="2"/>
        <v>55960</v>
      </c>
      <c r="P111" s="6" t="s">
        <v>3499</v>
      </c>
    </row>
    <row r="112" spans="1:16" x14ac:dyDescent="0.25">
      <c r="A112" s="6" t="s">
        <v>3508</v>
      </c>
      <c r="B112" s="7">
        <v>46121</v>
      </c>
      <c r="C112" s="7">
        <v>46127</v>
      </c>
      <c r="D112" s="35">
        <v>3271</v>
      </c>
      <c r="E112" s="35">
        <v>336</v>
      </c>
      <c r="F112" s="35">
        <v>4</v>
      </c>
      <c r="G112" s="35">
        <v>7</v>
      </c>
      <c r="H112" s="35">
        <v>81683</v>
      </c>
      <c r="I112" s="35" t="s">
        <v>543</v>
      </c>
      <c r="J112" s="35">
        <v>51901816</v>
      </c>
      <c r="K112" s="35" t="s">
        <v>2507</v>
      </c>
      <c r="L112" s="35" t="s">
        <v>2510</v>
      </c>
      <c r="M112" s="41">
        <v>139900</v>
      </c>
      <c r="N112" s="64">
        <v>0.6</v>
      </c>
      <c r="O112" s="12">
        <f t="shared" si="2"/>
        <v>55960</v>
      </c>
      <c r="P112" s="6" t="s">
        <v>3499</v>
      </c>
    </row>
    <row r="113" spans="1:16" x14ac:dyDescent="0.25">
      <c r="A113" s="6" t="s">
        <v>3508</v>
      </c>
      <c r="B113" s="7">
        <v>46121</v>
      </c>
      <c r="C113" s="7">
        <v>46127</v>
      </c>
      <c r="D113" s="35">
        <v>3271</v>
      </c>
      <c r="E113" s="35">
        <v>336</v>
      </c>
      <c r="F113" s="35">
        <v>4</v>
      </c>
      <c r="G113" s="35">
        <v>7</v>
      </c>
      <c r="H113" s="35">
        <v>81683</v>
      </c>
      <c r="I113" s="35" t="s">
        <v>543</v>
      </c>
      <c r="J113" s="35">
        <v>51901825</v>
      </c>
      <c r="K113" s="35" t="s">
        <v>2507</v>
      </c>
      <c r="L113" s="35" t="s">
        <v>2511</v>
      </c>
      <c r="M113" s="41">
        <v>139900</v>
      </c>
      <c r="N113" s="64">
        <v>0.6</v>
      </c>
      <c r="O113" s="12">
        <f t="shared" si="2"/>
        <v>55960</v>
      </c>
      <c r="P113" s="6" t="s">
        <v>3499</v>
      </c>
    </row>
    <row r="114" spans="1:16" x14ac:dyDescent="0.25">
      <c r="A114" s="6" t="s">
        <v>3508</v>
      </c>
      <c r="B114" s="7">
        <v>46121</v>
      </c>
      <c r="C114" s="7">
        <v>46127</v>
      </c>
      <c r="D114" s="35">
        <v>3271</v>
      </c>
      <c r="E114" s="35">
        <v>336</v>
      </c>
      <c r="F114" s="35">
        <v>4</v>
      </c>
      <c r="G114" s="35">
        <v>7</v>
      </c>
      <c r="H114" s="35">
        <v>81683</v>
      </c>
      <c r="I114" s="35" t="s">
        <v>543</v>
      </c>
      <c r="J114" s="35">
        <v>51901834</v>
      </c>
      <c r="K114" s="35" t="s">
        <v>2512</v>
      </c>
      <c r="L114" s="35" t="s">
        <v>2513</v>
      </c>
      <c r="M114" s="41">
        <v>139900</v>
      </c>
      <c r="N114" s="64">
        <v>0.6</v>
      </c>
      <c r="O114" s="12">
        <f t="shared" si="2"/>
        <v>55960</v>
      </c>
      <c r="P114" s="6" t="s">
        <v>3499</v>
      </c>
    </row>
    <row r="115" spans="1:16" x14ac:dyDescent="0.25">
      <c r="A115" s="6" t="s">
        <v>3508</v>
      </c>
      <c r="B115" s="7">
        <v>46121</v>
      </c>
      <c r="C115" s="7">
        <v>46127</v>
      </c>
      <c r="D115" s="35">
        <v>3271</v>
      </c>
      <c r="E115" s="35">
        <v>336</v>
      </c>
      <c r="F115" s="35">
        <v>4</v>
      </c>
      <c r="G115" s="35">
        <v>7</v>
      </c>
      <c r="H115" s="35">
        <v>81683</v>
      </c>
      <c r="I115" s="35" t="s">
        <v>543</v>
      </c>
      <c r="J115" s="35">
        <v>51901843</v>
      </c>
      <c r="K115" s="35" t="s">
        <v>2512</v>
      </c>
      <c r="L115" s="35" t="s">
        <v>2514</v>
      </c>
      <c r="M115" s="41">
        <v>139900</v>
      </c>
      <c r="N115" s="64">
        <v>0.6</v>
      </c>
      <c r="O115" s="12">
        <f t="shared" si="2"/>
        <v>55960</v>
      </c>
      <c r="P115" s="6" t="s">
        <v>3499</v>
      </c>
    </row>
    <row r="116" spans="1:16" x14ac:dyDescent="0.25">
      <c r="A116" s="6" t="s">
        <v>3508</v>
      </c>
      <c r="B116" s="7">
        <v>46121</v>
      </c>
      <c r="C116" s="7">
        <v>46127</v>
      </c>
      <c r="D116" s="35">
        <v>3271</v>
      </c>
      <c r="E116" s="35">
        <v>336</v>
      </c>
      <c r="F116" s="35">
        <v>4</v>
      </c>
      <c r="G116" s="35">
        <v>7</v>
      </c>
      <c r="H116" s="35">
        <v>81683</v>
      </c>
      <c r="I116" s="35" t="s">
        <v>543</v>
      </c>
      <c r="J116" s="35">
        <v>51901852</v>
      </c>
      <c r="K116" s="35" t="s">
        <v>2512</v>
      </c>
      <c r="L116" s="35" t="s">
        <v>2515</v>
      </c>
      <c r="M116" s="41">
        <v>139900</v>
      </c>
      <c r="N116" s="64">
        <v>0.6</v>
      </c>
      <c r="O116" s="12">
        <f t="shared" si="2"/>
        <v>55960</v>
      </c>
      <c r="P116" s="6" t="s">
        <v>3499</v>
      </c>
    </row>
    <row r="117" spans="1:16" x14ac:dyDescent="0.25">
      <c r="A117" s="6" t="s">
        <v>3508</v>
      </c>
      <c r="B117" s="7">
        <v>46121</v>
      </c>
      <c r="C117" s="7">
        <v>46127</v>
      </c>
      <c r="D117" s="35">
        <v>3271</v>
      </c>
      <c r="E117" s="35">
        <v>336</v>
      </c>
      <c r="F117" s="35">
        <v>4</v>
      </c>
      <c r="G117" s="35">
        <v>7</v>
      </c>
      <c r="H117" s="35">
        <v>81683</v>
      </c>
      <c r="I117" s="35" t="s">
        <v>543</v>
      </c>
      <c r="J117" s="35">
        <v>51901861</v>
      </c>
      <c r="K117" s="35" t="s">
        <v>2512</v>
      </c>
      <c r="L117" s="35" t="s">
        <v>2516</v>
      </c>
      <c r="M117" s="41">
        <v>139900</v>
      </c>
      <c r="N117" s="64">
        <v>0.6</v>
      </c>
      <c r="O117" s="12">
        <f t="shared" si="2"/>
        <v>55960</v>
      </c>
      <c r="P117" s="6" t="s">
        <v>3499</v>
      </c>
    </row>
    <row r="118" spans="1:16" x14ac:dyDescent="0.25">
      <c r="A118" s="6" t="s">
        <v>3508</v>
      </c>
      <c r="B118" s="7">
        <v>46121</v>
      </c>
      <c r="C118" s="7">
        <v>46127</v>
      </c>
      <c r="D118" s="35">
        <v>3271</v>
      </c>
      <c r="E118" s="35">
        <v>336</v>
      </c>
      <c r="F118" s="35">
        <v>4</v>
      </c>
      <c r="G118" s="35">
        <v>7</v>
      </c>
      <c r="H118" s="35">
        <v>81683</v>
      </c>
      <c r="I118" s="35" t="s">
        <v>543</v>
      </c>
      <c r="J118" s="35">
        <v>51902039</v>
      </c>
      <c r="K118" s="35" t="s">
        <v>2517</v>
      </c>
      <c r="L118" s="35" t="s">
        <v>2518</v>
      </c>
      <c r="M118" s="41">
        <v>139900</v>
      </c>
      <c r="N118" s="64">
        <v>0.6</v>
      </c>
      <c r="O118" s="12">
        <f t="shared" si="2"/>
        <v>55960</v>
      </c>
      <c r="P118" s="6" t="s">
        <v>3499</v>
      </c>
    </row>
    <row r="119" spans="1:16" x14ac:dyDescent="0.25">
      <c r="A119" s="6" t="s">
        <v>3508</v>
      </c>
      <c r="B119" s="7">
        <v>46121</v>
      </c>
      <c r="C119" s="7">
        <v>46127</v>
      </c>
      <c r="D119" s="35">
        <v>3271</v>
      </c>
      <c r="E119" s="35">
        <v>336</v>
      </c>
      <c r="F119" s="35">
        <v>4</v>
      </c>
      <c r="G119" s="35">
        <v>7</v>
      </c>
      <c r="H119" s="35">
        <v>81683</v>
      </c>
      <c r="I119" s="35" t="s">
        <v>543</v>
      </c>
      <c r="J119" s="35">
        <v>51902048</v>
      </c>
      <c r="K119" s="35" t="s">
        <v>2517</v>
      </c>
      <c r="L119" s="35" t="s">
        <v>2519</v>
      </c>
      <c r="M119" s="41">
        <v>139900</v>
      </c>
      <c r="N119" s="64">
        <v>0.6</v>
      </c>
      <c r="O119" s="12">
        <f t="shared" si="2"/>
        <v>55960</v>
      </c>
      <c r="P119" s="6" t="s">
        <v>3499</v>
      </c>
    </row>
    <row r="120" spans="1:16" x14ac:dyDescent="0.25">
      <c r="A120" s="6" t="s">
        <v>3508</v>
      </c>
      <c r="B120" s="7">
        <v>46121</v>
      </c>
      <c r="C120" s="7">
        <v>46127</v>
      </c>
      <c r="D120" s="35">
        <v>3271</v>
      </c>
      <c r="E120" s="35">
        <v>336</v>
      </c>
      <c r="F120" s="35">
        <v>4</v>
      </c>
      <c r="G120" s="35">
        <v>7</v>
      </c>
      <c r="H120" s="35">
        <v>81683</v>
      </c>
      <c r="I120" s="35" t="s">
        <v>543</v>
      </c>
      <c r="J120" s="35">
        <v>51902057</v>
      </c>
      <c r="K120" s="35" t="s">
        <v>2517</v>
      </c>
      <c r="L120" s="35" t="s">
        <v>2520</v>
      </c>
      <c r="M120" s="41">
        <v>139900</v>
      </c>
      <c r="N120" s="64">
        <v>0.6</v>
      </c>
      <c r="O120" s="12">
        <f t="shared" si="2"/>
        <v>55960</v>
      </c>
      <c r="P120" s="6" t="s">
        <v>3499</v>
      </c>
    </row>
    <row r="121" spans="1:16" x14ac:dyDescent="0.25">
      <c r="A121" s="6" t="s">
        <v>3508</v>
      </c>
      <c r="B121" s="7">
        <v>46121</v>
      </c>
      <c r="C121" s="7">
        <v>46127</v>
      </c>
      <c r="D121" s="35">
        <v>3271</v>
      </c>
      <c r="E121" s="35">
        <v>336</v>
      </c>
      <c r="F121" s="35">
        <v>4</v>
      </c>
      <c r="G121" s="35">
        <v>7</v>
      </c>
      <c r="H121" s="35">
        <v>81683</v>
      </c>
      <c r="I121" s="35" t="s">
        <v>543</v>
      </c>
      <c r="J121" s="35">
        <v>51902066</v>
      </c>
      <c r="K121" s="35" t="s">
        <v>2517</v>
      </c>
      <c r="L121" s="35" t="s">
        <v>2521</v>
      </c>
      <c r="M121" s="41">
        <v>139900</v>
      </c>
      <c r="N121" s="64">
        <v>0.6</v>
      </c>
      <c r="O121" s="12">
        <f t="shared" si="2"/>
        <v>55960</v>
      </c>
      <c r="P121" s="6" t="s">
        <v>3499</v>
      </c>
    </row>
    <row r="122" spans="1:16" x14ac:dyDescent="0.25">
      <c r="A122" s="6" t="s">
        <v>3508</v>
      </c>
      <c r="B122" s="7">
        <v>46121</v>
      </c>
      <c r="C122" s="7">
        <v>46127</v>
      </c>
      <c r="D122" s="35">
        <v>3271</v>
      </c>
      <c r="E122" s="35">
        <v>336</v>
      </c>
      <c r="F122" s="35">
        <v>4</v>
      </c>
      <c r="G122" s="35">
        <v>7</v>
      </c>
      <c r="H122" s="35">
        <v>81683</v>
      </c>
      <c r="I122" s="35" t="s">
        <v>543</v>
      </c>
      <c r="J122" s="35">
        <v>51902075</v>
      </c>
      <c r="K122" s="35" t="s">
        <v>2522</v>
      </c>
      <c r="L122" s="35" t="s">
        <v>2523</v>
      </c>
      <c r="M122" s="41">
        <v>139900</v>
      </c>
      <c r="N122" s="64">
        <v>0.6</v>
      </c>
      <c r="O122" s="12">
        <f t="shared" si="2"/>
        <v>55960</v>
      </c>
      <c r="P122" s="6" t="s">
        <v>3499</v>
      </c>
    </row>
    <row r="123" spans="1:16" x14ac:dyDescent="0.25">
      <c r="A123" s="6" t="s">
        <v>3508</v>
      </c>
      <c r="B123" s="7">
        <v>46121</v>
      </c>
      <c r="C123" s="7">
        <v>46127</v>
      </c>
      <c r="D123" s="35">
        <v>3271</v>
      </c>
      <c r="E123" s="35">
        <v>336</v>
      </c>
      <c r="F123" s="35">
        <v>4</v>
      </c>
      <c r="G123" s="35">
        <v>7</v>
      </c>
      <c r="H123" s="35">
        <v>81683</v>
      </c>
      <c r="I123" s="35" t="s">
        <v>543</v>
      </c>
      <c r="J123" s="35">
        <v>51902084</v>
      </c>
      <c r="K123" s="35" t="s">
        <v>2522</v>
      </c>
      <c r="L123" s="35" t="s">
        <v>2524</v>
      </c>
      <c r="M123" s="41">
        <v>139900</v>
      </c>
      <c r="N123" s="64">
        <v>0.6</v>
      </c>
      <c r="O123" s="12">
        <f t="shared" si="2"/>
        <v>55960</v>
      </c>
      <c r="P123" s="6" t="s">
        <v>3499</v>
      </c>
    </row>
    <row r="124" spans="1:16" x14ac:dyDescent="0.25">
      <c r="A124" s="6" t="s">
        <v>3508</v>
      </c>
      <c r="B124" s="7">
        <v>46121</v>
      </c>
      <c r="C124" s="7">
        <v>46127</v>
      </c>
      <c r="D124" s="35">
        <v>3271</v>
      </c>
      <c r="E124" s="35">
        <v>336</v>
      </c>
      <c r="F124" s="35">
        <v>4</v>
      </c>
      <c r="G124" s="35">
        <v>7</v>
      </c>
      <c r="H124" s="35">
        <v>81683</v>
      </c>
      <c r="I124" s="35" t="s">
        <v>543</v>
      </c>
      <c r="J124" s="35">
        <v>51902093</v>
      </c>
      <c r="K124" s="35" t="s">
        <v>2522</v>
      </c>
      <c r="L124" s="35" t="s">
        <v>2525</v>
      </c>
      <c r="M124" s="41">
        <v>139900</v>
      </c>
      <c r="N124" s="64">
        <v>0.6</v>
      </c>
      <c r="O124" s="12">
        <f t="shared" si="2"/>
        <v>55960</v>
      </c>
      <c r="P124" s="6" t="s">
        <v>3499</v>
      </c>
    </row>
    <row r="125" spans="1:16" x14ac:dyDescent="0.25">
      <c r="A125" s="6" t="s">
        <v>3508</v>
      </c>
      <c r="B125" s="7">
        <v>46121</v>
      </c>
      <c r="C125" s="7">
        <v>46127</v>
      </c>
      <c r="D125" s="35">
        <v>3271</v>
      </c>
      <c r="E125" s="35">
        <v>336</v>
      </c>
      <c r="F125" s="35">
        <v>4</v>
      </c>
      <c r="G125" s="35">
        <v>7</v>
      </c>
      <c r="H125" s="35">
        <v>81683</v>
      </c>
      <c r="I125" s="35" t="s">
        <v>543</v>
      </c>
      <c r="J125" s="35">
        <v>51902100</v>
      </c>
      <c r="K125" s="35" t="s">
        <v>2522</v>
      </c>
      <c r="L125" s="35" t="s">
        <v>2526</v>
      </c>
      <c r="M125" s="41">
        <v>139900</v>
      </c>
      <c r="N125" s="64">
        <v>0.6</v>
      </c>
      <c r="O125" s="12">
        <f t="shared" si="2"/>
        <v>55960</v>
      </c>
      <c r="P125" s="6" t="s">
        <v>3499</v>
      </c>
    </row>
    <row r="126" spans="1:16" x14ac:dyDescent="0.25">
      <c r="A126" s="6" t="s">
        <v>3508</v>
      </c>
      <c r="B126" s="7">
        <v>46121</v>
      </c>
      <c r="C126" s="7">
        <v>46127</v>
      </c>
      <c r="D126" s="35">
        <v>3271</v>
      </c>
      <c r="E126" s="35">
        <v>336</v>
      </c>
      <c r="F126" s="35">
        <v>4</v>
      </c>
      <c r="G126" s="35">
        <v>7</v>
      </c>
      <c r="H126" s="35">
        <v>81683</v>
      </c>
      <c r="I126" s="35" t="s">
        <v>543</v>
      </c>
      <c r="J126" s="35">
        <v>51902119</v>
      </c>
      <c r="K126" s="35" t="s">
        <v>2527</v>
      </c>
      <c r="L126" s="35" t="s">
        <v>2528</v>
      </c>
      <c r="M126" s="41">
        <v>139900</v>
      </c>
      <c r="N126" s="64">
        <v>0.6</v>
      </c>
      <c r="O126" s="12">
        <f t="shared" si="2"/>
        <v>55960</v>
      </c>
      <c r="P126" s="6" t="s">
        <v>3499</v>
      </c>
    </row>
    <row r="127" spans="1:16" x14ac:dyDescent="0.25">
      <c r="A127" s="6" t="s">
        <v>3508</v>
      </c>
      <c r="B127" s="7">
        <v>46121</v>
      </c>
      <c r="C127" s="7">
        <v>46127</v>
      </c>
      <c r="D127" s="35">
        <v>3271</v>
      </c>
      <c r="E127" s="35">
        <v>336</v>
      </c>
      <c r="F127" s="35">
        <v>4</v>
      </c>
      <c r="G127" s="35">
        <v>7</v>
      </c>
      <c r="H127" s="35">
        <v>81683</v>
      </c>
      <c r="I127" s="35" t="s">
        <v>543</v>
      </c>
      <c r="J127" s="35">
        <v>51902128</v>
      </c>
      <c r="K127" s="35" t="s">
        <v>2527</v>
      </c>
      <c r="L127" s="35" t="s">
        <v>2529</v>
      </c>
      <c r="M127" s="41">
        <v>139900</v>
      </c>
      <c r="N127" s="64">
        <v>0.6</v>
      </c>
      <c r="O127" s="12">
        <f t="shared" si="2"/>
        <v>55960</v>
      </c>
      <c r="P127" s="6" t="s">
        <v>3499</v>
      </c>
    </row>
    <row r="128" spans="1:16" x14ac:dyDescent="0.25">
      <c r="A128" s="6" t="s">
        <v>3508</v>
      </c>
      <c r="B128" s="7">
        <v>46121</v>
      </c>
      <c r="C128" s="7">
        <v>46127</v>
      </c>
      <c r="D128" s="35">
        <v>3271</v>
      </c>
      <c r="E128" s="35">
        <v>336</v>
      </c>
      <c r="F128" s="35">
        <v>4</v>
      </c>
      <c r="G128" s="35">
        <v>7</v>
      </c>
      <c r="H128" s="35">
        <v>81683</v>
      </c>
      <c r="I128" s="35" t="s">
        <v>543</v>
      </c>
      <c r="J128" s="35">
        <v>51902137</v>
      </c>
      <c r="K128" s="35" t="s">
        <v>2527</v>
      </c>
      <c r="L128" s="35" t="s">
        <v>2530</v>
      </c>
      <c r="M128" s="41">
        <v>139900</v>
      </c>
      <c r="N128" s="64">
        <v>0.6</v>
      </c>
      <c r="O128" s="12">
        <f t="shared" si="2"/>
        <v>55960</v>
      </c>
      <c r="P128" s="6" t="s">
        <v>3499</v>
      </c>
    </row>
    <row r="129" spans="1:16" x14ac:dyDescent="0.25">
      <c r="A129" s="6" t="s">
        <v>3508</v>
      </c>
      <c r="B129" s="7">
        <v>46121</v>
      </c>
      <c r="C129" s="7">
        <v>46127</v>
      </c>
      <c r="D129" s="35">
        <v>3271</v>
      </c>
      <c r="E129" s="35">
        <v>336</v>
      </c>
      <c r="F129" s="35">
        <v>4</v>
      </c>
      <c r="G129" s="35">
        <v>7</v>
      </c>
      <c r="H129" s="35">
        <v>81683</v>
      </c>
      <c r="I129" s="35" t="s">
        <v>543</v>
      </c>
      <c r="J129" s="35">
        <v>51902146</v>
      </c>
      <c r="K129" s="35" t="s">
        <v>2527</v>
      </c>
      <c r="L129" s="35" t="s">
        <v>2531</v>
      </c>
      <c r="M129" s="41">
        <v>139900</v>
      </c>
      <c r="N129" s="64">
        <v>0.6</v>
      </c>
      <c r="O129" s="12">
        <f t="shared" si="2"/>
        <v>55960</v>
      </c>
      <c r="P129" s="6" t="s">
        <v>3499</v>
      </c>
    </row>
    <row r="130" spans="1:16" x14ac:dyDescent="0.25">
      <c r="A130" s="6" t="s">
        <v>3508</v>
      </c>
      <c r="B130" s="45">
        <v>46121</v>
      </c>
      <c r="C130" s="45">
        <v>46127</v>
      </c>
      <c r="D130" s="8">
        <v>3271</v>
      </c>
      <c r="E130" s="8">
        <v>336</v>
      </c>
      <c r="F130" s="8">
        <v>4</v>
      </c>
      <c r="G130" s="8">
        <v>4</v>
      </c>
      <c r="H130" s="8">
        <v>81221</v>
      </c>
      <c r="I130" s="8" t="s">
        <v>543</v>
      </c>
      <c r="J130" s="8">
        <v>51679059</v>
      </c>
      <c r="K130" s="8" t="s">
        <v>2532</v>
      </c>
      <c r="L130" s="8" t="s">
        <v>2533</v>
      </c>
      <c r="M130" s="10">
        <v>169900</v>
      </c>
      <c r="N130" s="64">
        <v>0.6</v>
      </c>
      <c r="O130" s="12">
        <f t="shared" si="2"/>
        <v>67960</v>
      </c>
      <c r="P130" s="6" t="s">
        <v>3499</v>
      </c>
    </row>
    <row r="131" spans="1:16" x14ac:dyDescent="0.25">
      <c r="A131" s="6" t="s">
        <v>3508</v>
      </c>
      <c r="B131" s="45">
        <v>46121</v>
      </c>
      <c r="C131" s="45">
        <v>46127</v>
      </c>
      <c r="D131" s="8">
        <v>3271</v>
      </c>
      <c r="E131" s="8">
        <v>336</v>
      </c>
      <c r="F131" s="8">
        <v>4</v>
      </c>
      <c r="G131" s="8">
        <v>4</v>
      </c>
      <c r="H131" s="8">
        <v>81221</v>
      </c>
      <c r="I131" s="8" t="s">
        <v>543</v>
      </c>
      <c r="J131" s="8">
        <v>51679068</v>
      </c>
      <c r="K131" s="8" t="s">
        <v>2532</v>
      </c>
      <c r="L131" s="8" t="s">
        <v>2534</v>
      </c>
      <c r="M131" s="10">
        <v>169900</v>
      </c>
      <c r="N131" s="64">
        <v>0.6</v>
      </c>
      <c r="O131" s="12">
        <f t="shared" ref="O131:O194" si="3">M131-((60*M131)/100)</f>
        <v>67960</v>
      </c>
      <c r="P131" s="6" t="s">
        <v>3499</v>
      </c>
    </row>
    <row r="132" spans="1:16" x14ac:dyDescent="0.25">
      <c r="A132" s="6" t="s">
        <v>3508</v>
      </c>
      <c r="B132" s="45">
        <v>46121</v>
      </c>
      <c r="C132" s="45">
        <v>46127</v>
      </c>
      <c r="D132" s="8">
        <v>3271</v>
      </c>
      <c r="E132" s="8">
        <v>336</v>
      </c>
      <c r="F132" s="8">
        <v>4</v>
      </c>
      <c r="G132" s="8">
        <v>4</v>
      </c>
      <c r="H132" s="8">
        <v>81221</v>
      </c>
      <c r="I132" s="8" t="s">
        <v>543</v>
      </c>
      <c r="J132" s="8">
        <v>51679077</v>
      </c>
      <c r="K132" s="8" t="s">
        <v>2532</v>
      </c>
      <c r="L132" s="8" t="s">
        <v>2535</v>
      </c>
      <c r="M132" s="10">
        <v>169900</v>
      </c>
      <c r="N132" s="64">
        <v>0.6</v>
      </c>
      <c r="O132" s="12">
        <f t="shared" si="3"/>
        <v>67960</v>
      </c>
      <c r="P132" s="6" t="s">
        <v>3499</v>
      </c>
    </row>
    <row r="133" spans="1:16" x14ac:dyDescent="0.25">
      <c r="A133" s="6" t="s">
        <v>3508</v>
      </c>
      <c r="B133" s="45">
        <v>46121</v>
      </c>
      <c r="C133" s="45">
        <v>46127</v>
      </c>
      <c r="D133" s="8">
        <v>3271</v>
      </c>
      <c r="E133" s="8">
        <v>336</v>
      </c>
      <c r="F133" s="8">
        <v>4</v>
      </c>
      <c r="G133" s="8">
        <v>4</v>
      </c>
      <c r="H133" s="8">
        <v>81221</v>
      </c>
      <c r="I133" s="8" t="s">
        <v>543</v>
      </c>
      <c r="J133" s="8">
        <v>51679086</v>
      </c>
      <c r="K133" s="8" t="s">
        <v>2532</v>
      </c>
      <c r="L133" s="8" t="s">
        <v>2536</v>
      </c>
      <c r="M133" s="10">
        <v>169900</v>
      </c>
      <c r="N133" s="64">
        <v>0.6</v>
      </c>
      <c r="O133" s="12">
        <f t="shared" si="3"/>
        <v>67960</v>
      </c>
      <c r="P133" s="6" t="s">
        <v>3499</v>
      </c>
    </row>
    <row r="134" spans="1:16" x14ac:dyDescent="0.25">
      <c r="A134" s="6" t="s">
        <v>3508</v>
      </c>
      <c r="B134" s="45">
        <v>46121</v>
      </c>
      <c r="C134" s="45">
        <v>46127</v>
      </c>
      <c r="D134" s="8">
        <v>3271</v>
      </c>
      <c r="E134" s="8">
        <v>336</v>
      </c>
      <c r="F134" s="8">
        <v>4</v>
      </c>
      <c r="G134" s="8">
        <v>4</v>
      </c>
      <c r="H134" s="8">
        <v>81683</v>
      </c>
      <c r="I134" s="8" t="s">
        <v>543</v>
      </c>
      <c r="J134" s="8">
        <v>51684794</v>
      </c>
      <c r="K134" s="8" t="s">
        <v>2537</v>
      </c>
      <c r="L134" s="8" t="s">
        <v>2538</v>
      </c>
      <c r="M134" s="10">
        <v>139900</v>
      </c>
      <c r="N134" s="64">
        <v>0.6</v>
      </c>
      <c r="O134" s="12">
        <f t="shared" si="3"/>
        <v>55960</v>
      </c>
      <c r="P134" s="6" t="s">
        <v>3499</v>
      </c>
    </row>
    <row r="135" spans="1:16" x14ac:dyDescent="0.25">
      <c r="A135" s="6" t="s">
        <v>3508</v>
      </c>
      <c r="B135" s="45">
        <v>46121</v>
      </c>
      <c r="C135" s="45">
        <v>46127</v>
      </c>
      <c r="D135" s="8">
        <v>3271</v>
      </c>
      <c r="E135" s="8">
        <v>336</v>
      </c>
      <c r="F135" s="8">
        <v>4</v>
      </c>
      <c r="G135" s="8">
        <v>4</v>
      </c>
      <c r="H135" s="8">
        <v>81683</v>
      </c>
      <c r="I135" s="8" t="s">
        <v>543</v>
      </c>
      <c r="J135" s="8">
        <v>51684801</v>
      </c>
      <c r="K135" s="8" t="s">
        <v>2537</v>
      </c>
      <c r="L135" s="8" t="s">
        <v>2539</v>
      </c>
      <c r="M135" s="10">
        <v>139900</v>
      </c>
      <c r="N135" s="64">
        <v>0.6</v>
      </c>
      <c r="O135" s="12">
        <f t="shared" si="3"/>
        <v>55960</v>
      </c>
      <c r="P135" s="6" t="s">
        <v>3499</v>
      </c>
    </row>
    <row r="136" spans="1:16" x14ac:dyDescent="0.25">
      <c r="A136" s="6" t="s">
        <v>3508</v>
      </c>
      <c r="B136" s="45">
        <v>46121</v>
      </c>
      <c r="C136" s="45">
        <v>46127</v>
      </c>
      <c r="D136" s="8">
        <v>3271</v>
      </c>
      <c r="E136" s="8">
        <v>336</v>
      </c>
      <c r="F136" s="8">
        <v>4</v>
      </c>
      <c r="G136" s="8">
        <v>4</v>
      </c>
      <c r="H136" s="8">
        <v>81683</v>
      </c>
      <c r="I136" s="8" t="s">
        <v>543</v>
      </c>
      <c r="J136" s="8">
        <v>51684810</v>
      </c>
      <c r="K136" s="8" t="s">
        <v>2537</v>
      </c>
      <c r="L136" s="8" t="s">
        <v>2540</v>
      </c>
      <c r="M136" s="10">
        <v>139900</v>
      </c>
      <c r="N136" s="64">
        <v>0.6</v>
      </c>
      <c r="O136" s="12">
        <f t="shared" si="3"/>
        <v>55960</v>
      </c>
      <c r="P136" s="6" t="s">
        <v>3499</v>
      </c>
    </row>
    <row r="137" spans="1:16" x14ac:dyDescent="0.25">
      <c r="A137" s="6" t="s">
        <v>3508</v>
      </c>
      <c r="B137" s="45">
        <v>46121</v>
      </c>
      <c r="C137" s="45">
        <v>46127</v>
      </c>
      <c r="D137" s="8">
        <v>3271</v>
      </c>
      <c r="E137" s="8">
        <v>336</v>
      </c>
      <c r="F137" s="8">
        <v>4</v>
      </c>
      <c r="G137" s="8">
        <v>4</v>
      </c>
      <c r="H137" s="8">
        <v>81683</v>
      </c>
      <c r="I137" s="8" t="s">
        <v>543</v>
      </c>
      <c r="J137" s="8">
        <v>51684829</v>
      </c>
      <c r="K137" s="8" t="s">
        <v>2537</v>
      </c>
      <c r="L137" s="8" t="s">
        <v>2541</v>
      </c>
      <c r="M137" s="10">
        <v>139900</v>
      </c>
      <c r="N137" s="64">
        <v>0.6</v>
      </c>
      <c r="O137" s="12">
        <f t="shared" si="3"/>
        <v>55960</v>
      </c>
      <c r="P137" s="6" t="s">
        <v>3499</v>
      </c>
    </row>
    <row r="138" spans="1:16" x14ac:dyDescent="0.25">
      <c r="A138" s="6" t="s">
        <v>3508</v>
      </c>
      <c r="B138" s="45">
        <v>46121</v>
      </c>
      <c r="C138" s="45">
        <v>46127</v>
      </c>
      <c r="D138" s="8">
        <v>3271</v>
      </c>
      <c r="E138" s="8">
        <v>336</v>
      </c>
      <c r="F138" s="8">
        <v>4</v>
      </c>
      <c r="G138" s="8">
        <v>4</v>
      </c>
      <c r="H138" s="8">
        <v>81683</v>
      </c>
      <c r="I138" s="8" t="s">
        <v>543</v>
      </c>
      <c r="J138" s="8">
        <v>51684838</v>
      </c>
      <c r="K138" s="8" t="s">
        <v>2542</v>
      </c>
      <c r="L138" s="8" t="s">
        <v>2543</v>
      </c>
      <c r="M138" s="10">
        <v>139900</v>
      </c>
      <c r="N138" s="64">
        <v>0.6</v>
      </c>
      <c r="O138" s="12">
        <f t="shared" si="3"/>
        <v>55960</v>
      </c>
      <c r="P138" s="6" t="s">
        <v>3499</v>
      </c>
    </row>
    <row r="139" spans="1:16" x14ac:dyDescent="0.25">
      <c r="A139" s="6" t="s">
        <v>3508</v>
      </c>
      <c r="B139" s="45">
        <v>46121</v>
      </c>
      <c r="C139" s="45">
        <v>46127</v>
      </c>
      <c r="D139" s="8">
        <v>3271</v>
      </c>
      <c r="E139" s="8">
        <v>336</v>
      </c>
      <c r="F139" s="8">
        <v>4</v>
      </c>
      <c r="G139" s="8">
        <v>4</v>
      </c>
      <c r="H139" s="8">
        <v>81683</v>
      </c>
      <c r="I139" s="8" t="s">
        <v>543</v>
      </c>
      <c r="J139" s="8">
        <v>51684847</v>
      </c>
      <c r="K139" s="8" t="s">
        <v>2542</v>
      </c>
      <c r="L139" s="8" t="s">
        <v>2544</v>
      </c>
      <c r="M139" s="10">
        <v>139900</v>
      </c>
      <c r="N139" s="64">
        <v>0.6</v>
      </c>
      <c r="O139" s="12">
        <f t="shared" si="3"/>
        <v>55960</v>
      </c>
      <c r="P139" s="6" t="s">
        <v>3499</v>
      </c>
    </row>
    <row r="140" spans="1:16" x14ac:dyDescent="0.25">
      <c r="A140" s="6" t="s">
        <v>3508</v>
      </c>
      <c r="B140" s="45">
        <v>46121</v>
      </c>
      <c r="C140" s="45">
        <v>46127</v>
      </c>
      <c r="D140" s="8">
        <v>3271</v>
      </c>
      <c r="E140" s="8">
        <v>336</v>
      </c>
      <c r="F140" s="8">
        <v>4</v>
      </c>
      <c r="G140" s="8">
        <v>4</v>
      </c>
      <c r="H140" s="8">
        <v>81683</v>
      </c>
      <c r="I140" s="8" t="s">
        <v>543</v>
      </c>
      <c r="J140" s="8">
        <v>51684856</v>
      </c>
      <c r="K140" s="8" t="s">
        <v>2542</v>
      </c>
      <c r="L140" s="8" t="s">
        <v>2545</v>
      </c>
      <c r="M140" s="10">
        <v>139900</v>
      </c>
      <c r="N140" s="64">
        <v>0.6</v>
      </c>
      <c r="O140" s="12">
        <f t="shared" si="3"/>
        <v>55960</v>
      </c>
      <c r="P140" s="6" t="s">
        <v>3499</v>
      </c>
    </row>
    <row r="141" spans="1:16" x14ac:dyDescent="0.25">
      <c r="A141" s="6" t="s">
        <v>3508</v>
      </c>
      <c r="B141" s="45">
        <v>46121</v>
      </c>
      <c r="C141" s="45">
        <v>46127</v>
      </c>
      <c r="D141" s="8">
        <v>3271</v>
      </c>
      <c r="E141" s="8">
        <v>336</v>
      </c>
      <c r="F141" s="8">
        <v>4</v>
      </c>
      <c r="G141" s="8">
        <v>4</v>
      </c>
      <c r="H141" s="8">
        <v>81683</v>
      </c>
      <c r="I141" s="8" t="s">
        <v>543</v>
      </c>
      <c r="J141" s="8">
        <v>51684865</v>
      </c>
      <c r="K141" s="8" t="s">
        <v>2542</v>
      </c>
      <c r="L141" s="8" t="s">
        <v>2546</v>
      </c>
      <c r="M141" s="10">
        <v>139900</v>
      </c>
      <c r="N141" s="64">
        <v>0.6</v>
      </c>
      <c r="O141" s="12">
        <f t="shared" si="3"/>
        <v>55960</v>
      </c>
      <c r="P141" s="6" t="s">
        <v>3499</v>
      </c>
    </row>
    <row r="142" spans="1:16" x14ac:dyDescent="0.25">
      <c r="A142" s="6" t="s">
        <v>3508</v>
      </c>
      <c r="B142" s="45">
        <v>46121</v>
      </c>
      <c r="C142" s="45">
        <v>46127</v>
      </c>
      <c r="D142" s="8">
        <v>3271</v>
      </c>
      <c r="E142" s="8">
        <v>336</v>
      </c>
      <c r="F142" s="8">
        <v>4</v>
      </c>
      <c r="G142" s="8">
        <v>4</v>
      </c>
      <c r="H142" s="8">
        <v>81683</v>
      </c>
      <c r="I142" s="8" t="s">
        <v>543</v>
      </c>
      <c r="J142" s="8">
        <v>51684874</v>
      </c>
      <c r="K142" s="8" t="s">
        <v>2547</v>
      </c>
      <c r="L142" s="8" t="s">
        <v>2548</v>
      </c>
      <c r="M142" s="10">
        <v>139900</v>
      </c>
      <c r="N142" s="64">
        <v>0.6</v>
      </c>
      <c r="O142" s="12">
        <f t="shared" si="3"/>
        <v>55960</v>
      </c>
      <c r="P142" s="6" t="s">
        <v>3499</v>
      </c>
    </row>
    <row r="143" spans="1:16" x14ac:dyDescent="0.25">
      <c r="A143" s="6" t="s">
        <v>3508</v>
      </c>
      <c r="B143" s="45">
        <v>46121</v>
      </c>
      <c r="C143" s="45">
        <v>46127</v>
      </c>
      <c r="D143" s="8">
        <v>3271</v>
      </c>
      <c r="E143" s="8">
        <v>336</v>
      </c>
      <c r="F143" s="8">
        <v>4</v>
      </c>
      <c r="G143" s="8">
        <v>4</v>
      </c>
      <c r="H143" s="8">
        <v>81683</v>
      </c>
      <c r="I143" s="8" t="s">
        <v>543</v>
      </c>
      <c r="J143" s="8">
        <v>51684883</v>
      </c>
      <c r="K143" s="8" t="s">
        <v>2547</v>
      </c>
      <c r="L143" s="8" t="s">
        <v>2549</v>
      </c>
      <c r="M143" s="10">
        <v>139900</v>
      </c>
      <c r="N143" s="64">
        <v>0.6</v>
      </c>
      <c r="O143" s="12">
        <f t="shared" si="3"/>
        <v>55960</v>
      </c>
      <c r="P143" s="6" t="s">
        <v>3499</v>
      </c>
    </row>
    <row r="144" spans="1:16" x14ac:dyDescent="0.25">
      <c r="A144" s="6" t="s">
        <v>3508</v>
      </c>
      <c r="B144" s="45">
        <v>46121</v>
      </c>
      <c r="C144" s="45">
        <v>46127</v>
      </c>
      <c r="D144" s="8">
        <v>3271</v>
      </c>
      <c r="E144" s="8">
        <v>336</v>
      </c>
      <c r="F144" s="8">
        <v>4</v>
      </c>
      <c r="G144" s="8">
        <v>4</v>
      </c>
      <c r="H144" s="8">
        <v>81683</v>
      </c>
      <c r="I144" s="8" t="s">
        <v>543</v>
      </c>
      <c r="J144" s="8">
        <v>51684892</v>
      </c>
      <c r="K144" s="8" t="s">
        <v>2547</v>
      </c>
      <c r="L144" s="8" t="s">
        <v>2550</v>
      </c>
      <c r="M144" s="10">
        <v>139900</v>
      </c>
      <c r="N144" s="64">
        <v>0.6</v>
      </c>
      <c r="O144" s="12">
        <f t="shared" si="3"/>
        <v>55960</v>
      </c>
      <c r="P144" s="6" t="s">
        <v>3499</v>
      </c>
    </row>
    <row r="145" spans="1:16" x14ac:dyDescent="0.25">
      <c r="A145" s="6" t="s">
        <v>3508</v>
      </c>
      <c r="B145" s="45">
        <v>46121</v>
      </c>
      <c r="C145" s="45">
        <v>46127</v>
      </c>
      <c r="D145" s="8">
        <v>3271</v>
      </c>
      <c r="E145" s="8">
        <v>336</v>
      </c>
      <c r="F145" s="8">
        <v>4</v>
      </c>
      <c r="G145" s="8">
        <v>4</v>
      </c>
      <c r="H145" s="8">
        <v>81683</v>
      </c>
      <c r="I145" s="8" t="s">
        <v>543</v>
      </c>
      <c r="J145" s="8">
        <v>51684909</v>
      </c>
      <c r="K145" s="8" t="s">
        <v>2547</v>
      </c>
      <c r="L145" s="8" t="s">
        <v>2551</v>
      </c>
      <c r="M145" s="10">
        <v>139900</v>
      </c>
      <c r="N145" s="64">
        <v>0.6</v>
      </c>
      <c r="O145" s="12">
        <f t="shared" si="3"/>
        <v>55960</v>
      </c>
      <c r="P145" s="6" t="s">
        <v>3499</v>
      </c>
    </row>
    <row r="146" spans="1:16" x14ac:dyDescent="0.25">
      <c r="A146" s="6" t="s">
        <v>3508</v>
      </c>
      <c r="B146" s="45">
        <v>46121</v>
      </c>
      <c r="C146" s="45">
        <v>46127</v>
      </c>
      <c r="D146" s="8">
        <v>3271</v>
      </c>
      <c r="E146" s="8">
        <v>336</v>
      </c>
      <c r="F146" s="8">
        <v>4</v>
      </c>
      <c r="G146" s="8">
        <v>4</v>
      </c>
      <c r="H146" s="8">
        <v>81683</v>
      </c>
      <c r="I146" s="8" t="s">
        <v>543</v>
      </c>
      <c r="J146" s="8">
        <v>51684918</v>
      </c>
      <c r="K146" s="8" t="s">
        <v>2552</v>
      </c>
      <c r="L146" s="8" t="s">
        <v>2553</v>
      </c>
      <c r="M146" s="10">
        <v>139900</v>
      </c>
      <c r="N146" s="64">
        <v>0.6</v>
      </c>
      <c r="O146" s="12">
        <f t="shared" si="3"/>
        <v>55960</v>
      </c>
      <c r="P146" s="6" t="s">
        <v>3499</v>
      </c>
    </row>
    <row r="147" spans="1:16" x14ac:dyDescent="0.25">
      <c r="A147" s="6" t="s">
        <v>3508</v>
      </c>
      <c r="B147" s="45">
        <v>46121</v>
      </c>
      <c r="C147" s="45">
        <v>46127</v>
      </c>
      <c r="D147" s="8">
        <v>3271</v>
      </c>
      <c r="E147" s="8">
        <v>336</v>
      </c>
      <c r="F147" s="8">
        <v>4</v>
      </c>
      <c r="G147" s="8">
        <v>4</v>
      </c>
      <c r="H147" s="8">
        <v>81683</v>
      </c>
      <c r="I147" s="8" t="s">
        <v>543</v>
      </c>
      <c r="J147" s="8">
        <v>51684927</v>
      </c>
      <c r="K147" s="8" t="s">
        <v>2552</v>
      </c>
      <c r="L147" s="8" t="s">
        <v>2554</v>
      </c>
      <c r="M147" s="10">
        <v>139900</v>
      </c>
      <c r="N147" s="64">
        <v>0.6</v>
      </c>
      <c r="O147" s="12">
        <f t="shared" si="3"/>
        <v>55960</v>
      </c>
      <c r="P147" s="6" t="s">
        <v>3499</v>
      </c>
    </row>
    <row r="148" spans="1:16" x14ac:dyDescent="0.25">
      <c r="A148" s="6" t="s">
        <v>3508</v>
      </c>
      <c r="B148" s="45">
        <v>46121</v>
      </c>
      <c r="C148" s="45">
        <v>46127</v>
      </c>
      <c r="D148" s="8">
        <v>3271</v>
      </c>
      <c r="E148" s="8">
        <v>336</v>
      </c>
      <c r="F148" s="8">
        <v>4</v>
      </c>
      <c r="G148" s="8">
        <v>4</v>
      </c>
      <c r="H148" s="8">
        <v>81683</v>
      </c>
      <c r="I148" s="8" t="s">
        <v>543</v>
      </c>
      <c r="J148" s="8">
        <v>51684936</v>
      </c>
      <c r="K148" s="8" t="s">
        <v>2552</v>
      </c>
      <c r="L148" s="8" t="s">
        <v>2555</v>
      </c>
      <c r="M148" s="10">
        <v>139900</v>
      </c>
      <c r="N148" s="64">
        <v>0.6</v>
      </c>
      <c r="O148" s="12">
        <f t="shared" si="3"/>
        <v>55960</v>
      </c>
      <c r="P148" s="6" t="s">
        <v>3499</v>
      </c>
    </row>
    <row r="149" spans="1:16" x14ac:dyDescent="0.25">
      <c r="A149" s="6" t="s">
        <v>3508</v>
      </c>
      <c r="B149" s="45">
        <v>46121</v>
      </c>
      <c r="C149" s="45">
        <v>46127</v>
      </c>
      <c r="D149" s="8">
        <v>3271</v>
      </c>
      <c r="E149" s="8">
        <v>336</v>
      </c>
      <c r="F149" s="8">
        <v>4</v>
      </c>
      <c r="G149" s="8">
        <v>4</v>
      </c>
      <c r="H149" s="8">
        <v>81683</v>
      </c>
      <c r="I149" s="8" t="s">
        <v>543</v>
      </c>
      <c r="J149" s="8">
        <v>51684945</v>
      </c>
      <c r="K149" s="8" t="s">
        <v>2552</v>
      </c>
      <c r="L149" s="8" t="s">
        <v>2556</v>
      </c>
      <c r="M149" s="10">
        <v>139900</v>
      </c>
      <c r="N149" s="64">
        <v>0.6</v>
      </c>
      <c r="O149" s="12">
        <f t="shared" si="3"/>
        <v>55960</v>
      </c>
      <c r="P149" s="6" t="s">
        <v>3499</v>
      </c>
    </row>
    <row r="150" spans="1:16" x14ac:dyDescent="0.25">
      <c r="A150" s="6" t="s">
        <v>3508</v>
      </c>
      <c r="B150" s="45">
        <v>46121</v>
      </c>
      <c r="C150" s="45">
        <v>46127</v>
      </c>
      <c r="D150" s="8">
        <v>3271</v>
      </c>
      <c r="E150" s="8">
        <v>336</v>
      </c>
      <c r="F150" s="8">
        <v>4</v>
      </c>
      <c r="G150" s="8">
        <v>4</v>
      </c>
      <c r="H150" s="8">
        <v>81683</v>
      </c>
      <c r="I150" s="8" t="s">
        <v>543</v>
      </c>
      <c r="J150" s="8">
        <v>51684954</v>
      </c>
      <c r="K150" s="8" t="s">
        <v>2557</v>
      </c>
      <c r="L150" s="8" t="s">
        <v>2558</v>
      </c>
      <c r="M150" s="10">
        <v>139900</v>
      </c>
      <c r="N150" s="64">
        <v>0.6</v>
      </c>
      <c r="O150" s="12">
        <f t="shared" si="3"/>
        <v>55960</v>
      </c>
      <c r="P150" s="6" t="s">
        <v>3499</v>
      </c>
    </row>
    <row r="151" spans="1:16" x14ac:dyDescent="0.25">
      <c r="A151" s="6" t="s">
        <v>3508</v>
      </c>
      <c r="B151" s="45">
        <v>46121</v>
      </c>
      <c r="C151" s="45">
        <v>46127</v>
      </c>
      <c r="D151" s="8">
        <v>3271</v>
      </c>
      <c r="E151" s="8">
        <v>336</v>
      </c>
      <c r="F151" s="8">
        <v>4</v>
      </c>
      <c r="G151" s="8">
        <v>4</v>
      </c>
      <c r="H151" s="8">
        <v>81683</v>
      </c>
      <c r="I151" s="8" t="s">
        <v>543</v>
      </c>
      <c r="J151" s="8">
        <v>51684963</v>
      </c>
      <c r="K151" s="8" t="s">
        <v>2557</v>
      </c>
      <c r="L151" s="8" t="s">
        <v>2559</v>
      </c>
      <c r="M151" s="10">
        <v>139900</v>
      </c>
      <c r="N151" s="64">
        <v>0.6</v>
      </c>
      <c r="O151" s="12">
        <f t="shared" si="3"/>
        <v>55960</v>
      </c>
      <c r="P151" s="6" t="s">
        <v>3499</v>
      </c>
    </row>
    <row r="152" spans="1:16" x14ac:dyDescent="0.25">
      <c r="A152" s="6" t="s">
        <v>3508</v>
      </c>
      <c r="B152" s="45">
        <v>46121</v>
      </c>
      <c r="C152" s="45">
        <v>46127</v>
      </c>
      <c r="D152" s="8">
        <v>3271</v>
      </c>
      <c r="E152" s="8">
        <v>336</v>
      </c>
      <c r="F152" s="8">
        <v>4</v>
      </c>
      <c r="G152" s="8">
        <v>4</v>
      </c>
      <c r="H152" s="8">
        <v>81683</v>
      </c>
      <c r="I152" s="8" t="s">
        <v>543</v>
      </c>
      <c r="J152" s="8">
        <v>51684972</v>
      </c>
      <c r="K152" s="8" t="s">
        <v>2557</v>
      </c>
      <c r="L152" s="8" t="s">
        <v>2560</v>
      </c>
      <c r="M152" s="10">
        <v>139900</v>
      </c>
      <c r="N152" s="64">
        <v>0.6</v>
      </c>
      <c r="O152" s="12">
        <f t="shared" si="3"/>
        <v>55960</v>
      </c>
      <c r="P152" s="6" t="s">
        <v>3499</v>
      </c>
    </row>
    <row r="153" spans="1:16" x14ac:dyDescent="0.25">
      <c r="A153" s="6" t="s">
        <v>3508</v>
      </c>
      <c r="B153" s="45">
        <v>46121</v>
      </c>
      <c r="C153" s="45">
        <v>46127</v>
      </c>
      <c r="D153" s="8">
        <v>3271</v>
      </c>
      <c r="E153" s="8">
        <v>336</v>
      </c>
      <c r="F153" s="8">
        <v>4</v>
      </c>
      <c r="G153" s="8">
        <v>4</v>
      </c>
      <c r="H153" s="8">
        <v>81683</v>
      </c>
      <c r="I153" s="8" t="s">
        <v>543</v>
      </c>
      <c r="J153" s="8">
        <v>51684981</v>
      </c>
      <c r="K153" s="8" t="s">
        <v>2557</v>
      </c>
      <c r="L153" s="8" t="s">
        <v>2561</v>
      </c>
      <c r="M153" s="10">
        <v>139900</v>
      </c>
      <c r="N153" s="64">
        <v>0.6</v>
      </c>
      <c r="O153" s="12">
        <f t="shared" si="3"/>
        <v>55960</v>
      </c>
      <c r="P153" s="6" t="s">
        <v>3499</v>
      </c>
    </row>
    <row r="154" spans="1:16" x14ac:dyDescent="0.25">
      <c r="A154" s="6" t="s">
        <v>3508</v>
      </c>
      <c r="B154" s="45">
        <v>46121</v>
      </c>
      <c r="C154" s="45">
        <v>46127</v>
      </c>
      <c r="D154" s="8">
        <v>3271</v>
      </c>
      <c r="E154" s="8">
        <v>336</v>
      </c>
      <c r="F154" s="8">
        <v>4</v>
      </c>
      <c r="G154" s="8">
        <v>4</v>
      </c>
      <c r="H154" s="8">
        <v>81683</v>
      </c>
      <c r="I154" s="8" t="s">
        <v>543</v>
      </c>
      <c r="J154" s="8">
        <v>51684990</v>
      </c>
      <c r="K154" s="8" t="s">
        <v>2562</v>
      </c>
      <c r="L154" s="8" t="s">
        <v>2563</v>
      </c>
      <c r="M154" s="10">
        <v>139900</v>
      </c>
      <c r="N154" s="64">
        <v>0.6</v>
      </c>
      <c r="O154" s="12">
        <f t="shared" si="3"/>
        <v>55960</v>
      </c>
      <c r="P154" s="6" t="s">
        <v>3499</v>
      </c>
    </row>
    <row r="155" spans="1:16" x14ac:dyDescent="0.25">
      <c r="A155" s="6" t="s">
        <v>3508</v>
      </c>
      <c r="B155" s="45">
        <v>46121</v>
      </c>
      <c r="C155" s="45">
        <v>46127</v>
      </c>
      <c r="D155" s="8">
        <v>3271</v>
      </c>
      <c r="E155" s="8">
        <v>336</v>
      </c>
      <c r="F155" s="8">
        <v>4</v>
      </c>
      <c r="G155" s="8">
        <v>4</v>
      </c>
      <c r="H155" s="8">
        <v>81683</v>
      </c>
      <c r="I155" s="8" t="s">
        <v>543</v>
      </c>
      <c r="J155" s="8">
        <v>51685006</v>
      </c>
      <c r="K155" s="8" t="s">
        <v>2562</v>
      </c>
      <c r="L155" s="8" t="s">
        <v>2564</v>
      </c>
      <c r="M155" s="10">
        <v>139900</v>
      </c>
      <c r="N155" s="64">
        <v>0.6</v>
      </c>
      <c r="O155" s="12">
        <f t="shared" si="3"/>
        <v>55960</v>
      </c>
      <c r="P155" s="6" t="s">
        <v>3499</v>
      </c>
    </row>
    <row r="156" spans="1:16" x14ac:dyDescent="0.25">
      <c r="A156" s="6" t="s">
        <v>3508</v>
      </c>
      <c r="B156" s="45">
        <v>46121</v>
      </c>
      <c r="C156" s="45">
        <v>46127</v>
      </c>
      <c r="D156" s="8">
        <v>3271</v>
      </c>
      <c r="E156" s="8">
        <v>336</v>
      </c>
      <c r="F156" s="8">
        <v>4</v>
      </c>
      <c r="G156" s="8">
        <v>4</v>
      </c>
      <c r="H156" s="8">
        <v>81683</v>
      </c>
      <c r="I156" s="8" t="s">
        <v>543</v>
      </c>
      <c r="J156" s="8">
        <v>51685015</v>
      </c>
      <c r="K156" s="8" t="s">
        <v>2562</v>
      </c>
      <c r="L156" s="8" t="s">
        <v>2565</v>
      </c>
      <c r="M156" s="10">
        <v>139900</v>
      </c>
      <c r="N156" s="64">
        <v>0.6</v>
      </c>
      <c r="O156" s="12">
        <f t="shared" si="3"/>
        <v>55960</v>
      </c>
      <c r="P156" s="6" t="s">
        <v>3499</v>
      </c>
    </row>
    <row r="157" spans="1:16" x14ac:dyDescent="0.25">
      <c r="A157" s="6" t="s">
        <v>3508</v>
      </c>
      <c r="B157" s="45">
        <v>46121</v>
      </c>
      <c r="C157" s="45">
        <v>46127</v>
      </c>
      <c r="D157" s="8">
        <v>3271</v>
      </c>
      <c r="E157" s="8">
        <v>336</v>
      </c>
      <c r="F157" s="8">
        <v>4</v>
      </c>
      <c r="G157" s="8">
        <v>4</v>
      </c>
      <c r="H157" s="8">
        <v>81683</v>
      </c>
      <c r="I157" s="8" t="s">
        <v>543</v>
      </c>
      <c r="J157" s="8">
        <v>51685024</v>
      </c>
      <c r="K157" s="8" t="s">
        <v>2562</v>
      </c>
      <c r="L157" s="8" t="s">
        <v>2566</v>
      </c>
      <c r="M157" s="10">
        <v>139900</v>
      </c>
      <c r="N157" s="64">
        <v>0.6</v>
      </c>
      <c r="O157" s="12">
        <f t="shared" si="3"/>
        <v>55960</v>
      </c>
      <c r="P157" s="6" t="s">
        <v>3499</v>
      </c>
    </row>
    <row r="158" spans="1:16" x14ac:dyDescent="0.25">
      <c r="A158" s="6" t="s">
        <v>3508</v>
      </c>
      <c r="B158" s="45">
        <v>46121</v>
      </c>
      <c r="C158" s="45">
        <v>46127</v>
      </c>
      <c r="D158" s="8">
        <v>3271</v>
      </c>
      <c r="E158" s="8">
        <v>336</v>
      </c>
      <c r="F158" s="8">
        <v>4</v>
      </c>
      <c r="G158" s="8">
        <v>4</v>
      </c>
      <c r="H158" s="8">
        <v>81683</v>
      </c>
      <c r="I158" s="8" t="s">
        <v>543</v>
      </c>
      <c r="J158" s="8">
        <v>51685033</v>
      </c>
      <c r="K158" s="8" t="s">
        <v>2567</v>
      </c>
      <c r="L158" s="8" t="s">
        <v>2568</v>
      </c>
      <c r="M158" s="10">
        <v>139900</v>
      </c>
      <c r="N158" s="64">
        <v>0.6</v>
      </c>
      <c r="O158" s="12">
        <f t="shared" si="3"/>
        <v>55960</v>
      </c>
      <c r="P158" s="6" t="s">
        <v>3499</v>
      </c>
    </row>
    <row r="159" spans="1:16" x14ac:dyDescent="0.25">
      <c r="A159" s="6" t="s">
        <v>3508</v>
      </c>
      <c r="B159" s="45">
        <v>46121</v>
      </c>
      <c r="C159" s="45">
        <v>46127</v>
      </c>
      <c r="D159" s="8">
        <v>3271</v>
      </c>
      <c r="E159" s="8">
        <v>336</v>
      </c>
      <c r="F159" s="8">
        <v>4</v>
      </c>
      <c r="G159" s="8">
        <v>4</v>
      </c>
      <c r="H159" s="8">
        <v>81683</v>
      </c>
      <c r="I159" s="8" t="s">
        <v>543</v>
      </c>
      <c r="J159" s="8">
        <v>51685042</v>
      </c>
      <c r="K159" s="8" t="s">
        <v>2567</v>
      </c>
      <c r="L159" s="8" t="s">
        <v>2569</v>
      </c>
      <c r="M159" s="10">
        <v>139900</v>
      </c>
      <c r="N159" s="64">
        <v>0.6</v>
      </c>
      <c r="O159" s="12">
        <f t="shared" si="3"/>
        <v>55960</v>
      </c>
      <c r="P159" s="6" t="s">
        <v>3499</v>
      </c>
    </row>
    <row r="160" spans="1:16" x14ac:dyDescent="0.25">
      <c r="A160" s="6" t="s">
        <v>3508</v>
      </c>
      <c r="B160" s="45">
        <v>46121</v>
      </c>
      <c r="C160" s="45">
        <v>46127</v>
      </c>
      <c r="D160" s="8">
        <v>3271</v>
      </c>
      <c r="E160" s="8">
        <v>336</v>
      </c>
      <c r="F160" s="8">
        <v>4</v>
      </c>
      <c r="G160" s="8">
        <v>4</v>
      </c>
      <c r="H160" s="8">
        <v>81683</v>
      </c>
      <c r="I160" s="8" t="s">
        <v>543</v>
      </c>
      <c r="J160" s="8">
        <v>51685051</v>
      </c>
      <c r="K160" s="8" t="s">
        <v>2567</v>
      </c>
      <c r="L160" s="8" t="s">
        <v>2570</v>
      </c>
      <c r="M160" s="10">
        <v>139900</v>
      </c>
      <c r="N160" s="64">
        <v>0.6</v>
      </c>
      <c r="O160" s="12">
        <f t="shared" si="3"/>
        <v>55960</v>
      </c>
      <c r="P160" s="6" t="s">
        <v>3499</v>
      </c>
    </row>
    <row r="161" spans="1:16" x14ac:dyDescent="0.25">
      <c r="A161" s="6" t="s">
        <v>3508</v>
      </c>
      <c r="B161" s="45">
        <v>46121</v>
      </c>
      <c r="C161" s="45">
        <v>46127</v>
      </c>
      <c r="D161" s="8">
        <v>3271</v>
      </c>
      <c r="E161" s="8">
        <v>336</v>
      </c>
      <c r="F161" s="8">
        <v>4</v>
      </c>
      <c r="G161" s="8">
        <v>4</v>
      </c>
      <c r="H161" s="8">
        <v>81683</v>
      </c>
      <c r="I161" s="8" t="s">
        <v>543</v>
      </c>
      <c r="J161" s="8">
        <v>51685060</v>
      </c>
      <c r="K161" s="8" t="s">
        <v>2567</v>
      </c>
      <c r="L161" s="8" t="s">
        <v>2571</v>
      </c>
      <c r="M161" s="10">
        <v>139900</v>
      </c>
      <c r="N161" s="64">
        <v>0.6</v>
      </c>
      <c r="O161" s="12">
        <f t="shared" si="3"/>
        <v>55960</v>
      </c>
      <c r="P161" s="6" t="s">
        <v>3499</v>
      </c>
    </row>
    <row r="162" spans="1:16" x14ac:dyDescent="0.25">
      <c r="A162" s="6" t="s">
        <v>3508</v>
      </c>
      <c r="B162" s="45">
        <v>46121</v>
      </c>
      <c r="C162" s="45">
        <v>46127</v>
      </c>
      <c r="D162" s="8">
        <v>3271</v>
      </c>
      <c r="E162" s="8">
        <v>336</v>
      </c>
      <c r="F162" s="8">
        <v>4</v>
      </c>
      <c r="G162" s="8">
        <v>4</v>
      </c>
      <c r="H162" s="8">
        <v>81683</v>
      </c>
      <c r="I162" s="8" t="s">
        <v>543</v>
      </c>
      <c r="J162" s="8">
        <v>51865704</v>
      </c>
      <c r="K162" s="8" t="s">
        <v>2572</v>
      </c>
      <c r="L162" s="8" t="s">
        <v>2573</v>
      </c>
      <c r="M162" s="10">
        <v>139900</v>
      </c>
      <c r="N162" s="64">
        <v>0.6</v>
      </c>
      <c r="O162" s="12">
        <f t="shared" si="3"/>
        <v>55960</v>
      </c>
      <c r="P162" s="6" t="s">
        <v>3499</v>
      </c>
    </row>
    <row r="163" spans="1:16" x14ac:dyDescent="0.25">
      <c r="A163" s="6" t="s">
        <v>3508</v>
      </c>
      <c r="B163" s="45">
        <v>46121</v>
      </c>
      <c r="C163" s="45">
        <v>46127</v>
      </c>
      <c r="D163" s="8">
        <v>3271</v>
      </c>
      <c r="E163" s="8">
        <v>336</v>
      </c>
      <c r="F163" s="8">
        <v>4</v>
      </c>
      <c r="G163" s="8">
        <v>4</v>
      </c>
      <c r="H163" s="8">
        <v>81683</v>
      </c>
      <c r="I163" s="8" t="s">
        <v>543</v>
      </c>
      <c r="J163" s="8">
        <v>51865713</v>
      </c>
      <c r="K163" s="8" t="s">
        <v>2572</v>
      </c>
      <c r="L163" s="8" t="s">
        <v>2574</v>
      </c>
      <c r="M163" s="10">
        <v>139900</v>
      </c>
      <c r="N163" s="64">
        <v>0.6</v>
      </c>
      <c r="O163" s="12">
        <f t="shared" si="3"/>
        <v>55960</v>
      </c>
      <c r="P163" s="6" t="s">
        <v>3499</v>
      </c>
    </row>
    <row r="164" spans="1:16" x14ac:dyDescent="0.25">
      <c r="A164" s="6" t="s">
        <v>3508</v>
      </c>
      <c r="B164" s="45">
        <v>46121</v>
      </c>
      <c r="C164" s="45">
        <v>46127</v>
      </c>
      <c r="D164" s="8">
        <v>3271</v>
      </c>
      <c r="E164" s="8">
        <v>336</v>
      </c>
      <c r="F164" s="8">
        <v>4</v>
      </c>
      <c r="G164" s="8">
        <v>4</v>
      </c>
      <c r="H164" s="8">
        <v>81683</v>
      </c>
      <c r="I164" s="8" t="s">
        <v>543</v>
      </c>
      <c r="J164" s="8">
        <v>51865722</v>
      </c>
      <c r="K164" s="8" t="s">
        <v>2572</v>
      </c>
      <c r="L164" s="8" t="s">
        <v>2575</v>
      </c>
      <c r="M164" s="10">
        <v>139900</v>
      </c>
      <c r="N164" s="64">
        <v>0.6</v>
      </c>
      <c r="O164" s="12">
        <f t="shared" si="3"/>
        <v>55960</v>
      </c>
      <c r="P164" s="6" t="s">
        <v>3499</v>
      </c>
    </row>
    <row r="165" spans="1:16" x14ac:dyDescent="0.25">
      <c r="A165" s="6" t="s">
        <v>3508</v>
      </c>
      <c r="B165" s="45">
        <v>46121</v>
      </c>
      <c r="C165" s="45">
        <v>46127</v>
      </c>
      <c r="D165" s="8">
        <v>3271</v>
      </c>
      <c r="E165" s="8">
        <v>336</v>
      </c>
      <c r="F165" s="8">
        <v>4</v>
      </c>
      <c r="G165" s="8">
        <v>4</v>
      </c>
      <c r="H165" s="8">
        <v>81683</v>
      </c>
      <c r="I165" s="8" t="s">
        <v>543</v>
      </c>
      <c r="J165" s="8">
        <v>51865731</v>
      </c>
      <c r="K165" s="8" t="s">
        <v>2572</v>
      </c>
      <c r="L165" s="8" t="s">
        <v>2576</v>
      </c>
      <c r="M165" s="10">
        <v>139900</v>
      </c>
      <c r="N165" s="64">
        <v>0.6</v>
      </c>
      <c r="O165" s="12">
        <f t="shared" si="3"/>
        <v>55960</v>
      </c>
      <c r="P165" s="6" t="s">
        <v>3499</v>
      </c>
    </row>
    <row r="166" spans="1:16" x14ac:dyDescent="0.25">
      <c r="A166" s="6" t="s">
        <v>3508</v>
      </c>
      <c r="B166" s="45">
        <v>46121</v>
      </c>
      <c r="C166" s="45">
        <v>46127</v>
      </c>
      <c r="D166" s="8">
        <v>3271</v>
      </c>
      <c r="E166" s="8">
        <v>336</v>
      </c>
      <c r="F166" s="8">
        <v>4</v>
      </c>
      <c r="G166" s="8">
        <v>4</v>
      </c>
      <c r="H166" s="8">
        <v>81683</v>
      </c>
      <c r="I166" s="8" t="s">
        <v>543</v>
      </c>
      <c r="J166" s="8">
        <v>51865740</v>
      </c>
      <c r="K166" s="8" t="s">
        <v>2577</v>
      </c>
      <c r="L166" s="8" t="s">
        <v>2578</v>
      </c>
      <c r="M166" s="10">
        <v>139900</v>
      </c>
      <c r="N166" s="64">
        <v>0.6</v>
      </c>
      <c r="O166" s="12">
        <f t="shared" si="3"/>
        <v>55960</v>
      </c>
      <c r="P166" s="6" t="s">
        <v>3499</v>
      </c>
    </row>
    <row r="167" spans="1:16" x14ac:dyDescent="0.25">
      <c r="A167" s="6" t="s">
        <v>3508</v>
      </c>
      <c r="B167" s="45">
        <v>46121</v>
      </c>
      <c r="C167" s="45">
        <v>46127</v>
      </c>
      <c r="D167" s="8">
        <v>3271</v>
      </c>
      <c r="E167" s="8">
        <v>336</v>
      </c>
      <c r="F167" s="8">
        <v>4</v>
      </c>
      <c r="G167" s="8">
        <v>4</v>
      </c>
      <c r="H167" s="8">
        <v>81683</v>
      </c>
      <c r="I167" s="8" t="s">
        <v>543</v>
      </c>
      <c r="J167" s="8">
        <v>51865759</v>
      </c>
      <c r="K167" s="8" t="s">
        <v>2577</v>
      </c>
      <c r="L167" s="8" t="s">
        <v>2579</v>
      </c>
      <c r="M167" s="10">
        <v>139900</v>
      </c>
      <c r="N167" s="64">
        <v>0.6</v>
      </c>
      <c r="O167" s="12">
        <f t="shared" si="3"/>
        <v>55960</v>
      </c>
      <c r="P167" s="6" t="s">
        <v>3499</v>
      </c>
    </row>
    <row r="168" spans="1:16" x14ac:dyDescent="0.25">
      <c r="A168" s="6" t="s">
        <v>3508</v>
      </c>
      <c r="B168" s="45">
        <v>46121</v>
      </c>
      <c r="C168" s="45">
        <v>46127</v>
      </c>
      <c r="D168" s="8">
        <v>3271</v>
      </c>
      <c r="E168" s="8">
        <v>336</v>
      </c>
      <c r="F168" s="8">
        <v>4</v>
      </c>
      <c r="G168" s="8">
        <v>4</v>
      </c>
      <c r="H168" s="8">
        <v>81683</v>
      </c>
      <c r="I168" s="8" t="s">
        <v>543</v>
      </c>
      <c r="J168" s="8">
        <v>51865768</v>
      </c>
      <c r="K168" s="8" t="s">
        <v>2577</v>
      </c>
      <c r="L168" s="8" t="s">
        <v>2580</v>
      </c>
      <c r="M168" s="10">
        <v>139900</v>
      </c>
      <c r="N168" s="64">
        <v>0.6</v>
      </c>
      <c r="O168" s="12">
        <f t="shared" si="3"/>
        <v>55960</v>
      </c>
      <c r="P168" s="6" t="s">
        <v>3499</v>
      </c>
    </row>
    <row r="169" spans="1:16" x14ac:dyDescent="0.25">
      <c r="A169" s="6" t="s">
        <v>3508</v>
      </c>
      <c r="B169" s="45">
        <v>46121</v>
      </c>
      <c r="C169" s="45">
        <v>46127</v>
      </c>
      <c r="D169" s="8">
        <v>3271</v>
      </c>
      <c r="E169" s="8">
        <v>336</v>
      </c>
      <c r="F169" s="8">
        <v>4</v>
      </c>
      <c r="G169" s="8">
        <v>4</v>
      </c>
      <c r="H169" s="8">
        <v>81683</v>
      </c>
      <c r="I169" s="8" t="s">
        <v>543</v>
      </c>
      <c r="J169" s="8">
        <v>51865777</v>
      </c>
      <c r="K169" s="8" t="s">
        <v>2577</v>
      </c>
      <c r="L169" s="8" t="s">
        <v>2581</v>
      </c>
      <c r="M169" s="10">
        <v>139900</v>
      </c>
      <c r="N169" s="64">
        <v>0.6</v>
      </c>
      <c r="O169" s="12">
        <f t="shared" si="3"/>
        <v>55960</v>
      </c>
      <c r="P169" s="6" t="s">
        <v>3499</v>
      </c>
    </row>
    <row r="170" spans="1:16" x14ac:dyDescent="0.25">
      <c r="A170" s="6" t="s">
        <v>3508</v>
      </c>
      <c r="B170" s="45">
        <v>46121</v>
      </c>
      <c r="C170" s="45">
        <v>46127</v>
      </c>
      <c r="D170" s="8">
        <v>3271</v>
      </c>
      <c r="E170" s="8">
        <v>336</v>
      </c>
      <c r="F170" s="8">
        <v>4</v>
      </c>
      <c r="G170" s="8">
        <v>4</v>
      </c>
      <c r="H170" s="8">
        <v>81683</v>
      </c>
      <c r="I170" s="8" t="s">
        <v>543</v>
      </c>
      <c r="J170" s="8">
        <v>52325465</v>
      </c>
      <c r="K170" s="8" t="s">
        <v>2582</v>
      </c>
      <c r="L170" s="8" t="s">
        <v>2583</v>
      </c>
      <c r="M170" s="10">
        <v>139900</v>
      </c>
      <c r="N170" s="64">
        <v>0.6</v>
      </c>
      <c r="O170" s="12">
        <f t="shared" si="3"/>
        <v>55960</v>
      </c>
      <c r="P170" s="6" t="s">
        <v>3499</v>
      </c>
    </row>
    <row r="171" spans="1:16" x14ac:dyDescent="0.25">
      <c r="A171" s="6" t="s">
        <v>3508</v>
      </c>
      <c r="B171" s="45">
        <v>46121</v>
      </c>
      <c r="C171" s="45">
        <v>46127</v>
      </c>
      <c r="D171" s="8">
        <v>3271</v>
      </c>
      <c r="E171" s="8">
        <v>336</v>
      </c>
      <c r="F171" s="8">
        <v>4</v>
      </c>
      <c r="G171" s="8">
        <v>4</v>
      </c>
      <c r="H171" s="8">
        <v>81683</v>
      </c>
      <c r="I171" s="8" t="s">
        <v>543</v>
      </c>
      <c r="J171" s="8">
        <v>52325474</v>
      </c>
      <c r="K171" s="8" t="s">
        <v>2582</v>
      </c>
      <c r="L171" s="8" t="s">
        <v>2584</v>
      </c>
      <c r="M171" s="10">
        <v>139900</v>
      </c>
      <c r="N171" s="64">
        <v>0.6</v>
      </c>
      <c r="O171" s="12">
        <f t="shared" si="3"/>
        <v>55960</v>
      </c>
      <c r="P171" s="6" t="s">
        <v>3499</v>
      </c>
    </row>
    <row r="172" spans="1:16" x14ac:dyDescent="0.25">
      <c r="A172" s="6" t="s">
        <v>3508</v>
      </c>
      <c r="B172" s="45">
        <v>46121</v>
      </c>
      <c r="C172" s="45">
        <v>46127</v>
      </c>
      <c r="D172" s="8">
        <v>3271</v>
      </c>
      <c r="E172" s="8">
        <v>336</v>
      </c>
      <c r="F172" s="8">
        <v>4</v>
      </c>
      <c r="G172" s="8">
        <v>4</v>
      </c>
      <c r="H172" s="8">
        <v>81683</v>
      </c>
      <c r="I172" s="8" t="s">
        <v>543</v>
      </c>
      <c r="J172" s="8">
        <v>52325483</v>
      </c>
      <c r="K172" s="8" t="s">
        <v>2582</v>
      </c>
      <c r="L172" s="8" t="s">
        <v>2585</v>
      </c>
      <c r="M172" s="10">
        <v>139900</v>
      </c>
      <c r="N172" s="64">
        <v>0.6</v>
      </c>
      <c r="O172" s="12">
        <f t="shared" si="3"/>
        <v>55960</v>
      </c>
      <c r="P172" s="6" t="s">
        <v>3499</v>
      </c>
    </row>
    <row r="173" spans="1:16" x14ac:dyDescent="0.25">
      <c r="A173" s="6" t="s">
        <v>3508</v>
      </c>
      <c r="B173" s="45">
        <v>46121</v>
      </c>
      <c r="C173" s="45">
        <v>46127</v>
      </c>
      <c r="D173" s="8">
        <v>3271</v>
      </c>
      <c r="E173" s="8">
        <v>336</v>
      </c>
      <c r="F173" s="8">
        <v>4</v>
      </c>
      <c r="G173" s="8">
        <v>4</v>
      </c>
      <c r="H173" s="8">
        <v>81683</v>
      </c>
      <c r="I173" s="8" t="s">
        <v>543</v>
      </c>
      <c r="J173" s="8">
        <v>52325492</v>
      </c>
      <c r="K173" s="8" t="s">
        <v>2582</v>
      </c>
      <c r="L173" s="8" t="s">
        <v>2586</v>
      </c>
      <c r="M173" s="10">
        <v>139900</v>
      </c>
      <c r="N173" s="64">
        <v>0.6</v>
      </c>
      <c r="O173" s="12">
        <f t="shared" si="3"/>
        <v>55960</v>
      </c>
      <c r="P173" s="6" t="s">
        <v>3499</v>
      </c>
    </row>
    <row r="174" spans="1:16" x14ac:dyDescent="0.25">
      <c r="A174" s="6" t="s">
        <v>3508</v>
      </c>
      <c r="B174" s="45">
        <v>46121</v>
      </c>
      <c r="C174" s="45">
        <v>46127</v>
      </c>
      <c r="D174" s="8">
        <v>3271</v>
      </c>
      <c r="E174" s="8">
        <v>336</v>
      </c>
      <c r="F174" s="8">
        <v>4</v>
      </c>
      <c r="G174" s="8">
        <v>4</v>
      </c>
      <c r="H174" s="8">
        <v>81683</v>
      </c>
      <c r="I174" s="8" t="s">
        <v>543</v>
      </c>
      <c r="J174" s="8">
        <v>52454432</v>
      </c>
      <c r="K174" s="8" t="s">
        <v>2587</v>
      </c>
      <c r="L174" s="8" t="s">
        <v>2588</v>
      </c>
      <c r="M174" s="10">
        <v>139900</v>
      </c>
      <c r="N174" s="64">
        <v>0.6</v>
      </c>
      <c r="O174" s="12">
        <f t="shared" si="3"/>
        <v>55960</v>
      </c>
      <c r="P174" s="6" t="s">
        <v>3499</v>
      </c>
    </row>
    <row r="175" spans="1:16" x14ac:dyDescent="0.25">
      <c r="A175" s="6" t="s">
        <v>3508</v>
      </c>
      <c r="B175" s="45">
        <v>46121</v>
      </c>
      <c r="C175" s="45">
        <v>46127</v>
      </c>
      <c r="D175" s="8">
        <v>3271</v>
      </c>
      <c r="E175" s="8">
        <v>336</v>
      </c>
      <c r="F175" s="8">
        <v>4</v>
      </c>
      <c r="G175" s="8">
        <v>4</v>
      </c>
      <c r="H175" s="8">
        <v>81683</v>
      </c>
      <c r="I175" s="8" t="s">
        <v>543</v>
      </c>
      <c r="J175" s="8">
        <v>52454441</v>
      </c>
      <c r="K175" s="8" t="s">
        <v>2587</v>
      </c>
      <c r="L175" s="8" t="s">
        <v>2589</v>
      </c>
      <c r="M175" s="10">
        <v>139900</v>
      </c>
      <c r="N175" s="64">
        <v>0.6</v>
      </c>
      <c r="O175" s="12">
        <f t="shared" si="3"/>
        <v>55960</v>
      </c>
      <c r="P175" s="6" t="s">
        <v>3499</v>
      </c>
    </row>
    <row r="176" spans="1:16" x14ac:dyDescent="0.25">
      <c r="A176" s="6" t="s">
        <v>3508</v>
      </c>
      <c r="B176" s="45">
        <v>46121</v>
      </c>
      <c r="C176" s="45">
        <v>46127</v>
      </c>
      <c r="D176" s="8">
        <v>3271</v>
      </c>
      <c r="E176" s="8">
        <v>336</v>
      </c>
      <c r="F176" s="8">
        <v>4</v>
      </c>
      <c r="G176" s="8">
        <v>4</v>
      </c>
      <c r="H176" s="8">
        <v>81683</v>
      </c>
      <c r="I176" s="8" t="s">
        <v>543</v>
      </c>
      <c r="J176" s="8">
        <v>52454450</v>
      </c>
      <c r="K176" s="8" t="s">
        <v>2587</v>
      </c>
      <c r="L176" s="8" t="s">
        <v>2590</v>
      </c>
      <c r="M176" s="10">
        <v>139900</v>
      </c>
      <c r="N176" s="64">
        <v>0.6</v>
      </c>
      <c r="O176" s="12">
        <f t="shared" si="3"/>
        <v>55960</v>
      </c>
      <c r="P176" s="6" t="s">
        <v>3499</v>
      </c>
    </row>
    <row r="177" spans="1:16" x14ac:dyDescent="0.25">
      <c r="A177" s="6" t="s">
        <v>3508</v>
      </c>
      <c r="B177" s="45">
        <v>46121</v>
      </c>
      <c r="C177" s="45">
        <v>46127</v>
      </c>
      <c r="D177" s="8">
        <v>3271</v>
      </c>
      <c r="E177" s="8">
        <v>336</v>
      </c>
      <c r="F177" s="8">
        <v>4</v>
      </c>
      <c r="G177" s="8">
        <v>4</v>
      </c>
      <c r="H177" s="8">
        <v>81683</v>
      </c>
      <c r="I177" s="8" t="s">
        <v>543</v>
      </c>
      <c r="J177" s="8">
        <v>52454469</v>
      </c>
      <c r="K177" s="8" t="s">
        <v>2587</v>
      </c>
      <c r="L177" s="8" t="s">
        <v>2591</v>
      </c>
      <c r="M177" s="10">
        <v>139900</v>
      </c>
      <c r="N177" s="64">
        <v>0.6</v>
      </c>
      <c r="O177" s="12">
        <f t="shared" si="3"/>
        <v>55960</v>
      </c>
      <c r="P177" s="6" t="s">
        <v>3499</v>
      </c>
    </row>
    <row r="178" spans="1:16" x14ac:dyDescent="0.25">
      <c r="A178" s="6" t="s">
        <v>3508</v>
      </c>
      <c r="B178" s="7">
        <v>46121</v>
      </c>
      <c r="C178" s="7">
        <v>46127</v>
      </c>
      <c r="D178" s="6">
        <v>3271</v>
      </c>
      <c r="E178" s="6">
        <v>336</v>
      </c>
      <c r="F178" s="6">
        <v>4</v>
      </c>
      <c r="G178" s="42">
        <v>4</v>
      </c>
      <c r="H178" s="42">
        <v>80928</v>
      </c>
      <c r="I178" s="42" t="s">
        <v>543</v>
      </c>
      <c r="J178" s="42">
        <v>51902397</v>
      </c>
      <c r="K178" s="42" t="s">
        <v>2592</v>
      </c>
      <c r="L178" s="42" t="s">
        <v>2593</v>
      </c>
      <c r="M178" s="43">
        <v>99900</v>
      </c>
      <c r="N178" s="64">
        <v>0.6</v>
      </c>
      <c r="O178" s="12">
        <f t="shared" si="3"/>
        <v>39960</v>
      </c>
      <c r="P178" s="6" t="s">
        <v>3499</v>
      </c>
    </row>
    <row r="179" spans="1:16" x14ac:dyDescent="0.25">
      <c r="A179" s="6" t="s">
        <v>3508</v>
      </c>
      <c r="B179" s="7">
        <v>46121</v>
      </c>
      <c r="C179" s="7">
        <v>46127</v>
      </c>
      <c r="D179" s="6">
        <v>3271</v>
      </c>
      <c r="E179" s="6">
        <v>336</v>
      </c>
      <c r="F179" s="6">
        <v>4</v>
      </c>
      <c r="G179" s="42">
        <v>4</v>
      </c>
      <c r="H179" s="42">
        <v>80928</v>
      </c>
      <c r="I179" s="42" t="s">
        <v>543</v>
      </c>
      <c r="J179" s="42">
        <v>51902404</v>
      </c>
      <c r="K179" s="42" t="s">
        <v>2592</v>
      </c>
      <c r="L179" s="42" t="s">
        <v>2594</v>
      </c>
      <c r="M179" s="43">
        <v>99900</v>
      </c>
      <c r="N179" s="64">
        <v>0.6</v>
      </c>
      <c r="O179" s="12">
        <f t="shared" si="3"/>
        <v>39960</v>
      </c>
      <c r="P179" s="6" t="s">
        <v>3499</v>
      </c>
    </row>
    <row r="180" spans="1:16" x14ac:dyDescent="0.25">
      <c r="A180" s="6" t="s">
        <v>3508</v>
      </c>
      <c r="B180" s="7">
        <v>46121</v>
      </c>
      <c r="C180" s="7">
        <v>46127</v>
      </c>
      <c r="D180" s="6">
        <v>3271</v>
      </c>
      <c r="E180" s="6">
        <v>336</v>
      </c>
      <c r="F180" s="6">
        <v>4</v>
      </c>
      <c r="G180" s="42">
        <v>4</v>
      </c>
      <c r="H180" s="42">
        <v>80928</v>
      </c>
      <c r="I180" s="42" t="s">
        <v>543</v>
      </c>
      <c r="J180" s="42">
        <v>51902413</v>
      </c>
      <c r="K180" s="42" t="s">
        <v>2592</v>
      </c>
      <c r="L180" s="42" t="s">
        <v>2595</v>
      </c>
      <c r="M180" s="43">
        <v>99900</v>
      </c>
      <c r="N180" s="64">
        <v>0.6</v>
      </c>
      <c r="O180" s="12">
        <f t="shared" si="3"/>
        <v>39960</v>
      </c>
      <c r="P180" s="6" t="s">
        <v>3499</v>
      </c>
    </row>
    <row r="181" spans="1:16" x14ac:dyDescent="0.25">
      <c r="A181" s="6" t="s">
        <v>3508</v>
      </c>
      <c r="B181" s="7">
        <v>46121</v>
      </c>
      <c r="C181" s="7">
        <v>46127</v>
      </c>
      <c r="D181" s="6">
        <v>3271</v>
      </c>
      <c r="E181" s="6">
        <v>336</v>
      </c>
      <c r="F181" s="6">
        <v>4</v>
      </c>
      <c r="G181" s="42">
        <v>4</v>
      </c>
      <c r="H181" s="42">
        <v>80928</v>
      </c>
      <c r="I181" s="42" t="s">
        <v>543</v>
      </c>
      <c r="J181" s="42">
        <v>51902422</v>
      </c>
      <c r="K181" s="42" t="s">
        <v>2592</v>
      </c>
      <c r="L181" s="42" t="s">
        <v>2596</v>
      </c>
      <c r="M181" s="43">
        <v>99900</v>
      </c>
      <c r="N181" s="64">
        <v>0.6</v>
      </c>
      <c r="O181" s="12">
        <f t="shared" si="3"/>
        <v>39960</v>
      </c>
      <c r="P181" s="6" t="s">
        <v>3499</v>
      </c>
    </row>
    <row r="182" spans="1:16" x14ac:dyDescent="0.25">
      <c r="A182" s="6" t="s">
        <v>3508</v>
      </c>
      <c r="B182" s="7">
        <v>46121</v>
      </c>
      <c r="C182" s="7">
        <v>46127</v>
      </c>
      <c r="D182" s="6">
        <v>3271</v>
      </c>
      <c r="E182" s="6">
        <v>336</v>
      </c>
      <c r="F182" s="6">
        <v>4</v>
      </c>
      <c r="G182" s="42">
        <v>4</v>
      </c>
      <c r="H182" s="42">
        <v>80928</v>
      </c>
      <c r="I182" s="42" t="s">
        <v>543</v>
      </c>
      <c r="J182" s="42">
        <v>51902431</v>
      </c>
      <c r="K182" s="42" t="s">
        <v>2597</v>
      </c>
      <c r="L182" s="42" t="s">
        <v>2598</v>
      </c>
      <c r="M182" s="43">
        <v>99900</v>
      </c>
      <c r="N182" s="64">
        <v>0.6</v>
      </c>
      <c r="O182" s="12">
        <f t="shared" si="3"/>
        <v>39960</v>
      </c>
      <c r="P182" s="6" t="s">
        <v>3499</v>
      </c>
    </row>
    <row r="183" spans="1:16" x14ac:dyDescent="0.25">
      <c r="A183" s="6" t="s">
        <v>3508</v>
      </c>
      <c r="B183" s="7">
        <v>46121</v>
      </c>
      <c r="C183" s="7">
        <v>46127</v>
      </c>
      <c r="D183" s="6">
        <v>3271</v>
      </c>
      <c r="E183" s="6">
        <v>336</v>
      </c>
      <c r="F183" s="6">
        <v>4</v>
      </c>
      <c r="G183" s="42">
        <v>4</v>
      </c>
      <c r="H183" s="42">
        <v>80928</v>
      </c>
      <c r="I183" s="42" t="s">
        <v>543</v>
      </c>
      <c r="J183" s="42">
        <v>51902440</v>
      </c>
      <c r="K183" s="42" t="s">
        <v>2597</v>
      </c>
      <c r="L183" s="42" t="s">
        <v>2599</v>
      </c>
      <c r="M183" s="43">
        <v>99900</v>
      </c>
      <c r="N183" s="64">
        <v>0.6</v>
      </c>
      <c r="O183" s="12">
        <f t="shared" si="3"/>
        <v>39960</v>
      </c>
      <c r="P183" s="6" t="s">
        <v>3499</v>
      </c>
    </row>
    <row r="184" spans="1:16" x14ac:dyDescent="0.25">
      <c r="A184" s="6" t="s">
        <v>3508</v>
      </c>
      <c r="B184" s="7">
        <v>46121</v>
      </c>
      <c r="C184" s="7">
        <v>46127</v>
      </c>
      <c r="D184" s="6">
        <v>3271</v>
      </c>
      <c r="E184" s="6">
        <v>336</v>
      </c>
      <c r="F184" s="6">
        <v>4</v>
      </c>
      <c r="G184" s="42">
        <v>4</v>
      </c>
      <c r="H184" s="42">
        <v>80928</v>
      </c>
      <c r="I184" s="42" t="s">
        <v>543</v>
      </c>
      <c r="J184" s="42">
        <v>51902459</v>
      </c>
      <c r="K184" s="42" t="s">
        <v>2597</v>
      </c>
      <c r="L184" s="42" t="s">
        <v>2600</v>
      </c>
      <c r="M184" s="43">
        <v>99900</v>
      </c>
      <c r="N184" s="64">
        <v>0.6</v>
      </c>
      <c r="O184" s="12">
        <f t="shared" si="3"/>
        <v>39960</v>
      </c>
      <c r="P184" s="6" t="s">
        <v>3499</v>
      </c>
    </row>
    <row r="185" spans="1:16" x14ac:dyDescent="0.25">
      <c r="A185" s="6" t="s">
        <v>3508</v>
      </c>
      <c r="B185" s="7">
        <v>46121</v>
      </c>
      <c r="C185" s="7">
        <v>46127</v>
      </c>
      <c r="D185" s="6">
        <v>3271</v>
      </c>
      <c r="E185" s="6">
        <v>336</v>
      </c>
      <c r="F185" s="6">
        <v>4</v>
      </c>
      <c r="G185" s="42">
        <v>4</v>
      </c>
      <c r="H185" s="42">
        <v>80928</v>
      </c>
      <c r="I185" s="42" t="s">
        <v>543</v>
      </c>
      <c r="J185" s="42">
        <v>51902468</v>
      </c>
      <c r="K185" s="42" t="s">
        <v>2597</v>
      </c>
      <c r="L185" s="42" t="s">
        <v>2601</v>
      </c>
      <c r="M185" s="43">
        <v>99900</v>
      </c>
      <c r="N185" s="64">
        <v>0.6</v>
      </c>
      <c r="O185" s="12">
        <f t="shared" si="3"/>
        <v>39960</v>
      </c>
      <c r="P185" s="6" t="s">
        <v>3499</v>
      </c>
    </row>
    <row r="186" spans="1:16" x14ac:dyDescent="0.25">
      <c r="A186" s="6" t="s">
        <v>3508</v>
      </c>
      <c r="B186" s="7">
        <v>46121</v>
      </c>
      <c r="C186" s="7">
        <v>46127</v>
      </c>
      <c r="D186" s="6">
        <v>3271</v>
      </c>
      <c r="E186" s="6">
        <v>336</v>
      </c>
      <c r="F186" s="6">
        <v>4</v>
      </c>
      <c r="G186" s="42">
        <v>4</v>
      </c>
      <c r="H186" s="42">
        <v>80928</v>
      </c>
      <c r="I186" s="42" t="s">
        <v>543</v>
      </c>
      <c r="J186" s="42">
        <v>51902477</v>
      </c>
      <c r="K186" s="42" t="s">
        <v>2602</v>
      </c>
      <c r="L186" s="42" t="s">
        <v>2603</v>
      </c>
      <c r="M186" s="43">
        <v>99900</v>
      </c>
      <c r="N186" s="64">
        <v>0.6</v>
      </c>
      <c r="O186" s="12">
        <f t="shared" si="3"/>
        <v>39960</v>
      </c>
      <c r="P186" s="6" t="s">
        <v>3499</v>
      </c>
    </row>
    <row r="187" spans="1:16" x14ac:dyDescent="0.25">
      <c r="A187" s="6" t="s">
        <v>3508</v>
      </c>
      <c r="B187" s="7">
        <v>46121</v>
      </c>
      <c r="C187" s="7">
        <v>46127</v>
      </c>
      <c r="D187" s="6">
        <v>3271</v>
      </c>
      <c r="E187" s="6">
        <v>336</v>
      </c>
      <c r="F187" s="6">
        <v>4</v>
      </c>
      <c r="G187" s="42">
        <v>4</v>
      </c>
      <c r="H187" s="42">
        <v>80928</v>
      </c>
      <c r="I187" s="42" t="s">
        <v>543</v>
      </c>
      <c r="J187" s="42">
        <v>51902486</v>
      </c>
      <c r="K187" s="42" t="s">
        <v>2602</v>
      </c>
      <c r="L187" s="42" t="s">
        <v>2604</v>
      </c>
      <c r="M187" s="43">
        <v>99900</v>
      </c>
      <c r="N187" s="64">
        <v>0.6</v>
      </c>
      <c r="O187" s="12">
        <f t="shared" si="3"/>
        <v>39960</v>
      </c>
      <c r="P187" s="6" t="s">
        <v>3499</v>
      </c>
    </row>
    <row r="188" spans="1:16" x14ac:dyDescent="0.25">
      <c r="A188" s="6" t="s">
        <v>3508</v>
      </c>
      <c r="B188" s="7">
        <v>46121</v>
      </c>
      <c r="C188" s="7">
        <v>46127</v>
      </c>
      <c r="D188" s="6">
        <v>3271</v>
      </c>
      <c r="E188" s="6">
        <v>336</v>
      </c>
      <c r="F188" s="6">
        <v>4</v>
      </c>
      <c r="G188" s="42">
        <v>4</v>
      </c>
      <c r="H188" s="42">
        <v>80928</v>
      </c>
      <c r="I188" s="42" t="s">
        <v>543</v>
      </c>
      <c r="J188" s="42">
        <v>51902495</v>
      </c>
      <c r="K188" s="42" t="s">
        <v>2602</v>
      </c>
      <c r="L188" s="42" t="s">
        <v>2605</v>
      </c>
      <c r="M188" s="43">
        <v>99900</v>
      </c>
      <c r="N188" s="64">
        <v>0.6</v>
      </c>
      <c r="O188" s="12">
        <f t="shared" si="3"/>
        <v>39960</v>
      </c>
      <c r="P188" s="6" t="s">
        <v>3499</v>
      </c>
    </row>
    <row r="189" spans="1:16" x14ac:dyDescent="0.25">
      <c r="A189" s="6" t="s">
        <v>3508</v>
      </c>
      <c r="B189" s="7">
        <v>46121</v>
      </c>
      <c r="C189" s="7">
        <v>46127</v>
      </c>
      <c r="D189" s="6">
        <v>3271</v>
      </c>
      <c r="E189" s="6">
        <v>336</v>
      </c>
      <c r="F189" s="6">
        <v>4</v>
      </c>
      <c r="G189" s="42">
        <v>4</v>
      </c>
      <c r="H189" s="42">
        <v>80928</v>
      </c>
      <c r="I189" s="42" t="s">
        <v>543</v>
      </c>
      <c r="J189" s="42">
        <v>51902502</v>
      </c>
      <c r="K189" s="42" t="s">
        <v>2602</v>
      </c>
      <c r="L189" s="42" t="s">
        <v>2606</v>
      </c>
      <c r="M189" s="43">
        <v>99900</v>
      </c>
      <c r="N189" s="64">
        <v>0.6</v>
      </c>
      <c r="O189" s="12">
        <f t="shared" si="3"/>
        <v>39960</v>
      </c>
      <c r="P189" s="6" t="s">
        <v>3499</v>
      </c>
    </row>
    <row r="190" spans="1:16" x14ac:dyDescent="0.25">
      <c r="A190" s="6" t="s">
        <v>3508</v>
      </c>
      <c r="B190" s="7">
        <v>46121</v>
      </c>
      <c r="C190" s="7">
        <v>46127</v>
      </c>
      <c r="D190" s="6">
        <v>3271</v>
      </c>
      <c r="E190" s="6">
        <v>336</v>
      </c>
      <c r="F190" s="6">
        <v>4</v>
      </c>
      <c r="G190" s="46">
        <v>4</v>
      </c>
      <c r="H190" s="46">
        <v>81379</v>
      </c>
      <c r="I190" s="46" t="s">
        <v>543</v>
      </c>
      <c r="J190" s="46">
        <v>52325429</v>
      </c>
      <c r="K190" s="46" t="s">
        <v>2607</v>
      </c>
      <c r="L190" s="46" t="s">
        <v>2608</v>
      </c>
      <c r="M190" s="47">
        <v>99900</v>
      </c>
      <c r="N190" s="64">
        <v>0.6</v>
      </c>
      <c r="O190" s="12">
        <f t="shared" si="3"/>
        <v>39960</v>
      </c>
      <c r="P190" s="6" t="s">
        <v>3499</v>
      </c>
    </row>
    <row r="191" spans="1:16" x14ac:dyDescent="0.25">
      <c r="A191" s="6" t="s">
        <v>3508</v>
      </c>
      <c r="B191" s="7">
        <v>46121</v>
      </c>
      <c r="C191" s="7">
        <v>46127</v>
      </c>
      <c r="D191" s="6">
        <v>3271</v>
      </c>
      <c r="E191" s="6">
        <v>336</v>
      </c>
      <c r="F191" s="6">
        <v>4</v>
      </c>
      <c r="G191" s="46">
        <v>4</v>
      </c>
      <c r="H191" s="46">
        <v>81379</v>
      </c>
      <c r="I191" s="46" t="s">
        <v>543</v>
      </c>
      <c r="J191" s="46">
        <v>52325438</v>
      </c>
      <c r="K191" s="46" t="s">
        <v>2607</v>
      </c>
      <c r="L191" s="46" t="s">
        <v>2609</v>
      </c>
      <c r="M191" s="47">
        <v>99900</v>
      </c>
      <c r="N191" s="64">
        <v>0.6</v>
      </c>
      <c r="O191" s="12">
        <f t="shared" si="3"/>
        <v>39960</v>
      </c>
      <c r="P191" s="6" t="s">
        <v>3499</v>
      </c>
    </row>
    <row r="192" spans="1:16" x14ac:dyDescent="0.25">
      <c r="A192" s="6" t="s">
        <v>3508</v>
      </c>
      <c r="B192" s="7">
        <v>46121</v>
      </c>
      <c r="C192" s="7">
        <v>46127</v>
      </c>
      <c r="D192" s="6">
        <v>3271</v>
      </c>
      <c r="E192" s="6">
        <v>336</v>
      </c>
      <c r="F192" s="6">
        <v>4</v>
      </c>
      <c r="G192" s="46">
        <v>4</v>
      </c>
      <c r="H192" s="46">
        <v>81379</v>
      </c>
      <c r="I192" s="46" t="s">
        <v>543</v>
      </c>
      <c r="J192" s="46">
        <v>52325447</v>
      </c>
      <c r="K192" s="46" t="s">
        <v>2607</v>
      </c>
      <c r="L192" s="46" t="s">
        <v>2610</v>
      </c>
      <c r="M192" s="47">
        <v>99900</v>
      </c>
      <c r="N192" s="64">
        <v>0.6</v>
      </c>
      <c r="O192" s="12">
        <f t="shared" si="3"/>
        <v>39960</v>
      </c>
      <c r="P192" s="6" t="s">
        <v>3499</v>
      </c>
    </row>
    <row r="193" spans="1:16" x14ac:dyDescent="0.25">
      <c r="A193" s="6" t="s">
        <v>3508</v>
      </c>
      <c r="B193" s="7">
        <v>46121</v>
      </c>
      <c r="C193" s="7">
        <v>46127</v>
      </c>
      <c r="D193" s="6">
        <v>3271</v>
      </c>
      <c r="E193" s="6">
        <v>336</v>
      </c>
      <c r="F193" s="6">
        <v>4</v>
      </c>
      <c r="G193" s="46">
        <v>4</v>
      </c>
      <c r="H193" s="46">
        <v>81379</v>
      </c>
      <c r="I193" s="46" t="s">
        <v>543</v>
      </c>
      <c r="J193" s="46">
        <v>52325456</v>
      </c>
      <c r="K193" s="46" t="s">
        <v>2607</v>
      </c>
      <c r="L193" s="46" t="s">
        <v>2611</v>
      </c>
      <c r="M193" s="47">
        <v>99900</v>
      </c>
      <c r="N193" s="64">
        <v>0.6</v>
      </c>
      <c r="O193" s="12">
        <f t="shared" si="3"/>
        <v>39960</v>
      </c>
      <c r="P193" s="6" t="s">
        <v>3499</v>
      </c>
    </row>
    <row r="194" spans="1:16" x14ac:dyDescent="0.25">
      <c r="A194" s="6" t="s">
        <v>3508</v>
      </c>
      <c r="B194" s="7">
        <v>46121</v>
      </c>
      <c r="C194" s="7">
        <v>46127</v>
      </c>
      <c r="D194" s="6">
        <v>3271</v>
      </c>
      <c r="E194" s="6">
        <v>336</v>
      </c>
      <c r="F194" s="6">
        <v>4</v>
      </c>
      <c r="G194" s="46">
        <v>4</v>
      </c>
      <c r="H194" s="46">
        <v>80928</v>
      </c>
      <c r="I194" s="46" t="s">
        <v>543</v>
      </c>
      <c r="J194" s="46">
        <v>51488470</v>
      </c>
      <c r="K194" s="46" t="s">
        <v>2612</v>
      </c>
      <c r="L194" s="46" t="s">
        <v>2613</v>
      </c>
      <c r="M194" s="47">
        <v>99900</v>
      </c>
      <c r="N194" s="64">
        <v>0.6</v>
      </c>
      <c r="O194" s="12">
        <f t="shared" si="3"/>
        <v>39960</v>
      </c>
      <c r="P194" s="6" t="s">
        <v>3499</v>
      </c>
    </row>
    <row r="195" spans="1:16" x14ac:dyDescent="0.25">
      <c r="A195" s="6" t="s">
        <v>3508</v>
      </c>
      <c r="B195" s="7">
        <v>46121</v>
      </c>
      <c r="C195" s="7">
        <v>46127</v>
      </c>
      <c r="D195" s="6">
        <v>3271</v>
      </c>
      <c r="E195" s="6">
        <v>336</v>
      </c>
      <c r="F195" s="6">
        <v>4</v>
      </c>
      <c r="G195" s="46">
        <v>4</v>
      </c>
      <c r="H195" s="46">
        <v>80928</v>
      </c>
      <c r="I195" s="46" t="s">
        <v>543</v>
      </c>
      <c r="J195" s="46">
        <v>51488489</v>
      </c>
      <c r="K195" s="46" t="s">
        <v>2612</v>
      </c>
      <c r="L195" s="46" t="s">
        <v>2614</v>
      </c>
      <c r="M195" s="48">
        <v>99900</v>
      </c>
      <c r="N195" s="64">
        <v>0.6</v>
      </c>
      <c r="O195" s="12">
        <f t="shared" ref="O195:O258" si="4">M195-((60*M195)/100)</f>
        <v>39960</v>
      </c>
      <c r="P195" s="6" t="s">
        <v>3499</v>
      </c>
    </row>
    <row r="196" spans="1:16" x14ac:dyDescent="0.25">
      <c r="A196" s="6" t="s">
        <v>3508</v>
      </c>
      <c r="B196" s="7">
        <v>46121</v>
      </c>
      <c r="C196" s="7">
        <v>46127</v>
      </c>
      <c r="D196" s="6">
        <v>3271</v>
      </c>
      <c r="E196" s="6">
        <v>336</v>
      </c>
      <c r="F196" s="6">
        <v>4</v>
      </c>
      <c r="G196" s="46">
        <v>4</v>
      </c>
      <c r="H196" s="46">
        <v>80928</v>
      </c>
      <c r="I196" s="46" t="s">
        <v>543</v>
      </c>
      <c r="J196" s="46">
        <v>51488498</v>
      </c>
      <c r="K196" s="46" t="s">
        <v>2612</v>
      </c>
      <c r="L196" s="46" t="s">
        <v>2615</v>
      </c>
      <c r="M196" s="48">
        <v>99900</v>
      </c>
      <c r="N196" s="64">
        <v>0.6</v>
      </c>
      <c r="O196" s="12">
        <f t="shared" si="4"/>
        <v>39960</v>
      </c>
      <c r="P196" s="6" t="s">
        <v>3499</v>
      </c>
    </row>
    <row r="197" spans="1:16" x14ac:dyDescent="0.25">
      <c r="A197" s="6" t="s">
        <v>3508</v>
      </c>
      <c r="B197" s="7">
        <v>46121</v>
      </c>
      <c r="C197" s="7">
        <v>46127</v>
      </c>
      <c r="D197" s="6">
        <v>3271</v>
      </c>
      <c r="E197" s="6">
        <v>336</v>
      </c>
      <c r="F197" s="6">
        <v>4</v>
      </c>
      <c r="G197" s="46">
        <v>4</v>
      </c>
      <c r="H197" s="46">
        <v>80928</v>
      </c>
      <c r="I197" s="46" t="s">
        <v>543</v>
      </c>
      <c r="J197" s="46">
        <v>51488505</v>
      </c>
      <c r="K197" s="46" t="s">
        <v>2612</v>
      </c>
      <c r="L197" s="46" t="s">
        <v>2616</v>
      </c>
      <c r="M197" s="48">
        <v>99900</v>
      </c>
      <c r="N197" s="64">
        <v>0.6</v>
      </c>
      <c r="O197" s="12">
        <f t="shared" si="4"/>
        <v>39960</v>
      </c>
      <c r="P197" s="6" t="s">
        <v>3499</v>
      </c>
    </row>
    <row r="198" spans="1:16" x14ac:dyDescent="0.25">
      <c r="A198" s="6" t="s">
        <v>3508</v>
      </c>
      <c r="B198" s="7">
        <v>46121</v>
      </c>
      <c r="C198" s="7">
        <v>46127</v>
      </c>
      <c r="D198" s="6">
        <v>3271</v>
      </c>
      <c r="E198" s="6">
        <v>336</v>
      </c>
      <c r="F198" s="6">
        <v>4</v>
      </c>
      <c r="G198" s="46">
        <v>4</v>
      </c>
      <c r="H198" s="46">
        <v>80928</v>
      </c>
      <c r="I198" s="46" t="s">
        <v>543</v>
      </c>
      <c r="J198" s="46">
        <v>51488514</v>
      </c>
      <c r="K198" s="46" t="s">
        <v>2617</v>
      </c>
      <c r="L198" s="46" t="s">
        <v>2618</v>
      </c>
      <c r="M198" s="48">
        <v>99900</v>
      </c>
      <c r="N198" s="64">
        <v>0.6</v>
      </c>
      <c r="O198" s="12">
        <f t="shared" si="4"/>
        <v>39960</v>
      </c>
      <c r="P198" s="6" t="s">
        <v>3499</v>
      </c>
    </row>
    <row r="199" spans="1:16" x14ac:dyDescent="0.25">
      <c r="A199" s="6" t="s">
        <v>3508</v>
      </c>
      <c r="B199" s="7">
        <v>46121</v>
      </c>
      <c r="C199" s="7">
        <v>46127</v>
      </c>
      <c r="D199" s="6">
        <v>3271</v>
      </c>
      <c r="E199" s="6">
        <v>336</v>
      </c>
      <c r="F199" s="6">
        <v>4</v>
      </c>
      <c r="G199" s="46">
        <v>4</v>
      </c>
      <c r="H199" s="46">
        <v>80928</v>
      </c>
      <c r="I199" s="46" t="s">
        <v>543</v>
      </c>
      <c r="J199" s="46">
        <v>51488523</v>
      </c>
      <c r="K199" s="46" t="s">
        <v>2617</v>
      </c>
      <c r="L199" s="46" t="s">
        <v>2619</v>
      </c>
      <c r="M199" s="48">
        <v>99900</v>
      </c>
      <c r="N199" s="64">
        <v>0.6</v>
      </c>
      <c r="O199" s="12">
        <f t="shared" si="4"/>
        <v>39960</v>
      </c>
      <c r="P199" s="6" t="s">
        <v>3499</v>
      </c>
    </row>
    <row r="200" spans="1:16" x14ac:dyDescent="0.25">
      <c r="A200" s="6" t="s">
        <v>3508</v>
      </c>
      <c r="B200" s="7">
        <v>46121</v>
      </c>
      <c r="C200" s="7">
        <v>46127</v>
      </c>
      <c r="D200" s="6">
        <v>3271</v>
      </c>
      <c r="E200" s="6">
        <v>336</v>
      </c>
      <c r="F200" s="6">
        <v>4</v>
      </c>
      <c r="G200" s="46">
        <v>4</v>
      </c>
      <c r="H200" s="46">
        <v>80928</v>
      </c>
      <c r="I200" s="46" t="s">
        <v>543</v>
      </c>
      <c r="J200" s="46">
        <v>51488532</v>
      </c>
      <c r="K200" s="46" t="s">
        <v>2617</v>
      </c>
      <c r="L200" s="46" t="s">
        <v>2620</v>
      </c>
      <c r="M200" s="48">
        <v>99900</v>
      </c>
      <c r="N200" s="64">
        <v>0.6</v>
      </c>
      <c r="O200" s="12">
        <f t="shared" si="4"/>
        <v>39960</v>
      </c>
      <c r="P200" s="6" t="s">
        <v>3499</v>
      </c>
    </row>
    <row r="201" spans="1:16" x14ac:dyDescent="0.25">
      <c r="A201" s="6" t="s">
        <v>3508</v>
      </c>
      <c r="B201" s="7">
        <v>46121</v>
      </c>
      <c r="C201" s="7">
        <v>46127</v>
      </c>
      <c r="D201" s="6">
        <v>3271</v>
      </c>
      <c r="E201" s="6">
        <v>336</v>
      </c>
      <c r="F201" s="6">
        <v>4</v>
      </c>
      <c r="G201" s="46">
        <v>4</v>
      </c>
      <c r="H201" s="46">
        <v>80928</v>
      </c>
      <c r="I201" s="46" t="s">
        <v>543</v>
      </c>
      <c r="J201" s="46">
        <v>51488541</v>
      </c>
      <c r="K201" s="46" t="s">
        <v>2617</v>
      </c>
      <c r="L201" s="46" t="s">
        <v>2621</v>
      </c>
      <c r="M201" s="48">
        <v>99900</v>
      </c>
      <c r="N201" s="64">
        <v>0.6</v>
      </c>
      <c r="O201" s="12">
        <f t="shared" si="4"/>
        <v>39960</v>
      </c>
      <c r="P201" s="6" t="s">
        <v>3499</v>
      </c>
    </row>
    <row r="202" spans="1:16" x14ac:dyDescent="0.25">
      <c r="A202" s="6" t="s">
        <v>3508</v>
      </c>
      <c r="B202" s="7">
        <v>46121</v>
      </c>
      <c r="C202" s="7">
        <v>46127</v>
      </c>
      <c r="D202" s="6">
        <v>3271</v>
      </c>
      <c r="E202" s="6">
        <v>336</v>
      </c>
      <c r="F202" s="6">
        <v>4</v>
      </c>
      <c r="G202" s="46">
        <v>4</v>
      </c>
      <c r="H202" s="46">
        <v>80928</v>
      </c>
      <c r="I202" s="46" t="s">
        <v>543</v>
      </c>
      <c r="J202" s="46">
        <v>51488550</v>
      </c>
      <c r="K202" s="46" t="s">
        <v>2622</v>
      </c>
      <c r="L202" s="46" t="s">
        <v>2623</v>
      </c>
      <c r="M202" s="48">
        <v>99900</v>
      </c>
      <c r="N202" s="64">
        <v>0.6</v>
      </c>
      <c r="O202" s="12">
        <f t="shared" si="4"/>
        <v>39960</v>
      </c>
      <c r="P202" s="6" t="s">
        <v>3499</v>
      </c>
    </row>
    <row r="203" spans="1:16" x14ac:dyDescent="0.25">
      <c r="A203" s="6" t="s">
        <v>3508</v>
      </c>
      <c r="B203" s="7">
        <v>46121</v>
      </c>
      <c r="C203" s="7">
        <v>46127</v>
      </c>
      <c r="D203" s="6">
        <v>3271</v>
      </c>
      <c r="E203" s="6">
        <v>336</v>
      </c>
      <c r="F203" s="6">
        <v>4</v>
      </c>
      <c r="G203" s="46">
        <v>4</v>
      </c>
      <c r="H203" s="46">
        <v>80928</v>
      </c>
      <c r="I203" s="46" t="s">
        <v>543</v>
      </c>
      <c r="J203" s="46">
        <v>51488569</v>
      </c>
      <c r="K203" s="46" t="s">
        <v>2622</v>
      </c>
      <c r="L203" s="46" t="s">
        <v>2624</v>
      </c>
      <c r="M203" s="48">
        <v>99900</v>
      </c>
      <c r="N203" s="64">
        <v>0.6</v>
      </c>
      <c r="O203" s="12">
        <f t="shared" si="4"/>
        <v>39960</v>
      </c>
      <c r="P203" s="6" t="s">
        <v>3499</v>
      </c>
    </row>
    <row r="204" spans="1:16" x14ac:dyDescent="0.25">
      <c r="A204" s="6" t="s">
        <v>3508</v>
      </c>
      <c r="B204" s="7">
        <v>46121</v>
      </c>
      <c r="C204" s="7">
        <v>46127</v>
      </c>
      <c r="D204" s="6">
        <v>3271</v>
      </c>
      <c r="E204" s="6">
        <v>336</v>
      </c>
      <c r="F204" s="6">
        <v>4</v>
      </c>
      <c r="G204" s="46">
        <v>4</v>
      </c>
      <c r="H204" s="46">
        <v>80928</v>
      </c>
      <c r="I204" s="46" t="s">
        <v>543</v>
      </c>
      <c r="J204" s="46">
        <v>51488578</v>
      </c>
      <c r="K204" s="46" t="s">
        <v>2622</v>
      </c>
      <c r="L204" s="46" t="s">
        <v>2625</v>
      </c>
      <c r="M204" s="48">
        <v>99900</v>
      </c>
      <c r="N204" s="64">
        <v>0.6</v>
      </c>
      <c r="O204" s="12">
        <f t="shared" si="4"/>
        <v>39960</v>
      </c>
      <c r="P204" s="6" t="s">
        <v>3499</v>
      </c>
    </row>
    <row r="205" spans="1:16" x14ac:dyDescent="0.25">
      <c r="A205" s="6" t="s">
        <v>3508</v>
      </c>
      <c r="B205" s="7">
        <v>46121</v>
      </c>
      <c r="C205" s="7">
        <v>46127</v>
      </c>
      <c r="D205" s="6">
        <v>3271</v>
      </c>
      <c r="E205" s="6">
        <v>336</v>
      </c>
      <c r="F205" s="6">
        <v>4</v>
      </c>
      <c r="G205" s="46">
        <v>4</v>
      </c>
      <c r="H205" s="46">
        <v>80928</v>
      </c>
      <c r="I205" s="46" t="s">
        <v>543</v>
      </c>
      <c r="J205" s="46">
        <v>51488587</v>
      </c>
      <c r="K205" s="46" t="s">
        <v>2622</v>
      </c>
      <c r="L205" s="46" t="s">
        <v>2626</v>
      </c>
      <c r="M205" s="48">
        <v>99900</v>
      </c>
      <c r="N205" s="64">
        <v>0.6</v>
      </c>
      <c r="O205" s="12">
        <f t="shared" si="4"/>
        <v>39960</v>
      </c>
      <c r="P205" s="6" t="s">
        <v>3499</v>
      </c>
    </row>
    <row r="206" spans="1:16" x14ac:dyDescent="0.25">
      <c r="A206" s="6" t="s">
        <v>3508</v>
      </c>
      <c r="B206" s="7">
        <v>46121</v>
      </c>
      <c r="C206" s="7">
        <v>46127</v>
      </c>
      <c r="D206" s="6">
        <v>3271</v>
      </c>
      <c r="E206" s="6">
        <v>336</v>
      </c>
      <c r="F206" s="6">
        <v>4</v>
      </c>
      <c r="G206" s="46">
        <v>4</v>
      </c>
      <c r="H206" s="46">
        <v>80928</v>
      </c>
      <c r="I206" s="46" t="s">
        <v>543</v>
      </c>
      <c r="J206" s="46">
        <v>51971036</v>
      </c>
      <c r="K206" s="46" t="s">
        <v>2627</v>
      </c>
      <c r="L206" s="46" t="s">
        <v>2628</v>
      </c>
      <c r="M206" s="48">
        <v>99900</v>
      </c>
      <c r="N206" s="64">
        <v>0.6</v>
      </c>
      <c r="O206" s="12">
        <f t="shared" si="4"/>
        <v>39960</v>
      </c>
      <c r="P206" s="6" t="s">
        <v>3499</v>
      </c>
    </row>
    <row r="207" spans="1:16" x14ac:dyDescent="0.25">
      <c r="A207" s="6" t="s">
        <v>3508</v>
      </c>
      <c r="B207" s="7">
        <v>46121</v>
      </c>
      <c r="C207" s="7">
        <v>46127</v>
      </c>
      <c r="D207" s="6">
        <v>3271</v>
      </c>
      <c r="E207" s="6">
        <v>336</v>
      </c>
      <c r="F207" s="6">
        <v>4</v>
      </c>
      <c r="G207" s="46">
        <v>4</v>
      </c>
      <c r="H207" s="46">
        <v>80928</v>
      </c>
      <c r="I207" s="46" t="s">
        <v>543</v>
      </c>
      <c r="J207" s="46">
        <v>51971045</v>
      </c>
      <c r="K207" s="46" t="s">
        <v>2627</v>
      </c>
      <c r="L207" s="46" t="s">
        <v>2629</v>
      </c>
      <c r="M207" s="48">
        <v>99900</v>
      </c>
      <c r="N207" s="64">
        <v>0.6</v>
      </c>
      <c r="O207" s="12">
        <f t="shared" si="4"/>
        <v>39960</v>
      </c>
      <c r="P207" s="6" t="s">
        <v>3499</v>
      </c>
    </row>
    <row r="208" spans="1:16" x14ac:dyDescent="0.25">
      <c r="A208" s="6" t="s">
        <v>3508</v>
      </c>
      <c r="B208" s="7">
        <v>46121</v>
      </c>
      <c r="C208" s="7">
        <v>46127</v>
      </c>
      <c r="D208" s="6">
        <v>3271</v>
      </c>
      <c r="E208" s="6">
        <v>336</v>
      </c>
      <c r="F208" s="6">
        <v>4</v>
      </c>
      <c r="G208" s="46">
        <v>4</v>
      </c>
      <c r="H208" s="46">
        <v>80928</v>
      </c>
      <c r="I208" s="46" t="s">
        <v>543</v>
      </c>
      <c r="J208" s="46">
        <v>51971054</v>
      </c>
      <c r="K208" s="46" t="s">
        <v>2627</v>
      </c>
      <c r="L208" s="46" t="s">
        <v>2630</v>
      </c>
      <c r="M208" s="48">
        <v>99900</v>
      </c>
      <c r="N208" s="64">
        <v>0.6</v>
      </c>
      <c r="O208" s="12">
        <f t="shared" si="4"/>
        <v>39960</v>
      </c>
      <c r="P208" s="6" t="s">
        <v>3499</v>
      </c>
    </row>
    <row r="209" spans="1:16" x14ac:dyDescent="0.25">
      <c r="A209" s="6" t="s">
        <v>3508</v>
      </c>
      <c r="B209" s="7">
        <v>46121</v>
      </c>
      <c r="C209" s="7">
        <v>46127</v>
      </c>
      <c r="D209" s="6">
        <v>3271</v>
      </c>
      <c r="E209" s="6">
        <v>336</v>
      </c>
      <c r="F209" s="6">
        <v>4</v>
      </c>
      <c r="G209" s="46">
        <v>4</v>
      </c>
      <c r="H209" s="46">
        <v>80928</v>
      </c>
      <c r="I209" s="46" t="s">
        <v>543</v>
      </c>
      <c r="J209" s="46">
        <v>51971063</v>
      </c>
      <c r="K209" s="46" t="s">
        <v>2627</v>
      </c>
      <c r="L209" s="46" t="s">
        <v>2631</v>
      </c>
      <c r="M209" s="48">
        <v>99900</v>
      </c>
      <c r="N209" s="64">
        <v>0.6</v>
      </c>
      <c r="O209" s="12">
        <f t="shared" si="4"/>
        <v>39960</v>
      </c>
      <c r="P209" s="6" t="s">
        <v>3499</v>
      </c>
    </row>
    <row r="210" spans="1:16" x14ac:dyDescent="0.25">
      <c r="A210" s="6" t="s">
        <v>3508</v>
      </c>
      <c r="B210" s="7">
        <v>46121</v>
      </c>
      <c r="C210" s="7">
        <v>46127</v>
      </c>
      <c r="D210" s="6">
        <v>3271</v>
      </c>
      <c r="E210" s="6">
        <v>336</v>
      </c>
      <c r="F210" s="6">
        <v>4</v>
      </c>
      <c r="G210" s="46">
        <v>4</v>
      </c>
      <c r="H210" s="46">
        <v>80928</v>
      </c>
      <c r="I210" s="46" t="s">
        <v>543</v>
      </c>
      <c r="J210" s="46">
        <v>51971072</v>
      </c>
      <c r="K210" s="46" t="s">
        <v>2632</v>
      </c>
      <c r="L210" s="46" t="s">
        <v>2633</v>
      </c>
      <c r="M210" s="48">
        <v>99900</v>
      </c>
      <c r="N210" s="64">
        <v>0.6</v>
      </c>
      <c r="O210" s="12">
        <f t="shared" si="4"/>
        <v>39960</v>
      </c>
      <c r="P210" s="6" t="s">
        <v>3499</v>
      </c>
    </row>
    <row r="211" spans="1:16" x14ac:dyDescent="0.25">
      <c r="A211" s="6" t="s">
        <v>3508</v>
      </c>
      <c r="B211" s="7">
        <v>46121</v>
      </c>
      <c r="C211" s="7">
        <v>46127</v>
      </c>
      <c r="D211" s="6">
        <v>3271</v>
      </c>
      <c r="E211" s="6">
        <v>336</v>
      </c>
      <c r="F211" s="6">
        <v>4</v>
      </c>
      <c r="G211" s="46">
        <v>4</v>
      </c>
      <c r="H211" s="46">
        <v>80928</v>
      </c>
      <c r="I211" s="46" t="s">
        <v>543</v>
      </c>
      <c r="J211" s="46">
        <v>51971081</v>
      </c>
      <c r="K211" s="46" t="s">
        <v>2632</v>
      </c>
      <c r="L211" s="46" t="s">
        <v>2634</v>
      </c>
      <c r="M211" s="48">
        <v>99900</v>
      </c>
      <c r="N211" s="64">
        <v>0.6</v>
      </c>
      <c r="O211" s="12">
        <f t="shared" si="4"/>
        <v>39960</v>
      </c>
      <c r="P211" s="6" t="s">
        <v>3499</v>
      </c>
    </row>
    <row r="212" spans="1:16" x14ac:dyDescent="0.25">
      <c r="A212" s="6" t="s">
        <v>3508</v>
      </c>
      <c r="B212" s="7">
        <v>46121</v>
      </c>
      <c r="C212" s="7">
        <v>46127</v>
      </c>
      <c r="D212" s="6">
        <v>3271</v>
      </c>
      <c r="E212" s="6">
        <v>336</v>
      </c>
      <c r="F212" s="6">
        <v>4</v>
      </c>
      <c r="G212" s="46">
        <v>4</v>
      </c>
      <c r="H212" s="46">
        <v>80928</v>
      </c>
      <c r="I212" s="46" t="s">
        <v>543</v>
      </c>
      <c r="J212" s="46">
        <v>51971090</v>
      </c>
      <c r="K212" s="46" t="s">
        <v>2632</v>
      </c>
      <c r="L212" s="46" t="s">
        <v>2635</v>
      </c>
      <c r="M212" s="48">
        <v>99900</v>
      </c>
      <c r="N212" s="64">
        <v>0.6</v>
      </c>
      <c r="O212" s="12">
        <f t="shared" si="4"/>
        <v>39960</v>
      </c>
      <c r="P212" s="6" t="s">
        <v>3499</v>
      </c>
    </row>
    <row r="213" spans="1:16" x14ac:dyDescent="0.25">
      <c r="A213" s="6" t="s">
        <v>3508</v>
      </c>
      <c r="B213" s="7">
        <v>46121</v>
      </c>
      <c r="C213" s="7">
        <v>46127</v>
      </c>
      <c r="D213" s="6">
        <v>3271</v>
      </c>
      <c r="E213" s="6">
        <v>336</v>
      </c>
      <c r="F213" s="6">
        <v>4</v>
      </c>
      <c r="G213" s="46">
        <v>4</v>
      </c>
      <c r="H213" s="46">
        <v>80928</v>
      </c>
      <c r="I213" s="46" t="s">
        <v>543</v>
      </c>
      <c r="J213" s="46">
        <v>51971107</v>
      </c>
      <c r="K213" s="46" t="s">
        <v>2632</v>
      </c>
      <c r="L213" s="46" t="s">
        <v>2636</v>
      </c>
      <c r="M213" s="48">
        <v>99900</v>
      </c>
      <c r="N213" s="64">
        <v>0.6</v>
      </c>
      <c r="O213" s="12">
        <f t="shared" si="4"/>
        <v>39960</v>
      </c>
      <c r="P213" s="6" t="s">
        <v>3499</v>
      </c>
    </row>
    <row r="214" spans="1:16" x14ac:dyDescent="0.25">
      <c r="A214" s="6" t="s">
        <v>3508</v>
      </c>
      <c r="B214" s="7">
        <v>46121</v>
      </c>
      <c r="C214" s="7">
        <v>46127</v>
      </c>
      <c r="D214" s="35">
        <v>3271</v>
      </c>
      <c r="E214" s="35">
        <v>336</v>
      </c>
      <c r="F214" s="35">
        <v>4</v>
      </c>
      <c r="G214" s="35">
        <v>4</v>
      </c>
      <c r="H214" s="35">
        <v>4953</v>
      </c>
      <c r="I214" s="35" t="s">
        <v>543</v>
      </c>
      <c r="J214" s="35">
        <v>52455075</v>
      </c>
      <c r="K214" s="35" t="s">
        <v>2637</v>
      </c>
      <c r="L214" s="35" t="s">
        <v>2638</v>
      </c>
      <c r="M214" s="41">
        <v>99900</v>
      </c>
      <c r="N214" s="64">
        <v>0.6</v>
      </c>
      <c r="O214" s="12">
        <f t="shared" si="4"/>
        <v>39960</v>
      </c>
      <c r="P214" s="6" t="s">
        <v>3499</v>
      </c>
    </row>
    <row r="215" spans="1:16" x14ac:dyDescent="0.25">
      <c r="A215" s="6" t="s">
        <v>3508</v>
      </c>
      <c r="B215" s="7">
        <v>46121</v>
      </c>
      <c r="C215" s="7">
        <v>46127</v>
      </c>
      <c r="D215" s="35">
        <v>3271</v>
      </c>
      <c r="E215" s="35">
        <v>336</v>
      </c>
      <c r="F215" s="35">
        <v>4</v>
      </c>
      <c r="G215" s="35">
        <v>4</v>
      </c>
      <c r="H215" s="35">
        <v>4953</v>
      </c>
      <c r="I215" s="35" t="s">
        <v>543</v>
      </c>
      <c r="J215" s="35">
        <v>52455084</v>
      </c>
      <c r="K215" s="35" t="s">
        <v>2637</v>
      </c>
      <c r="L215" s="35" t="s">
        <v>2639</v>
      </c>
      <c r="M215" s="41">
        <v>99900</v>
      </c>
      <c r="N215" s="64">
        <v>0.6</v>
      </c>
      <c r="O215" s="12">
        <f t="shared" si="4"/>
        <v>39960</v>
      </c>
      <c r="P215" s="6" t="s">
        <v>3499</v>
      </c>
    </row>
    <row r="216" spans="1:16" x14ac:dyDescent="0.25">
      <c r="A216" s="6" t="s">
        <v>3508</v>
      </c>
      <c r="B216" s="7">
        <v>46121</v>
      </c>
      <c r="C216" s="7">
        <v>46127</v>
      </c>
      <c r="D216" s="35">
        <v>3271</v>
      </c>
      <c r="E216" s="35">
        <v>336</v>
      </c>
      <c r="F216" s="35">
        <v>4</v>
      </c>
      <c r="G216" s="35">
        <v>4</v>
      </c>
      <c r="H216" s="35">
        <v>4953</v>
      </c>
      <c r="I216" s="35" t="s">
        <v>543</v>
      </c>
      <c r="J216" s="35">
        <v>52455093</v>
      </c>
      <c r="K216" s="35" t="s">
        <v>2637</v>
      </c>
      <c r="L216" s="35" t="s">
        <v>2640</v>
      </c>
      <c r="M216" s="41">
        <v>99900</v>
      </c>
      <c r="N216" s="64">
        <v>0.6</v>
      </c>
      <c r="O216" s="12">
        <f t="shared" si="4"/>
        <v>39960</v>
      </c>
      <c r="P216" s="6" t="s">
        <v>3499</v>
      </c>
    </row>
    <row r="217" spans="1:16" x14ac:dyDescent="0.25">
      <c r="A217" s="6" t="s">
        <v>3508</v>
      </c>
      <c r="B217" s="7">
        <v>46121</v>
      </c>
      <c r="C217" s="7">
        <v>46127</v>
      </c>
      <c r="D217" s="35">
        <v>3271</v>
      </c>
      <c r="E217" s="35">
        <v>336</v>
      </c>
      <c r="F217" s="35">
        <v>4</v>
      </c>
      <c r="G217" s="35">
        <v>4</v>
      </c>
      <c r="H217" s="35">
        <v>4953</v>
      </c>
      <c r="I217" s="35" t="s">
        <v>543</v>
      </c>
      <c r="J217" s="35">
        <v>52455100</v>
      </c>
      <c r="K217" s="35" t="s">
        <v>2637</v>
      </c>
      <c r="L217" s="35" t="s">
        <v>2641</v>
      </c>
      <c r="M217" s="41">
        <v>99900</v>
      </c>
      <c r="N217" s="64">
        <v>0.6</v>
      </c>
      <c r="O217" s="12">
        <f t="shared" si="4"/>
        <v>39960</v>
      </c>
      <c r="P217" s="6" t="s">
        <v>3499</v>
      </c>
    </row>
    <row r="218" spans="1:16" x14ac:dyDescent="0.25">
      <c r="A218" s="6" t="s">
        <v>3508</v>
      </c>
      <c r="B218" s="7">
        <v>46121</v>
      </c>
      <c r="C218" s="7">
        <v>46127</v>
      </c>
      <c r="D218" s="35">
        <v>3271</v>
      </c>
      <c r="E218" s="35">
        <v>336</v>
      </c>
      <c r="F218" s="35">
        <v>4</v>
      </c>
      <c r="G218" s="35">
        <v>4</v>
      </c>
      <c r="H218" s="35">
        <v>4953</v>
      </c>
      <c r="I218" s="35" t="s">
        <v>543</v>
      </c>
      <c r="J218" s="35">
        <v>52455119</v>
      </c>
      <c r="K218" s="35" t="s">
        <v>2642</v>
      </c>
      <c r="L218" s="35" t="s">
        <v>2643</v>
      </c>
      <c r="M218" s="41">
        <v>99900</v>
      </c>
      <c r="N218" s="64">
        <v>0.6</v>
      </c>
      <c r="O218" s="12">
        <f t="shared" si="4"/>
        <v>39960</v>
      </c>
      <c r="P218" s="6" t="s">
        <v>3499</v>
      </c>
    </row>
    <row r="219" spans="1:16" x14ac:dyDescent="0.25">
      <c r="A219" s="6" t="s">
        <v>3508</v>
      </c>
      <c r="B219" s="7">
        <v>46121</v>
      </c>
      <c r="C219" s="7">
        <v>46127</v>
      </c>
      <c r="D219" s="35">
        <v>3271</v>
      </c>
      <c r="E219" s="35">
        <v>336</v>
      </c>
      <c r="F219" s="35">
        <v>4</v>
      </c>
      <c r="G219" s="35">
        <v>4</v>
      </c>
      <c r="H219" s="35">
        <v>4953</v>
      </c>
      <c r="I219" s="35" t="s">
        <v>543</v>
      </c>
      <c r="J219" s="35">
        <v>52455128</v>
      </c>
      <c r="K219" s="35" t="s">
        <v>2642</v>
      </c>
      <c r="L219" s="35" t="s">
        <v>2644</v>
      </c>
      <c r="M219" s="41">
        <v>99900</v>
      </c>
      <c r="N219" s="64">
        <v>0.6</v>
      </c>
      <c r="O219" s="12">
        <f t="shared" si="4"/>
        <v>39960</v>
      </c>
      <c r="P219" s="6" t="s">
        <v>3499</v>
      </c>
    </row>
    <row r="220" spans="1:16" x14ac:dyDescent="0.25">
      <c r="A220" s="6" t="s">
        <v>3508</v>
      </c>
      <c r="B220" s="7">
        <v>46121</v>
      </c>
      <c r="C220" s="7">
        <v>46127</v>
      </c>
      <c r="D220" s="35">
        <v>3271</v>
      </c>
      <c r="E220" s="35">
        <v>336</v>
      </c>
      <c r="F220" s="35">
        <v>4</v>
      </c>
      <c r="G220" s="35">
        <v>4</v>
      </c>
      <c r="H220" s="35">
        <v>4953</v>
      </c>
      <c r="I220" s="35" t="s">
        <v>543</v>
      </c>
      <c r="J220" s="35">
        <v>52455137</v>
      </c>
      <c r="K220" s="35" t="s">
        <v>2642</v>
      </c>
      <c r="L220" s="35" t="s">
        <v>2645</v>
      </c>
      <c r="M220" s="41">
        <v>99900</v>
      </c>
      <c r="N220" s="64">
        <v>0.6</v>
      </c>
      <c r="O220" s="12">
        <f t="shared" si="4"/>
        <v>39960</v>
      </c>
      <c r="P220" s="6" t="s">
        <v>3499</v>
      </c>
    </row>
    <row r="221" spans="1:16" x14ac:dyDescent="0.25">
      <c r="A221" s="6" t="s">
        <v>3508</v>
      </c>
      <c r="B221" s="7">
        <v>46121</v>
      </c>
      <c r="C221" s="7">
        <v>46127</v>
      </c>
      <c r="D221" s="35">
        <v>3271</v>
      </c>
      <c r="E221" s="35">
        <v>336</v>
      </c>
      <c r="F221" s="35">
        <v>4</v>
      </c>
      <c r="G221" s="35">
        <v>4</v>
      </c>
      <c r="H221" s="35">
        <v>4953</v>
      </c>
      <c r="I221" s="35" t="s">
        <v>543</v>
      </c>
      <c r="J221" s="35">
        <v>52455146</v>
      </c>
      <c r="K221" s="35" t="s">
        <v>2642</v>
      </c>
      <c r="L221" s="35" t="s">
        <v>2646</v>
      </c>
      <c r="M221" s="41">
        <v>99900</v>
      </c>
      <c r="N221" s="64">
        <v>0.6</v>
      </c>
      <c r="O221" s="12">
        <f t="shared" si="4"/>
        <v>39960</v>
      </c>
      <c r="P221" s="6" t="s">
        <v>3499</v>
      </c>
    </row>
    <row r="222" spans="1:16" x14ac:dyDescent="0.25">
      <c r="A222" s="6" t="s">
        <v>3508</v>
      </c>
      <c r="B222" s="7">
        <v>46121</v>
      </c>
      <c r="C222" s="7">
        <v>46127</v>
      </c>
      <c r="D222" s="35">
        <v>3271</v>
      </c>
      <c r="E222" s="35">
        <v>336</v>
      </c>
      <c r="F222" s="35">
        <v>4</v>
      </c>
      <c r="G222" s="35">
        <v>4</v>
      </c>
      <c r="H222" s="35">
        <v>4953</v>
      </c>
      <c r="I222" s="35" t="s">
        <v>543</v>
      </c>
      <c r="J222" s="35">
        <v>52455155</v>
      </c>
      <c r="K222" s="35" t="s">
        <v>2647</v>
      </c>
      <c r="L222" s="35" t="s">
        <v>2648</v>
      </c>
      <c r="M222" s="41">
        <v>99900</v>
      </c>
      <c r="N222" s="64">
        <v>0.6</v>
      </c>
      <c r="O222" s="12">
        <f t="shared" si="4"/>
        <v>39960</v>
      </c>
      <c r="P222" s="6" t="s">
        <v>3499</v>
      </c>
    </row>
    <row r="223" spans="1:16" x14ac:dyDescent="0.25">
      <c r="A223" s="6" t="s">
        <v>3508</v>
      </c>
      <c r="B223" s="7">
        <v>46121</v>
      </c>
      <c r="C223" s="7">
        <v>46127</v>
      </c>
      <c r="D223" s="35">
        <v>3271</v>
      </c>
      <c r="E223" s="35">
        <v>336</v>
      </c>
      <c r="F223" s="35">
        <v>4</v>
      </c>
      <c r="G223" s="35">
        <v>4</v>
      </c>
      <c r="H223" s="35">
        <v>4953</v>
      </c>
      <c r="I223" s="35" t="s">
        <v>543</v>
      </c>
      <c r="J223" s="35">
        <v>52455164</v>
      </c>
      <c r="K223" s="35" t="s">
        <v>2647</v>
      </c>
      <c r="L223" s="35" t="s">
        <v>2649</v>
      </c>
      <c r="M223" s="41">
        <v>99900</v>
      </c>
      <c r="N223" s="64">
        <v>0.6</v>
      </c>
      <c r="O223" s="12">
        <f t="shared" si="4"/>
        <v>39960</v>
      </c>
      <c r="P223" s="6" t="s">
        <v>3499</v>
      </c>
    </row>
    <row r="224" spans="1:16" x14ac:dyDescent="0.25">
      <c r="A224" s="6" t="s">
        <v>3508</v>
      </c>
      <c r="B224" s="7">
        <v>46121</v>
      </c>
      <c r="C224" s="7">
        <v>46127</v>
      </c>
      <c r="D224" s="35">
        <v>3271</v>
      </c>
      <c r="E224" s="35">
        <v>336</v>
      </c>
      <c r="F224" s="35">
        <v>4</v>
      </c>
      <c r="G224" s="35">
        <v>4</v>
      </c>
      <c r="H224" s="35">
        <v>4953</v>
      </c>
      <c r="I224" s="35" t="s">
        <v>543</v>
      </c>
      <c r="J224" s="35">
        <v>52455173</v>
      </c>
      <c r="K224" s="35" t="s">
        <v>2647</v>
      </c>
      <c r="L224" s="35" t="s">
        <v>2650</v>
      </c>
      <c r="M224" s="41">
        <v>99900</v>
      </c>
      <c r="N224" s="64">
        <v>0.6</v>
      </c>
      <c r="O224" s="12">
        <f t="shared" si="4"/>
        <v>39960</v>
      </c>
      <c r="P224" s="6" t="s">
        <v>3499</v>
      </c>
    </row>
    <row r="225" spans="1:16" x14ac:dyDescent="0.25">
      <c r="A225" s="6" t="s">
        <v>3508</v>
      </c>
      <c r="B225" s="7">
        <v>46121</v>
      </c>
      <c r="C225" s="7">
        <v>46127</v>
      </c>
      <c r="D225" s="35">
        <v>3271</v>
      </c>
      <c r="E225" s="35">
        <v>336</v>
      </c>
      <c r="F225" s="35">
        <v>4</v>
      </c>
      <c r="G225" s="35">
        <v>4</v>
      </c>
      <c r="H225" s="35">
        <v>4953</v>
      </c>
      <c r="I225" s="35" t="s">
        <v>543</v>
      </c>
      <c r="J225" s="35">
        <v>52455182</v>
      </c>
      <c r="K225" s="35" t="s">
        <v>2647</v>
      </c>
      <c r="L225" s="35" t="s">
        <v>2651</v>
      </c>
      <c r="M225" s="41">
        <v>99900</v>
      </c>
      <c r="N225" s="64">
        <v>0.6</v>
      </c>
      <c r="O225" s="12">
        <f t="shared" si="4"/>
        <v>39960</v>
      </c>
      <c r="P225" s="6" t="s">
        <v>3499</v>
      </c>
    </row>
    <row r="226" spans="1:16" x14ac:dyDescent="0.25">
      <c r="A226" s="6" t="s">
        <v>3508</v>
      </c>
      <c r="B226" s="7">
        <v>46121</v>
      </c>
      <c r="C226" s="7">
        <v>46127</v>
      </c>
      <c r="D226" s="35">
        <v>3271</v>
      </c>
      <c r="E226" s="35">
        <v>336</v>
      </c>
      <c r="F226" s="35">
        <v>4</v>
      </c>
      <c r="G226" s="35">
        <v>4</v>
      </c>
      <c r="H226" s="35">
        <v>4953</v>
      </c>
      <c r="I226" s="35" t="s">
        <v>543</v>
      </c>
      <c r="J226" s="35">
        <v>52754715</v>
      </c>
      <c r="K226" s="35" t="s">
        <v>2652</v>
      </c>
      <c r="L226" s="35" t="s">
        <v>2653</v>
      </c>
      <c r="M226" s="41">
        <v>99900</v>
      </c>
      <c r="N226" s="64">
        <v>0.6</v>
      </c>
      <c r="O226" s="12">
        <f t="shared" si="4"/>
        <v>39960</v>
      </c>
      <c r="P226" s="6" t="s">
        <v>3499</v>
      </c>
    </row>
    <row r="227" spans="1:16" x14ac:dyDescent="0.25">
      <c r="A227" s="6" t="s">
        <v>3508</v>
      </c>
      <c r="B227" s="7">
        <v>46121</v>
      </c>
      <c r="C227" s="7">
        <v>46127</v>
      </c>
      <c r="D227" s="35">
        <v>3271</v>
      </c>
      <c r="E227" s="35">
        <v>336</v>
      </c>
      <c r="F227" s="35">
        <v>4</v>
      </c>
      <c r="G227" s="35">
        <v>4</v>
      </c>
      <c r="H227" s="35">
        <v>4953</v>
      </c>
      <c r="I227" s="35" t="s">
        <v>543</v>
      </c>
      <c r="J227" s="35">
        <v>52754724</v>
      </c>
      <c r="K227" s="35" t="s">
        <v>2652</v>
      </c>
      <c r="L227" s="35" t="s">
        <v>2654</v>
      </c>
      <c r="M227" s="41">
        <v>99900</v>
      </c>
      <c r="N227" s="64">
        <v>0.6</v>
      </c>
      <c r="O227" s="12">
        <f t="shared" si="4"/>
        <v>39960</v>
      </c>
      <c r="P227" s="6" t="s">
        <v>3499</v>
      </c>
    </row>
    <row r="228" spans="1:16" x14ac:dyDescent="0.25">
      <c r="A228" s="6" t="s">
        <v>3508</v>
      </c>
      <c r="B228" s="7">
        <v>46121</v>
      </c>
      <c r="C228" s="7">
        <v>46127</v>
      </c>
      <c r="D228" s="35">
        <v>3271</v>
      </c>
      <c r="E228" s="35">
        <v>336</v>
      </c>
      <c r="F228" s="35">
        <v>4</v>
      </c>
      <c r="G228" s="35">
        <v>4</v>
      </c>
      <c r="H228" s="35">
        <v>4953</v>
      </c>
      <c r="I228" s="35" t="s">
        <v>543</v>
      </c>
      <c r="J228" s="35">
        <v>52754733</v>
      </c>
      <c r="K228" s="35" t="s">
        <v>2652</v>
      </c>
      <c r="L228" s="35" t="s">
        <v>2655</v>
      </c>
      <c r="M228" s="41">
        <v>99900</v>
      </c>
      <c r="N228" s="64">
        <v>0.6</v>
      </c>
      <c r="O228" s="12">
        <f t="shared" si="4"/>
        <v>39960</v>
      </c>
      <c r="P228" s="6" t="s">
        <v>3499</v>
      </c>
    </row>
    <row r="229" spans="1:16" x14ac:dyDescent="0.25">
      <c r="A229" s="6" t="s">
        <v>3508</v>
      </c>
      <c r="B229" s="7">
        <v>46121</v>
      </c>
      <c r="C229" s="7">
        <v>46127</v>
      </c>
      <c r="D229" s="35">
        <v>3271</v>
      </c>
      <c r="E229" s="35">
        <v>336</v>
      </c>
      <c r="F229" s="35">
        <v>4</v>
      </c>
      <c r="G229" s="35">
        <v>4</v>
      </c>
      <c r="H229" s="35">
        <v>4953</v>
      </c>
      <c r="I229" s="35" t="s">
        <v>543</v>
      </c>
      <c r="J229" s="35">
        <v>52754742</v>
      </c>
      <c r="K229" s="35" t="s">
        <v>2652</v>
      </c>
      <c r="L229" s="35" t="s">
        <v>2656</v>
      </c>
      <c r="M229" s="41">
        <v>99900</v>
      </c>
      <c r="N229" s="64">
        <v>0.6</v>
      </c>
      <c r="O229" s="12">
        <f t="shared" si="4"/>
        <v>39960</v>
      </c>
      <c r="P229" s="6" t="s">
        <v>3499</v>
      </c>
    </row>
    <row r="230" spans="1:16" x14ac:dyDescent="0.25">
      <c r="A230" s="6" t="s">
        <v>3508</v>
      </c>
      <c r="B230" s="45">
        <v>46121</v>
      </c>
      <c r="C230" s="45">
        <v>46127</v>
      </c>
      <c r="D230" s="8">
        <v>3271</v>
      </c>
      <c r="E230" s="8">
        <v>336</v>
      </c>
      <c r="F230" s="8">
        <v>4</v>
      </c>
      <c r="G230" s="8">
        <v>4</v>
      </c>
      <c r="H230" s="8">
        <v>81305</v>
      </c>
      <c r="I230" s="8" t="s">
        <v>543</v>
      </c>
      <c r="J230" s="8">
        <v>51174862</v>
      </c>
      <c r="K230" s="8" t="s">
        <v>2657</v>
      </c>
      <c r="L230" s="8" t="s">
        <v>2658</v>
      </c>
      <c r="M230" s="10">
        <v>99900</v>
      </c>
      <c r="N230" s="64">
        <v>0.6</v>
      </c>
      <c r="O230" s="12">
        <f t="shared" si="4"/>
        <v>39960</v>
      </c>
      <c r="P230" s="6" t="s">
        <v>3499</v>
      </c>
    </row>
    <row r="231" spans="1:16" x14ac:dyDescent="0.25">
      <c r="A231" s="6" t="s">
        <v>3508</v>
      </c>
      <c r="B231" s="45">
        <v>46121</v>
      </c>
      <c r="C231" s="45">
        <v>46127</v>
      </c>
      <c r="D231" s="8">
        <v>3271</v>
      </c>
      <c r="E231" s="8">
        <v>336</v>
      </c>
      <c r="F231" s="8">
        <v>4</v>
      </c>
      <c r="G231" s="8">
        <v>4</v>
      </c>
      <c r="H231" s="8">
        <v>81305</v>
      </c>
      <c r="I231" s="8" t="s">
        <v>543</v>
      </c>
      <c r="J231" s="8">
        <v>51174871</v>
      </c>
      <c r="K231" s="8" t="s">
        <v>2657</v>
      </c>
      <c r="L231" s="8" t="s">
        <v>2659</v>
      </c>
      <c r="M231" s="10">
        <v>99900</v>
      </c>
      <c r="N231" s="64">
        <v>0.6</v>
      </c>
      <c r="O231" s="12">
        <f t="shared" si="4"/>
        <v>39960</v>
      </c>
      <c r="P231" s="6" t="s">
        <v>3499</v>
      </c>
    </row>
    <row r="232" spans="1:16" x14ac:dyDescent="0.25">
      <c r="A232" s="6" t="s">
        <v>3508</v>
      </c>
      <c r="B232" s="45">
        <v>46121</v>
      </c>
      <c r="C232" s="45">
        <v>46127</v>
      </c>
      <c r="D232" s="8">
        <v>3271</v>
      </c>
      <c r="E232" s="8">
        <v>336</v>
      </c>
      <c r="F232" s="8">
        <v>4</v>
      </c>
      <c r="G232" s="8">
        <v>4</v>
      </c>
      <c r="H232" s="8">
        <v>81305</v>
      </c>
      <c r="I232" s="8" t="s">
        <v>543</v>
      </c>
      <c r="J232" s="8">
        <v>51174880</v>
      </c>
      <c r="K232" s="8" t="s">
        <v>2657</v>
      </c>
      <c r="L232" s="8" t="s">
        <v>2660</v>
      </c>
      <c r="M232" s="10">
        <v>99900</v>
      </c>
      <c r="N232" s="64">
        <v>0.6</v>
      </c>
      <c r="O232" s="12">
        <f t="shared" si="4"/>
        <v>39960</v>
      </c>
      <c r="P232" s="6" t="s">
        <v>3499</v>
      </c>
    </row>
    <row r="233" spans="1:16" x14ac:dyDescent="0.25">
      <c r="A233" s="6" t="s">
        <v>3508</v>
      </c>
      <c r="B233" s="45">
        <v>46121</v>
      </c>
      <c r="C233" s="45">
        <v>46127</v>
      </c>
      <c r="D233" s="8">
        <v>3271</v>
      </c>
      <c r="E233" s="8">
        <v>336</v>
      </c>
      <c r="F233" s="8">
        <v>4</v>
      </c>
      <c r="G233" s="8">
        <v>4</v>
      </c>
      <c r="H233" s="8">
        <v>81305</v>
      </c>
      <c r="I233" s="8" t="s">
        <v>543</v>
      </c>
      <c r="J233" s="8">
        <v>51174899</v>
      </c>
      <c r="K233" s="8" t="s">
        <v>2657</v>
      </c>
      <c r="L233" s="8" t="s">
        <v>2661</v>
      </c>
      <c r="M233" s="10">
        <v>99900</v>
      </c>
      <c r="N233" s="64">
        <v>0.6</v>
      </c>
      <c r="O233" s="12">
        <f t="shared" si="4"/>
        <v>39960</v>
      </c>
      <c r="P233" s="6" t="s">
        <v>3499</v>
      </c>
    </row>
    <row r="234" spans="1:16" x14ac:dyDescent="0.25">
      <c r="A234" s="6" t="s">
        <v>3508</v>
      </c>
      <c r="B234" s="45">
        <v>46121</v>
      </c>
      <c r="C234" s="45">
        <v>46127</v>
      </c>
      <c r="D234" s="8">
        <v>3271</v>
      </c>
      <c r="E234" s="8">
        <v>336</v>
      </c>
      <c r="F234" s="8">
        <v>4</v>
      </c>
      <c r="G234" s="8">
        <v>4</v>
      </c>
      <c r="H234" s="8">
        <v>81305</v>
      </c>
      <c r="I234" s="8" t="s">
        <v>543</v>
      </c>
      <c r="J234" s="8">
        <v>51679531</v>
      </c>
      <c r="K234" s="8" t="s">
        <v>2662</v>
      </c>
      <c r="L234" s="8" t="s">
        <v>2663</v>
      </c>
      <c r="M234" s="10">
        <v>99900</v>
      </c>
      <c r="N234" s="64">
        <v>0.6</v>
      </c>
      <c r="O234" s="12">
        <f t="shared" si="4"/>
        <v>39960</v>
      </c>
      <c r="P234" s="6" t="s">
        <v>3499</v>
      </c>
    </row>
    <row r="235" spans="1:16" x14ac:dyDescent="0.25">
      <c r="A235" s="6" t="s">
        <v>3508</v>
      </c>
      <c r="B235" s="45">
        <v>46121</v>
      </c>
      <c r="C235" s="45">
        <v>46127</v>
      </c>
      <c r="D235" s="8">
        <v>3271</v>
      </c>
      <c r="E235" s="8">
        <v>336</v>
      </c>
      <c r="F235" s="8">
        <v>4</v>
      </c>
      <c r="G235" s="8">
        <v>4</v>
      </c>
      <c r="H235" s="8">
        <v>81305</v>
      </c>
      <c r="I235" s="8" t="s">
        <v>543</v>
      </c>
      <c r="J235" s="8">
        <v>51679540</v>
      </c>
      <c r="K235" s="8" t="s">
        <v>2662</v>
      </c>
      <c r="L235" s="8" t="s">
        <v>2664</v>
      </c>
      <c r="M235" s="10">
        <v>99900</v>
      </c>
      <c r="N235" s="64">
        <v>0.6</v>
      </c>
      <c r="O235" s="12">
        <f t="shared" si="4"/>
        <v>39960</v>
      </c>
      <c r="P235" s="6" t="s">
        <v>3499</v>
      </c>
    </row>
    <row r="236" spans="1:16" x14ac:dyDescent="0.25">
      <c r="A236" s="6" t="s">
        <v>3508</v>
      </c>
      <c r="B236" s="45">
        <v>46121</v>
      </c>
      <c r="C236" s="45">
        <v>46127</v>
      </c>
      <c r="D236" s="8">
        <v>3271</v>
      </c>
      <c r="E236" s="8">
        <v>336</v>
      </c>
      <c r="F236" s="8">
        <v>4</v>
      </c>
      <c r="G236" s="8">
        <v>4</v>
      </c>
      <c r="H236" s="8">
        <v>81305</v>
      </c>
      <c r="I236" s="8" t="s">
        <v>543</v>
      </c>
      <c r="J236" s="8">
        <v>51679559</v>
      </c>
      <c r="K236" s="8" t="s">
        <v>2662</v>
      </c>
      <c r="L236" s="8" t="s">
        <v>2665</v>
      </c>
      <c r="M236" s="10">
        <v>99900</v>
      </c>
      <c r="N236" s="64">
        <v>0.6</v>
      </c>
      <c r="O236" s="12">
        <f t="shared" si="4"/>
        <v>39960</v>
      </c>
      <c r="P236" s="6" t="s">
        <v>3499</v>
      </c>
    </row>
    <row r="237" spans="1:16" x14ac:dyDescent="0.25">
      <c r="A237" s="6" t="s">
        <v>3508</v>
      </c>
      <c r="B237" s="45">
        <v>46121</v>
      </c>
      <c r="C237" s="45">
        <v>46127</v>
      </c>
      <c r="D237" s="8">
        <v>3271</v>
      </c>
      <c r="E237" s="8">
        <v>336</v>
      </c>
      <c r="F237" s="8">
        <v>4</v>
      </c>
      <c r="G237" s="8">
        <v>4</v>
      </c>
      <c r="H237" s="8">
        <v>81305</v>
      </c>
      <c r="I237" s="8" t="s">
        <v>543</v>
      </c>
      <c r="J237" s="8">
        <v>51679568</v>
      </c>
      <c r="K237" s="8" t="s">
        <v>2662</v>
      </c>
      <c r="L237" s="8" t="s">
        <v>2666</v>
      </c>
      <c r="M237" s="10">
        <v>99900</v>
      </c>
      <c r="N237" s="64">
        <v>0.6</v>
      </c>
      <c r="O237" s="12">
        <f t="shared" si="4"/>
        <v>39960</v>
      </c>
      <c r="P237" s="6" t="s">
        <v>3499</v>
      </c>
    </row>
    <row r="238" spans="1:16" x14ac:dyDescent="0.25">
      <c r="A238" s="6" t="s">
        <v>3508</v>
      </c>
      <c r="B238" s="45">
        <v>46121</v>
      </c>
      <c r="C238" s="45">
        <v>46127</v>
      </c>
      <c r="D238" s="8">
        <v>3271</v>
      </c>
      <c r="E238" s="8">
        <v>336</v>
      </c>
      <c r="F238" s="8">
        <v>4</v>
      </c>
      <c r="G238" s="8">
        <v>4</v>
      </c>
      <c r="H238" s="8">
        <v>81305</v>
      </c>
      <c r="I238" s="8" t="s">
        <v>543</v>
      </c>
      <c r="J238" s="8">
        <v>51679577</v>
      </c>
      <c r="K238" s="8" t="s">
        <v>2667</v>
      </c>
      <c r="L238" s="8" t="s">
        <v>2668</v>
      </c>
      <c r="M238" s="10">
        <v>99900</v>
      </c>
      <c r="N238" s="64">
        <v>0.6</v>
      </c>
      <c r="O238" s="12">
        <f t="shared" si="4"/>
        <v>39960</v>
      </c>
      <c r="P238" s="6" t="s">
        <v>3499</v>
      </c>
    </row>
    <row r="239" spans="1:16" x14ac:dyDescent="0.25">
      <c r="A239" s="6" t="s">
        <v>3508</v>
      </c>
      <c r="B239" s="45">
        <v>46121</v>
      </c>
      <c r="C239" s="45">
        <v>46127</v>
      </c>
      <c r="D239" s="8">
        <v>3271</v>
      </c>
      <c r="E239" s="8">
        <v>336</v>
      </c>
      <c r="F239" s="8">
        <v>4</v>
      </c>
      <c r="G239" s="8">
        <v>4</v>
      </c>
      <c r="H239" s="8">
        <v>81305</v>
      </c>
      <c r="I239" s="8" t="s">
        <v>543</v>
      </c>
      <c r="J239" s="8">
        <v>51679586</v>
      </c>
      <c r="K239" s="8" t="s">
        <v>2667</v>
      </c>
      <c r="L239" s="8" t="s">
        <v>2669</v>
      </c>
      <c r="M239" s="10">
        <v>99900</v>
      </c>
      <c r="N239" s="64">
        <v>0.6</v>
      </c>
      <c r="O239" s="12">
        <f t="shared" si="4"/>
        <v>39960</v>
      </c>
      <c r="P239" s="6" t="s">
        <v>3499</v>
      </c>
    </row>
    <row r="240" spans="1:16" x14ac:dyDescent="0.25">
      <c r="A240" s="6" t="s">
        <v>3508</v>
      </c>
      <c r="B240" s="45">
        <v>46121</v>
      </c>
      <c r="C240" s="45">
        <v>46127</v>
      </c>
      <c r="D240" s="8">
        <v>3271</v>
      </c>
      <c r="E240" s="8">
        <v>336</v>
      </c>
      <c r="F240" s="8">
        <v>4</v>
      </c>
      <c r="G240" s="8">
        <v>4</v>
      </c>
      <c r="H240" s="8">
        <v>81305</v>
      </c>
      <c r="I240" s="8" t="s">
        <v>543</v>
      </c>
      <c r="J240" s="8">
        <v>51679595</v>
      </c>
      <c r="K240" s="8" t="s">
        <v>2667</v>
      </c>
      <c r="L240" s="8" t="s">
        <v>2670</v>
      </c>
      <c r="M240" s="10">
        <v>99900</v>
      </c>
      <c r="N240" s="64">
        <v>0.6</v>
      </c>
      <c r="O240" s="12">
        <f t="shared" si="4"/>
        <v>39960</v>
      </c>
      <c r="P240" s="6" t="s">
        <v>3499</v>
      </c>
    </row>
    <row r="241" spans="1:16" x14ac:dyDescent="0.25">
      <c r="A241" s="6" t="s">
        <v>3508</v>
      </c>
      <c r="B241" s="45">
        <v>46121</v>
      </c>
      <c r="C241" s="45">
        <v>46127</v>
      </c>
      <c r="D241" s="8">
        <v>3271</v>
      </c>
      <c r="E241" s="8">
        <v>336</v>
      </c>
      <c r="F241" s="8">
        <v>4</v>
      </c>
      <c r="G241" s="8">
        <v>4</v>
      </c>
      <c r="H241" s="8">
        <v>81305</v>
      </c>
      <c r="I241" s="8" t="s">
        <v>543</v>
      </c>
      <c r="J241" s="8">
        <v>51679602</v>
      </c>
      <c r="K241" s="8" t="s">
        <v>2667</v>
      </c>
      <c r="L241" s="8" t="s">
        <v>2671</v>
      </c>
      <c r="M241" s="10">
        <v>99900</v>
      </c>
      <c r="N241" s="64">
        <v>0.6</v>
      </c>
      <c r="O241" s="12">
        <f t="shared" si="4"/>
        <v>39960</v>
      </c>
      <c r="P241" s="6" t="s">
        <v>3499</v>
      </c>
    </row>
    <row r="242" spans="1:16" x14ac:dyDescent="0.25">
      <c r="A242" s="6" t="s">
        <v>3508</v>
      </c>
      <c r="B242" s="45">
        <v>46121</v>
      </c>
      <c r="C242" s="45">
        <v>46127</v>
      </c>
      <c r="D242" s="8">
        <v>3271</v>
      </c>
      <c r="E242" s="8">
        <v>336</v>
      </c>
      <c r="F242" s="8">
        <v>4</v>
      </c>
      <c r="G242" s="8">
        <v>4</v>
      </c>
      <c r="H242" s="8">
        <v>81305</v>
      </c>
      <c r="I242" s="8" t="s">
        <v>543</v>
      </c>
      <c r="J242" s="8">
        <v>51679611</v>
      </c>
      <c r="K242" s="8" t="s">
        <v>2672</v>
      </c>
      <c r="L242" s="8" t="s">
        <v>2673</v>
      </c>
      <c r="M242" s="10">
        <v>99900</v>
      </c>
      <c r="N242" s="64">
        <v>0.6</v>
      </c>
      <c r="O242" s="12">
        <f t="shared" si="4"/>
        <v>39960</v>
      </c>
      <c r="P242" s="6" t="s">
        <v>3499</v>
      </c>
    </row>
    <row r="243" spans="1:16" x14ac:dyDescent="0.25">
      <c r="A243" s="6" t="s">
        <v>3508</v>
      </c>
      <c r="B243" s="45">
        <v>46121</v>
      </c>
      <c r="C243" s="45">
        <v>46127</v>
      </c>
      <c r="D243" s="8">
        <v>3271</v>
      </c>
      <c r="E243" s="8">
        <v>336</v>
      </c>
      <c r="F243" s="8">
        <v>4</v>
      </c>
      <c r="G243" s="8">
        <v>4</v>
      </c>
      <c r="H243" s="8">
        <v>81305</v>
      </c>
      <c r="I243" s="8" t="s">
        <v>543</v>
      </c>
      <c r="J243" s="8">
        <v>51679620</v>
      </c>
      <c r="K243" s="8" t="s">
        <v>2672</v>
      </c>
      <c r="L243" s="8" t="s">
        <v>2674</v>
      </c>
      <c r="M243" s="10">
        <v>99900</v>
      </c>
      <c r="N243" s="64">
        <v>0.6</v>
      </c>
      <c r="O243" s="12">
        <f t="shared" si="4"/>
        <v>39960</v>
      </c>
      <c r="P243" s="6" t="s">
        <v>3499</v>
      </c>
    </row>
    <row r="244" spans="1:16" x14ac:dyDescent="0.25">
      <c r="A244" s="6" t="s">
        <v>3508</v>
      </c>
      <c r="B244" s="45">
        <v>46121</v>
      </c>
      <c r="C244" s="45">
        <v>46127</v>
      </c>
      <c r="D244" s="8">
        <v>3271</v>
      </c>
      <c r="E244" s="8">
        <v>336</v>
      </c>
      <c r="F244" s="8">
        <v>4</v>
      </c>
      <c r="G244" s="8">
        <v>4</v>
      </c>
      <c r="H244" s="8">
        <v>81305</v>
      </c>
      <c r="I244" s="8" t="s">
        <v>543</v>
      </c>
      <c r="J244" s="8">
        <v>51679639</v>
      </c>
      <c r="K244" s="8" t="s">
        <v>2672</v>
      </c>
      <c r="L244" s="8" t="s">
        <v>2675</v>
      </c>
      <c r="M244" s="10">
        <v>99900</v>
      </c>
      <c r="N244" s="64">
        <v>0.6</v>
      </c>
      <c r="O244" s="12">
        <f t="shared" si="4"/>
        <v>39960</v>
      </c>
      <c r="P244" s="6" t="s">
        <v>3499</v>
      </c>
    </row>
    <row r="245" spans="1:16" x14ac:dyDescent="0.25">
      <c r="A245" s="6" t="s">
        <v>3508</v>
      </c>
      <c r="B245" s="45">
        <v>46121</v>
      </c>
      <c r="C245" s="45">
        <v>46127</v>
      </c>
      <c r="D245" s="8">
        <v>3271</v>
      </c>
      <c r="E245" s="8">
        <v>336</v>
      </c>
      <c r="F245" s="8">
        <v>4</v>
      </c>
      <c r="G245" s="8">
        <v>4</v>
      </c>
      <c r="H245" s="8">
        <v>81305</v>
      </c>
      <c r="I245" s="8" t="s">
        <v>543</v>
      </c>
      <c r="J245" s="8">
        <v>51679648</v>
      </c>
      <c r="K245" s="8" t="s">
        <v>2672</v>
      </c>
      <c r="L245" s="8" t="s">
        <v>2676</v>
      </c>
      <c r="M245" s="10">
        <v>99900</v>
      </c>
      <c r="N245" s="64">
        <v>0.6</v>
      </c>
      <c r="O245" s="12">
        <f t="shared" si="4"/>
        <v>39960</v>
      </c>
      <c r="P245" s="6" t="s">
        <v>3499</v>
      </c>
    </row>
    <row r="246" spans="1:16" x14ac:dyDescent="0.25">
      <c r="A246" s="6" t="s">
        <v>3508</v>
      </c>
      <c r="B246" s="45">
        <v>46121</v>
      </c>
      <c r="C246" s="45">
        <v>46127</v>
      </c>
      <c r="D246" s="8">
        <v>3271</v>
      </c>
      <c r="E246" s="8">
        <v>336</v>
      </c>
      <c r="F246" s="8">
        <v>4</v>
      </c>
      <c r="G246" s="8">
        <v>4</v>
      </c>
      <c r="H246" s="8">
        <v>81305</v>
      </c>
      <c r="I246" s="8" t="s">
        <v>543</v>
      </c>
      <c r="J246" s="8">
        <v>51679657</v>
      </c>
      <c r="K246" s="8" t="s">
        <v>2677</v>
      </c>
      <c r="L246" s="8" t="s">
        <v>2678</v>
      </c>
      <c r="M246" s="10">
        <v>99900</v>
      </c>
      <c r="N246" s="64">
        <v>0.6</v>
      </c>
      <c r="O246" s="12">
        <f t="shared" si="4"/>
        <v>39960</v>
      </c>
      <c r="P246" s="6" t="s">
        <v>3499</v>
      </c>
    </row>
    <row r="247" spans="1:16" x14ac:dyDescent="0.25">
      <c r="A247" s="6" t="s">
        <v>3508</v>
      </c>
      <c r="B247" s="45">
        <v>46121</v>
      </c>
      <c r="C247" s="45">
        <v>46127</v>
      </c>
      <c r="D247" s="8">
        <v>3271</v>
      </c>
      <c r="E247" s="8">
        <v>336</v>
      </c>
      <c r="F247" s="8">
        <v>4</v>
      </c>
      <c r="G247" s="8">
        <v>4</v>
      </c>
      <c r="H247" s="8">
        <v>81305</v>
      </c>
      <c r="I247" s="8" t="s">
        <v>543</v>
      </c>
      <c r="J247" s="8">
        <v>51679666</v>
      </c>
      <c r="K247" s="8" t="s">
        <v>2677</v>
      </c>
      <c r="L247" s="8" t="s">
        <v>2679</v>
      </c>
      <c r="M247" s="10">
        <v>99900</v>
      </c>
      <c r="N247" s="64">
        <v>0.6</v>
      </c>
      <c r="O247" s="12">
        <f t="shared" si="4"/>
        <v>39960</v>
      </c>
      <c r="P247" s="6" t="s">
        <v>3499</v>
      </c>
    </row>
    <row r="248" spans="1:16" x14ac:dyDescent="0.25">
      <c r="A248" s="6" t="s">
        <v>3508</v>
      </c>
      <c r="B248" s="45">
        <v>46121</v>
      </c>
      <c r="C248" s="45">
        <v>46127</v>
      </c>
      <c r="D248" s="8">
        <v>3271</v>
      </c>
      <c r="E248" s="8">
        <v>336</v>
      </c>
      <c r="F248" s="8">
        <v>4</v>
      </c>
      <c r="G248" s="8">
        <v>4</v>
      </c>
      <c r="H248" s="8">
        <v>81305</v>
      </c>
      <c r="I248" s="8" t="s">
        <v>543</v>
      </c>
      <c r="J248" s="8">
        <v>51679675</v>
      </c>
      <c r="K248" s="8" t="s">
        <v>2677</v>
      </c>
      <c r="L248" s="8" t="s">
        <v>2680</v>
      </c>
      <c r="M248" s="10">
        <v>99900</v>
      </c>
      <c r="N248" s="64">
        <v>0.6</v>
      </c>
      <c r="O248" s="12">
        <f t="shared" si="4"/>
        <v>39960</v>
      </c>
      <c r="P248" s="6" t="s">
        <v>3499</v>
      </c>
    </row>
    <row r="249" spans="1:16" x14ac:dyDescent="0.25">
      <c r="A249" s="6" t="s">
        <v>3508</v>
      </c>
      <c r="B249" s="45">
        <v>46121</v>
      </c>
      <c r="C249" s="45">
        <v>46127</v>
      </c>
      <c r="D249" s="8">
        <v>3271</v>
      </c>
      <c r="E249" s="8">
        <v>336</v>
      </c>
      <c r="F249" s="8">
        <v>4</v>
      </c>
      <c r="G249" s="8">
        <v>4</v>
      </c>
      <c r="H249" s="8">
        <v>81305</v>
      </c>
      <c r="I249" s="8" t="s">
        <v>543</v>
      </c>
      <c r="J249" s="8">
        <v>51679684</v>
      </c>
      <c r="K249" s="8" t="s">
        <v>2677</v>
      </c>
      <c r="L249" s="8" t="s">
        <v>2681</v>
      </c>
      <c r="M249" s="10">
        <v>99900</v>
      </c>
      <c r="N249" s="64">
        <v>0.6</v>
      </c>
      <c r="O249" s="12">
        <f t="shared" si="4"/>
        <v>39960</v>
      </c>
      <c r="P249" s="6" t="s">
        <v>3499</v>
      </c>
    </row>
    <row r="250" spans="1:16" x14ac:dyDescent="0.25">
      <c r="A250" s="6" t="s">
        <v>3508</v>
      </c>
      <c r="B250" s="45">
        <v>46121</v>
      </c>
      <c r="C250" s="45">
        <v>46127</v>
      </c>
      <c r="D250" s="8">
        <v>3271</v>
      </c>
      <c r="E250" s="8">
        <v>336</v>
      </c>
      <c r="F250" s="8">
        <v>4</v>
      </c>
      <c r="G250" s="8">
        <v>4</v>
      </c>
      <c r="H250" s="8">
        <v>81305</v>
      </c>
      <c r="I250" s="8" t="s">
        <v>543</v>
      </c>
      <c r="J250" s="8">
        <v>51679693</v>
      </c>
      <c r="K250" s="8" t="s">
        <v>2682</v>
      </c>
      <c r="L250" s="8" t="s">
        <v>2683</v>
      </c>
      <c r="M250" s="44">
        <v>99900</v>
      </c>
      <c r="N250" s="64">
        <v>0.6</v>
      </c>
      <c r="O250" s="12">
        <f t="shared" si="4"/>
        <v>39960</v>
      </c>
      <c r="P250" s="6" t="s">
        <v>3499</v>
      </c>
    </row>
    <row r="251" spans="1:16" x14ac:dyDescent="0.25">
      <c r="A251" s="6" t="s">
        <v>3508</v>
      </c>
      <c r="B251" s="45">
        <v>46121</v>
      </c>
      <c r="C251" s="45">
        <v>46127</v>
      </c>
      <c r="D251" s="8">
        <v>3271</v>
      </c>
      <c r="E251" s="8">
        <v>336</v>
      </c>
      <c r="F251" s="8">
        <v>4</v>
      </c>
      <c r="G251" s="8">
        <v>4</v>
      </c>
      <c r="H251" s="8">
        <v>81305</v>
      </c>
      <c r="I251" s="8" t="s">
        <v>543</v>
      </c>
      <c r="J251" s="8">
        <v>51679700</v>
      </c>
      <c r="K251" s="8" t="s">
        <v>2682</v>
      </c>
      <c r="L251" s="8" t="s">
        <v>2684</v>
      </c>
      <c r="M251" s="44">
        <v>99900</v>
      </c>
      <c r="N251" s="64">
        <v>0.6</v>
      </c>
      <c r="O251" s="12">
        <f t="shared" si="4"/>
        <v>39960</v>
      </c>
      <c r="P251" s="6" t="s">
        <v>3499</v>
      </c>
    </row>
    <row r="252" spans="1:16" x14ac:dyDescent="0.25">
      <c r="A252" s="6" t="s">
        <v>3508</v>
      </c>
      <c r="B252" s="45">
        <v>46121</v>
      </c>
      <c r="C252" s="45">
        <v>46127</v>
      </c>
      <c r="D252" s="8">
        <v>3271</v>
      </c>
      <c r="E252" s="8">
        <v>336</v>
      </c>
      <c r="F252" s="8">
        <v>4</v>
      </c>
      <c r="G252" s="8">
        <v>4</v>
      </c>
      <c r="H252" s="8">
        <v>81305</v>
      </c>
      <c r="I252" s="8" t="s">
        <v>543</v>
      </c>
      <c r="J252" s="8">
        <v>51679719</v>
      </c>
      <c r="K252" s="8" t="s">
        <v>2682</v>
      </c>
      <c r="L252" s="8" t="s">
        <v>2685</v>
      </c>
      <c r="M252" s="44">
        <v>99900</v>
      </c>
      <c r="N252" s="64">
        <v>0.6</v>
      </c>
      <c r="O252" s="12">
        <f t="shared" si="4"/>
        <v>39960</v>
      </c>
      <c r="P252" s="6" t="s">
        <v>3499</v>
      </c>
    </row>
    <row r="253" spans="1:16" x14ac:dyDescent="0.25">
      <c r="A253" s="6" t="s">
        <v>3508</v>
      </c>
      <c r="B253" s="45">
        <v>46121</v>
      </c>
      <c r="C253" s="45">
        <v>46127</v>
      </c>
      <c r="D253" s="8">
        <v>3271</v>
      </c>
      <c r="E253" s="8">
        <v>336</v>
      </c>
      <c r="F253" s="8">
        <v>4</v>
      </c>
      <c r="G253" s="8">
        <v>4</v>
      </c>
      <c r="H253" s="8">
        <v>81305</v>
      </c>
      <c r="I253" s="8" t="s">
        <v>543</v>
      </c>
      <c r="J253" s="8">
        <v>51679728</v>
      </c>
      <c r="K253" s="8" t="s">
        <v>2682</v>
      </c>
      <c r="L253" s="8" t="s">
        <v>2686</v>
      </c>
      <c r="M253" s="44">
        <v>99900</v>
      </c>
      <c r="N253" s="64">
        <v>0.6</v>
      </c>
      <c r="O253" s="12">
        <f t="shared" si="4"/>
        <v>39960</v>
      </c>
      <c r="P253" s="6" t="s">
        <v>3499</v>
      </c>
    </row>
    <row r="254" spans="1:16" x14ac:dyDescent="0.25">
      <c r="A254" s="6" t="s">
        <v>3508</v>
      </c>
      <c r="B254" s="7">
        <v>46121</v>
      </c>
      <c r="C254" s="7">
        <v>46127</v>
      </c>
      <c r="D254" s="6">
        <v>3271</v>
      </c>
      <c r="E254" s="6">
        <v>336</v>
      </c>
      <c r="F254" s="6">
        <v>4</v>
      </c>
      <c r="G254" s="46">
        <v>7</v>
      </c>
      <c r="H254" s="46">
        <v>4953</v>
      </c>
      <c r="I254" s="46" t="s">
        <v>543</v>
      </c>
      <c r="J254" s="46">
        <v>52326384</v>
      </c>
      <c r="K254" s="46" t="s">
        <v>2687</v>
      </c>
      <c r="L254" s="46" t="s">
        <v>2688</v>
      </c>
      <c r="M254" s="47">
        <v>79900</v>
      </c>
      <c r="N254" s="64">
        <v>0.6</v>
      </c>
      <c r="O254" s="12">
        <f t="shared" si="4"/>
        <v>31960</v>
      </c>
      <c r="P254" s="6" t="s">
        <v>3499</v>
      </c>
    </row>
    <row r="255" spans="1:16" x14ac:dyDescent="0.25">
      <c r="A255" s="6" t="s">
        <v>3508</v>
      </c>
      <c r="B255" s="7">
        <v>46121</v>
      </c>
      <c r="C255" s="7">
        <v>46127</v>
      </c>
      <c r="D255" s="6">
        <v>3271</v>
      </c>
      <c r="E255" s="6">
        <v>336</v>
      </c>
      <c r="F255" s="6">
        <v>4</v>
      </c>
      <c r="G255" s="46">
        <v>7</v>
      </c>
      <c r="H255" s="46">
        <v>4953</v>
      </c>
      <c r="I255" s="46" t="s">
        <v>543</v>
      </c>
      <c r="J255" s="46">
        <v>52326393</v>
      </c>
      <c r="K255" s="46" t="s">
        <v>2687</v>
      </c>
      <c r="L255" s="46" t="s">
        <v>2689</v>
      </c>
      <c r="M255" s="47">
        <v>79900</v>
      </c>
      <c r="N255" s="64">
        <v>0.6</v>
      </c>
      <c r="O255" s="12">
        <f t="shared" si="4"/>
        <v>31960</v>
      </c>
      <c r="P255" s="6" t="s">
        <v>3499</v>
      </c>
    </row>
    <row r="256" spans="1:16" x14ac:dyDescent="0.25">
      <c r="A256" s="6" t="s">
        <v>3508</v>
      </c>
      <c r="B256" s="7">
        <v>46121</v>
      </c>
      <c r="C256" s="7">
        <v>46127</v>
      </c>
      <c r="D256" s="6">
        <v>3271</v>
      </c>
      <c r="E256" s="6">
        <v>336</v>
      </c>
      <c r="F256" s="6">
        <v>4</v>
      </c>
      <c r="G256" s="46">
        <v>7</v>
      </c>
      <c r="H256" s="46">
        <v>4953</v>
      </c>
      <c r="I256" s="46" t="s">
        <v>543</v>
      </c>
      <c r="J256" s="46">
        <v>52326400</v>
      </c>
      <c r="K256" s="46" t="s">
        <v>2687</v>
      </c>
      <c r="L256" s="46" t="s">
        <v>2690</v>
      </c>
      <c r="M256" s="47">
        <v>79900</v>
      </c>
      <c r="N256" s="64">
        <v>0.6</v>
      </c>
      <c r="O256" s="12">
        <f t="shared" si="4"/>
        <v>31960</v>
      </c>
      <c r="P256" s="6" t="s">
        <v>3499</v>
      </c>
    </row>
    <row r="257" spans="1:16" x14ac:dyDescent="0.25">
      <c r="A257" s="6" t="s">
        <v>3508</v>
      </c>
      <c r="B257" s="7">
        <v>46121</v>
      </c>
      <c r="C257" s="7">
        <v>46127</v>
      </c>
      <c r="D257" s="6">
        <v>3271</v>
      </c>
      <c r="E257" s="6">
        <v>336</v>
      </c>
      <c r="F257" s="6">
        <v>4</v>
      </c>
      <c r="G257" s="46">
        <v>7</v>
      </c>
      <c r="H257" s="46">
        <v>4953</v>
      </c>
      <c r="I257" s="46" t="s">
        <v>543</v>
      </c>
      <c r="J257" s="46">
        <v>52326419</v>
      </c>
      <c r="K257" s="46" t="s">
        <v>2687</v>
      </c>
      <c r="L257" s="46" t="s">
        <v>2691</v>
      </c>
      <c r="M257" s="47">
        <v>79900</v>
      </c>
      <c r="N257" s="64">
        <v>0.6</v>
      </c>
      <c r="O257" s="12">
        <f t="shared" si="4"/>
        <v>31960</v>
      </c>
      <c r="P257" s="6" t="s">
        <v>3499</v>
      </c>
    </row>
    <row r="258" spans="1:16" x14ac:dyDescent="0.25">
      <c r="A258" s="6" t="s">
        <v>3508</v>
      </c>
      <c r="B258" s="7">
        <v>46121</v>
      </c>
      <c r="C258" s="7">
        <v>46127</v>
      </c>
      <c r="D258" s="6">
        <v>3271</v>
      </c>
      <c r="E258" s="6">
        <v>336</v>
      </c>
      <c r="F258" s="6">
        <v>4</v>
      </c>
      <c r="G258" s="46">
        <v>7</v>
      </c>
      <c r="H258" s="46">
        <v>4953</v>
      </c>
      <c r="I258" s="46" t="s">
        <v>543</v>
      </c>
      <c r="J258" s="46">
        <v>52326428</v>
      </c>
      <c r="K258" s="46" t="s">
        <v>2692</v>
      </c>
      <c r="L258" s="46" t="s">
        <v>2693</v>
      </c>
      <c r="M258" s="47">
        <v>79900</v>
      </c>
      <c r="N258" s="64">
        <v>0.6</v>
      </c>
      <c r="O258" s="12">
        <f t="shared" si="4"/>
        <v>31960</v>
      </c>
      <c r="P258" s="6" t="s">
        <v>3499</v>
      </c>
    </row>
    <row r="259" spans="1:16" x14ac:dyDescent="0.25">
      <c r="A259" s="6" t="s">
        <v>3508</v>
      </c>
      <c r="B259" s="7">
        <v>46121</v>
      </c>
      <c r="C259" s="7">
        <v>46127</v>
      </c>
      <c r="D259" s="6">
        <v>3271</v>
      </c>
      <c r="E259" s="6">
        <v>336</v>
      </c>
      <c r="F259" s="6">
        <v>4</v>
      </c>
      <c r="G259" s="46">
        <v>7</v>
      </c>
      <c r="H259" s="46">
        <v>4953</v>
      </c>
      <c r="I259" s="46" t="s">
        <v>543</v>
      </c>
      <c r="J259" s="46">
        <v>52326437</v>
      </c>
      <c r="K259" s="46" t="s">
        <v>2692</v>
      </c>
      <c r="L259" s="46" t="s">
        <v>2694</v>
      </c>
      <c r="M259" s="47">
        <v>79900</v>
      </c>
      <c r="N259" s="64">
        <v>0.6</v>
      </c>
      <c r="O259" s="12">
        <f t="shared" ref="O259:O283" si="5">M259-((60*M259)/100)</f>
        <v>31960</v>
      </c>
      <c r="P259" s="6" t="s">
        <v>3499</v>
      </c>
    </row>
    <row r="260" spans="1:16" x14ac:dyDescent="0.25">
      <c r="A260" s="6" t="s">
        <v>3508</v>
      </c>
      <c r="B260" s="7">
        <v>46121</v>
      </c>
      <c r="C260" s="7">
        <v>46127</v>
      </c>
      <c r="D260" s="6">
        <v>3271</v>
      </c>
      <c r="E260" s="6">
        <v>336</v>
      </c>
      <c r="F260" s="6">
        <v>4</v>
      </c>
      <c r="G260" s="46">
        <v>7</v>
      </c>
      <c r="H260" s="46">
        <v>4953</v>
      </c>
      <c r="I260" s="46" t="s">
        <v>543</v>
      </c>
      <c r="J260" s="46">
        <v>52326446</v>
      </c>
      <c r="K260" s="46" t="s">
        <v>2692</v>
      </c>
      <c r="L260" s="46" t="s">
        <v>2695</v>
      </c>
      <c r="M260" s="47">
        <v>79900</v>
      </c>
      <c r="N260" s="64">
        <v>0.6</v>
      </c>
      <c r="O260" s="12">
        <f t="shared" si="5"/>
        <v>31960</v>
      </c>
      <c r="P260" s="6" t="s">
        <v>3499</v>
      </c>
    </row>
    <row r="261" spans="1:16" x14ac:dyDescent="0.25">
      <c r="A261" s="6" t="s">
        <v>3508</v>
      </c>
      <c r="B261" s="7">
        <v>46121</v>
      </c>
      <c r="C261" s="7">
        <v>46127</v>
      </c>
      <c r="D261" s="6">
        <v>3271</v>
      </c>
      <c r="E261" s="6">
        <v>336</v>
      </c>
      <c r="F261" s="6">
        <v>4</v>
      </c>
      <c r="G261" s="46">
        <v>7</v>
      </c>
      <c r="H261" s="46">
        <v>4953</v>
      </c>
      <c r="I261" s="46" t="s">
        <v>543</v>
      </c>
      <c r="J261" s="46">
        <v>52326455</v>
      </c>
      <c r="K261" s="46" t="s">
        <v>2692</v>
      </c>
      <c r="L261" s="46" t="s">
        <v>2696</v>
      </c>
      <c r="M261" s="47">
        <v>79900</v>
      </c>
      <c r="N261" s="64">
        <v>0.6</v>
      </c>
      <c r="O261" s="12">
        <f t="shared" si="5"/>
        <v>31960</v>
      </c>
      <c r="P261" s="6" t="s">
        <v>3499</v>
      </c>
    </row>
    <row r="262" spans="1:16" x14ac:dyDescent="0.25">
      <c r="A262" s="6" t="s">
        <v>3508</v>
      </c>
      <c r="B262" s="45">
        <v>46121</v>
      </c>
      <c r="C262" s="45">
        <v>46127</v>
      </c>
      <c r="D262" s="8">
        <v>3271</v>
      </c>
      <c r="E262" s="8">
        <v>336</v>
      </c>
      <c r="F262" s="8">
        <v>4</v>
      </c>
      <c r="G262" s="8">
        <v>7</v>
      </c>
      <c r="H262" s="8">
        <v>4953</v>
      </c>
      <c r="I262" s="8" t="s">
        <v>543</v>
      </c>
      <c r="J262" s="8">
        <v>51865562</v>
      </c>
      <c r="K262" s="8" t="s">
        <v>2697</v>
      </c>
      <c r="L262" s="8" t="s">
        <v>2698</v>
      </c>
      <c r="M262" s="10">
        <v>79900</v>
      </c>
      <c r="N262" s="64">
        <v>0.6</v>
      </c>
      <c r="O262" s="12">
        <f t="shared" si="5"/>
        <v>31960</v>
      </c>
      <c r="P262" s="6" t="s">
        <v>3499</v>
      </c>
    </row>
    <row r="263" spans="1:16" x14ac:dyDescent="0.25">
      <c r="A263" s="6" t="s">
        <v>3508</v>
      </c>
      <c r="B263" s="45">
        <v>46121</v>
      </c>
      <c r="C263" s="45">
        <v>46127</v>
      </c>
      <c r="D263" s="8">
        <v>3271</v>
      </c>
      <c r="E263" s="8">
        <v>336</v>
      </c>
      <c r="F263" s="8">
        <v>4</v>
      </c>
      <c r="G263" s="8">
        <v>7</v>
      </c>
      <c r="H263" s="8">
        <v>4953</v>
      </c>
      <c r="I263" s="8" t="s">
        <v>543</v>
      </c>
      <c r="J263" s="8">
        <v>51865571</v>
      </c>
      <c r="K263" s="8" t="s">
        <v>2697</v>
      </c>
      <c r="L263" s="8" t="s">
        <v>2699</v>
      </c>
      <c r="M263" s="10">
        <v>79900</v>
      </c>
      <c r="N263" s="64">
        <v>0.6</v>
      </c>
      <c r="O263" s="12">
        <f t="shared" si="5"/>
        <v>31960</v>
      </c>
      <c r="P263" s="6" t="s">
        <v>3499</v>
      </c>
    </row>
    <row r="264" spans="1:16" x14ac:dyDescent="0.25">
      <c r="A264" s="6" t="s">
        <v>3508</v>
      </c>
      <c r="B264" s="45">
        <v>46121</v>
      </c>
      <c r="C264" s="45">
        <v>46127</v>
      </c>
      <c r="D264" s="8">
        <v>3271</v>
      </c>
      <c r="E264" s="8">
        <v>336</v>
      </c>
      <c r="F264" s="8">
        <v>4</v>
      </c>
      <c r="G264" s="8">
        <v>7</v>
      </c>
      <c r="H264" s="8">
        <v>4953</v>
      </c>
      <c r="I264" s="8" t="s">
        <v>543</v>
      </c>
      <c r="J264" s="8">
        <v>51865580</v>
      </c>
      <c r="K264" s="8" t="s">
        <v>2700</v>
      </c>
      <c r="L264" s="8" t="s">
        <v>2701</v>
      </c>
      <c r="M264" s="10">
        <v>79900</v>
      </c>
      <c r="N264" s="64">
        <v>0.6</v>
      </c>
      <c r="O264" s="12">
        <f t="shared" si="5"/>
        <v>31960</v>
      </c>
      <c r="P264" s="6" t="s">
        <v>3499</v>
      </c>
    </row>
    <row r="265" spans="1:16" x14ac:dyDescent="0.25">
      <c r="A265" s="6" t="s">
        <v>3508</v>
      </c>
      <c r="B265" s="45">
        <v>46121</v>
      </c>
      <c r="C265" s="45">
        <v>46127</v>
      </c>
      <c r="D265" s="8">
        <v>3271</v>
      </c>
      <c r="E265" s="8">
        <v>336</v>
      </c>
      <c r="F265" s="8">
        <v>4</v>
      </c>
      <c r="G265" s="8">
        <v>7</v>
      </c>
      <c r="H265" s="8">
        <v>4953</v>
      </c>
      <c r="I265" s="8" t="s">
        <v>543</v>
      </c>
      <c r="J265" s="8">
        <v>51865599</v>
      </c>
      <c r="K265" s="8" t="s">
        <v>2700</v>
      </c>
      <c r="L265" s="8" t="s">
        <v>2702</v>
      </c>
      <c r="M265" s="10">
        <v>79900</v>
      </c>
      <c r="N265" s="64">
        <v>0.6</v>
      </c>
      <c r="O265" s="12">
        <f t="shared" si="5"/>
        <v>31960</v>
      </c>
      <c r="P265" s="6" t="s">
        <v>3499</v>
      </c>
    </row>
    <row r="266" spans="1:16" x14ac:dyDescent="0.25">
      <c r="A266" s="6" t="s">
        <v>3508</v>
      </c>
      <c r="B266" s="45">
        <v>46121</v>
      </c>
      <c r="C266" s="45">
        <v>46127</v>
      </c>
      <c r="D266" s="8">
        <v>3271</v>
      </c>
      <c r="E266" s="8">
        <v>336</v>
      </c>
      <c r="F266" s="8">
        <v>4</v>
      </c>
      <c r="G266" s="8">
        <v>7</v>
      </c>
      <c r="H266" s="8">
        <v>4953</v>
      </c>
      <c r="I266" s="8" t="s">
        <v>543</v>
      </c>
      <c r="J266" s="8">
        <v>51865606</v>
      </c>
      <c r="K266" s="8" t="s">
        <v>2700</v>
      </c>
      <c r="L266" s="8" t="s">
        <v>2703</v>
      </c>
      <c r="M266" s="10">
        <v>79900</v>
      </c>
      <c r="N266" s="64">
        <v>0.6</v>
      </c>
      <c r="O266" s="12">
        <f t="shared" si="5"/>
        <v>31960</v>
      </c>
      <c r="P266" s="6" t="s">
        <v>3499</v>
      </c>
    </row>
    <row r="267" spans="1:16" x14ac:dyDescent="0.25">
      <c r="A267" s="6" t="s">
        <v>3508</v>
      </c>
      <c r="B267" s="45">
        <v>46121</v>
      </c>
      <c r="C267" s="45">
        <v>46127</v>
      </c>
      <c r="D267" s="8">
        <v>3271</v>
      </c>
      <c r="E267" s="8">
        <v>336</v>
      </c>
      <c r="F267" s="8">
        <v>4</v>
      </c>
      <c r="G267" s="8">
        <v>7</v>
      </c>
      <c r="H267" s="8">
        <v>4953</v>
      </c>
      <c r="I267" s="8" t="s">
        <v>543</v>
      </c>
      <c r="J267" s="8">
        <v>51865615</v>
      </c>
      <c r="K267" s="8" t="s">
        <v>2700</v>
      </c>
      <c r="L267" s="8" t="s">
        <v>2704</v>
      </c>
      <c r="M267" s="10">
        <v>79900</v>
      </c>
      <c r="N267" s="64">
        <v>0.6</v>
      </c>
      <c r="O267" s="12">
        <f t="shared" si="5"/>
        <v>31960</v>
      </c>
      <c r="P267" s="6" t="s">
        <v>3499</v>
      </c>
    </row>
    <row r="268" spans="1:16" x14ac:dyDescent="0.25">
      <c r="A268" s="6" t="s">
        <v>3508</v>
      </c>
      <c r="B268" s="45">
        <v>46121</v>
      </c>
      <c r="C268" s="45">
        <v>46127</v>
      </c>
      <c r="D268" s="8">
        <v>3271</v>
      </c>
      <c r="E268" s="8">
        <v>336</v>
      </c>
      <c r="F268" s="8">
        <v>4</v>
      </c>
      <c r="G268" s="8">
        <v>7</v>
      </c>
      <c r="H268" s="8">
        <v>4953</v>
      </c>
      <c r="I268" s="8" t="s">
        <v>543</v>
      </c>
      <c r="J268" s="8">
        <v>51865624</v>
      </c>
      <c r="K268" s="8" t="s">
        <v>2705</v>
      </c>
      <c r="L268" s="8" t="s">
        <v>2706</v>
      </c>
      <c r="M268" s="10">
        <v>79900</v>
      </c>
      <c r="N268" s="64">
        <v>0.6</v>
      </c>
      <c r="O268" s="12">
        <f t="shared" si="5"/>
        <v>31960</v>
      </c>
      <c r="P268" s="6" t="s">
        <v>3499</v>
      </c>
    </row>
    <row r="269" spans="1:16" x14ac:dyDescent="0.25">
      <c r="A269" s="6" t="s">
        <v>3508</v>
      </c>
      <c r="B269" s="45">
        <v>46121</v>
      </c>
      <c r="C269" s="45">
        <v>46127</v>
      </c>
      <c r="D269" s="8">
        <v>3271</v>
      </c>
      <c r="E269" s="8">
        <v>336</v>
      </c>
      <c r="F269" s="8">
        <v>4</v>
      </c>
      <c r="G269" s="8">
        <v>7</v>
      </c>
      <c r="H269" s="8">
        <v>4953</v>
      </c>
      <c r="I269" s="8" t="s">
        <v>543</v>
      </c>
      <c r="J269" s="8">
        <v>51865633</v>
      </c>
      <c r="K269" s="8" t="s">
        <v>2705</v>
      </c>
      <c r="L269" s="8" t="s">
        <v>2707</v>
      </c>
      <c r="M269" s="10">
        <v>79900</v>
      </c>
      <c r="N269" s="64">
        <v>0.6</v>
      </c>
      <c r="O269" s="12">
        <f t="shared" si="5"/>
        <v>31960</v>
      </c>
      <c r="P269" s="6" t="s">
        <v>3499</v>
      </c>
    </row>
    <row r="270" spans="1:16" x14ac:dyDescent="0.25">
      <c r="A270" s="6" t="s">
        <v>3508</v>
      </c>
      <c r="B270" s="45">
        <v>46121</v>
      </c>
      <c r="C270" s="45">
        <v>46127</v>
      </c>
      <c r="D270" s="8">
        <v>3271</v>
      </c>
      <c r="E270" s="8">
        <v>336</v>
      </c>
      <c r="F270" s="8">
        <v>4</v>
      </c>
      <c r="G270" s="8">
        <v>7</v>
      </c>
      <c r="H270" s="8">
        <v>4953</v>
      </c>
      <c r="I270" s="8" t="s">
        <v>543</v>
      </c>
      <c r="J270" s="8">
        <v>51865642</v>
      </c>
      <c r="K270" s="8" t="s">
        <v>2705</v>
      </c>
      <c r="L270" s="8" t="s">
        <v>2708</v>
      </c>
      <c r="M270" s="10">
        <v>79900</v>
      </c>
      <c r="N270" s="64">
        <v>0.6</v>
      </c>
      <c r="O270" s="12">
        <f t="shared" si="5"/>
        <v>31960</v>
      </c>
      <c r="P270" s="6" t="s">
        <v>3499</v>
      </c>
    </row>
    <row r="271" spans="1:16" x14ac:dyDescent="0.25">
      <c r="A271" s="6" t="s">
        <v>3508</v>
      </c>
      <c r="B271" s="45">
        <v>46121</v>
      </c>
      <c r="C271" s="45">
        <v>46127</v>
      </c>
      <c r="D271" s="8">
        <v>3271</v>
      </c>
      <c r="E271" s="8">
        <v>336</v>
      </c>
      <c r="F271" s="8">
        <v>4</v>
      </c>
      <c r="G271" s="8">
        <v>7</v>
      </c>
      <c r="H271" s="8">
        <v>4953</v>
      </c>
      <c r="I271" s="8" t="s">
        <v>543</v>
      </c>
      <c r="J271" s="8">
        <v>51865651</v>
      </c>
      <c r="K271" s="8" t="s">
        <v>2705</v>
      </c>
      <c r="L271" s="8" t="s">
        <v>2709</v>
      </c>
      <c r="M271" s="10">
        <v>79900</v>
      </c>
      <c r="N271" s="64">
        <v>0.6</v>
      </c>
      <c r="O271" s="12">
        <f t="shared" si="5"/>
        <v>31960</v>
      </c>
      <c r="P271" s="6" t="s">
        <v>3499</v>
      </c>
    </row>
    <row r="272" spans="1:16" x14ac:dyDescent="0.25">
      <c r="A272" s="6" t="s">
        <v>3508</v>
      </c>
      <c r="B272" s="45">
        <v>46121</v>
      </c>
      <c r="C272" s="45">
        <v>46127</v>
      </c>
      <c r="D272" s="8">
        <v>3271</v>
      </c>
      <c r="E272" s="8">
        <v>336</v>
      </c>
      <c r="F272" s="8">
        <v>4</v>
      </c>
      <c r="G272" s="8">
        <v>7</v>
      </c>
      <c r="H272" s="8">
        <v>81305</v>
      </c>
      <c r="I272" s="8" t="s">
        <v>543</v>
      </c>
      <c r="J272" s="8">
        <v>51679899</v>
      </c>
      <c r="K272" s="8" t="s">
        <v>2710</v>
      </c>
      <c r="L272" s="8" t="s">
        <v>2711</v>
      </c>
      <c r="M272" s="44">
        <v>79900</v>
      </c>
      <c r="N272" s="64">
        <v>0.6</v>
      </c>
      <c r="O272" s="12">
        <f t="shared" si="5"/>
        <v>31960</v>
      </c>
      <c r="P272" s="6" t="s">
        <v>3499</v>
      </c>
    </row>
    <row r="273" spans="1:16" x14ac:dyDescent="0.25">
      <c r="A273" s="6" t="s">
        <v>3508</v>
      </c>
      <c r="B273" s="45">
        <v>46121</v>
      </c>
      <c r="C273" s="45">
        <v>46127</v>
      </c>
      <c r="D273" s="8">
        <v>3271</v>
      </c>
      <c r="E273" s="8">
        <v>336</v>
      </c>
      <c r="F273" s="8">
        <v>4</v>
      </c>
      <c r="G273" s="8">
        <v>7</v>
      </c>
      <c r="H273" s="8">
        <v>81305</v>
      </c>
      <c r="I273" s="8" t="s">
        <v>543</v>
      </c>
      <c r="J273" s="8">
        <v>51679906</v>
      </c>
      <c r="K273" s="8" t="s">
        <v>2710</v>
      </c>
      <c r="L273" s="8" t="s">
        <v>2712</v>
      </c>
      <c r="M273" s="44">
        <v>79900</v>
      </c>
      <c r="N273" s="64">
        <v>0.6</v>
      </c>
      <c r="O273" s="12">
        <f t="shared" si="5"/>
        <v>31960</v>
      </c>
      <c r="P273" s="6" t="s">
        <v>3499</v>
      </c>
    </row>
    <row r="274" spans="1:16" x14ac:dyDescent="0.25">
      <c r="A274" s="6" t="s">
        <v>3508</v>
      </c>
      <c r="B274" s="45">
        <v>46121</v>
      </c>
      <c r="C274" s="45">
        <v>46127</v>
      </c>
      <c r="D274" s="8">
        <v>3271</v>
      </c>
      <c r="E274" s="8">
        <v>336</v>
      </c>
      <c r="F274" s="8">
        <v>4</v>
      </c>
      <c r="G274" s="8">
        <v>7</v>
      </c>
      <c r="H274" s="8">
        <v>81305</v>
      </c>
      <c r="I274" s="8" t="s">
        <v>543</v>
      </c>
      <c r="J274" s="8">
        <v>51679915</v>
      </c>
      <c r="K274" s="8" t="s">
        <v>2710</v>
      </c>
      <c r="L274" s="8" t="s">
        <v>2713</v>
      </c>
      <c r="M274" s="44">
        <v>79900</v>
      </c>
      <c r="N274" s="64">
        <v>0.6</v>
      </c>
      <c r="O274" s="12">
        <f t="shared" si="5"/>
        <v>31960</v>
      </c>
      <c r="P274" s="6" t="s">
        <v>3499</v>
      </c>
    </row>
    <row r="275" spans="1:16" x14ac:dyDescent="0.25">
      <c r="A275" s="6" t="s">
        <v>3508</v>
      </c>
      <c r="B275" s="45">
        <v>46121</v>
      </c>
      <c r="C275" s="45">
        <v>46127</v>
      </c>
      <c r="D275" s="8">
        <v>3271</v>
      </c>
      <c r="E275" s="8">
        <v>336</v>
      </c>
      <c r="F275" s="8">
        <v>4</v>
      </c>
      <c r="G275" s="8">
        <v>7</v>
      </c>
      <c r="H275" s="8">
        <v>81305</v>
      </c>
      <c r="I275" s="8" t="s">
        <v>543</v>
      </c>
      <c r="J275" s="8">
        <v>51679924</v>
      </c>
      <c r="K275" s="8" t="s">
        <v>2710</v>
      </c>
      <c r="L275" s="8" t="s">
        <v>2714</v>
      </c>
      <c r="M275" s="44">
        <v>79900</v>
      </c>
      <c r="N275" s="64">
        <v>0.6</v>
      </c>
      <c r="O275" s="12">
        <f t="shared" si="5"/>
        <v>31960</v>
      </c>
      <c r="P275" s="6" t="s">
        <v>3499</v>
      </c>
    </row>
    <row r="276" spans="1:16" x14ac:dyDescent="0.25">
      <c r="A276" s="6" t="s">
        <v>3508</v>
      </c>
      <c r="B276" s="45">
        <v>46121</v>
      </c>
      <c r="C276" s="45">
        <v>46127</v>
      </c>
      <c r="D276" s="8">
        <v>3271</v>
      </c>
      <c r="E276" s="8">
        <v>336</v>
      </c>
      <c r="F276" s="8">
        <v>4</v>
      </c>
      <c r="G276" s="8">
        <v>7</v>
      </c>
      <c r="H276" s="8">
        <v>81305</v>
      </c>
      <c r="I276" s="8" t="s">
        <v>543</v>
      </c>
      <c r="J276" s="8">
        <v>51679933</v>
      </c>
      <c r="K276" s="8" t="s">
        <v>2715</v>
      </c>
      <c r="L276" s="8" t="s">
        <v>2716</v>
      </c>
      <c r="M276" s="44">
        <v>79900</v>
      </c>
      <c r="N276" s="64">
        <v>0.6</v>
      </c>
      <c r="O276" s="12">
        <f t="shared" si="5"/>
        <v>31960</v>
      </c>
      <c r="P276" s="6" t="s">
        <v>3499</v>
      </c>
    </row>
    <row r="277" spans="1:16" x14ac:dyDescent="0.25">
      <c r="A277" s="6" t="s">
        <v>3508</v>
      </c>
      <c r="B277" s="45">
        <v>46121</v>
      </c>
      <c r="C277" s="45">
        <v>46127</v>
      </c>
      <c r="D277" s="8">
        <v>3271</v>
      </c>
      <c r="E277" s="8">
        <v>336</v>
      </c>
      <c r="F277" s="8">
        <v>4</v>
      </c>
      <c r="G277" s="8">
        <v>7</v>
      </c>
      <c r="H277" s="8">
        <v>81305</v>
      </c>
      <c r="I277" s="8" t="s">
        <v>543</v>
      </c>
      <c r="J277" s="8">
        <v>51679942</v>
      </c>
      <c r="K277" s="8" t="s">
        <v>2715</v>
      </c>
      <c r="L277" s="8" t="s">
        <v>2717</v>
      </c>
      <c r="M277" s="44">
        <v>79900</v>
      </c>
      <c r="N277" s="64">
        <v>0.6</v>
      </c>
      <c r="O277" s="12">
        <f t="shared" si="5"/>
        <v>31960</v>
      </c>
      <c r="P277" s="6" t="s">
        <v>3499</v>
      </c>
    </row>
    <row r="278" spans="1:16" x14ac:dyDescent="0.25">
      <c r="A278" s="6" t="s">
        <v>3508</v>
      </c>
      <c r="B278" s="45">
        <v>46121</v>
      </c>
      <c r="C278" s="45">
        <v>46127</v>
      </c>
      <c r="D278" s="8">
        <v>3271</v>
      </c>
      <c r="E278" s="8">
        <v>336</v>
      </c>
      <c r="F278" s="8">
        <v>4</v>
      </c>
      <c r="G278" s="8">
        <v>7</v>
      </c>
      <c r="H278" s="8">
        <v>81305</v>
      </c>
      <c r="I278" s="8" t="s">
        <v>543</v>
      </c>
      <c r="J278" s="8">
        <v>51679951</v>
      </c>
      <c r="K278" s="8" t="s">
        <v>2715</v>
      </c>
      <c r="L278" s="8" t="s">
        <v>2718</v>
      </c>
      <c r="M278" s="44">
        <v>79900</v>
      </c>
      <c r="N278" s="64">
        <v>0.6</v>
      </c>
      <c r="O278" s="12">
        <f t="shared" si="5"/>
        <v>31960</v>
      </c>
      <c r="P278" s="6" t="s">
        <v>3499</v>
      </c>
    </row>
    <row r="279" spans="1:16" x14ac:dyDescent="0.25">
      <c r="A279" s="6" t="s">
        <v>3508</v>
      </c>
      <c r="B279" s="45">
        <v>46121</v>
      </c>
      <c r="C279" s="45">
        <v>46127</v>
      </c>
      <c r="D279" s="8">
        <v>3271</v>
      </c>
      <c r="E279" s="8">
        <v>336</v>
      </c>
      <c r="F279" s="8">
        <v>4</v>
      </c>
      <c r="G279" s="8">
        <v>7</v>
      </c>
      <c r="H279" s="8">
        <v>81305</v>
      </c>
      <c r="I279" s="8" t="s">
        <v>543</v>
      </c>
      <c r="J279" s="8">
        <v>51679960</v>
      </c>
      <c r="K279" s="8" t="s">
        <v>2715</v>
      </c>
      <c r="L279" s="8" t="s">
        <v>2719</v>
      </c>
      <c r="M279" s="44">
        <v>79900</v>
      </c>
      <c r="N279" s="64">
        <v>0.6</v>
      </c>
      <c r="O279" s="12">
        <f t="shared" si="5"/>
        <v>31960</v>
      </c>
      <c r="P279" s="6" t="s">
        <v>3499</v>
      </c>
    </row>
    <row r="280" spans="1:16" x14ac:dyDescent="0.25">
      <c r="A280" s="6" t="s">
        <v>3508</v>
      </c>
      <c r="B280" s="45">
        <v>46121</v>
      </c>
      <c r="C280" s="45">
        <v>46127</v>
      </c>
      <c r="D280" s="8">
        <v>3271</v>
      </c>
      <c r="E280" s="8">
        <v>336</v>
      </c>
      <c r="F280" s="8">
        <v>4</v>
      </c>
      <c r="G280" s="8">
        <v>7</v>
      </c>
      <c r="H280" s="8">
        <v>81305</v>
      </c>
      <c r="I280" s="8" t="s">
        <v>543</v>
      </c>
      <c r="J280" s="8">
        <v>51679979</v>
      </c>
      <c r="K280" s="8" t="s">
        <v>2720</v>
      </c>
      <c r="L280" s="8" t="s">
        <v>2721</v>
      </c>
      <c r="M280" s="44">
        <v>79900</v>
      </c>
      <c r="N280" s="64">
        <v>0.6</v>
      </c>
      <c r="O280" s="12">
        <f t="shared" si="5"/>
        <v>31960</v>
      </c>
      <c r="P280" s="6" t="s">
        <v>3499</v>
      </c>
    </row>
    <row r="281" spans="1:16" x14ac:dyDescent="0.25">
      <c r="A281" s="6" t="s">
        <v>3508</v>
      </c>
      <c r="B281" s="45">
        <v>46121</v>
      </c>
      <c r="C281" s="45">
        <v>46127</v>
      </c>
      <c r="D281" s="8">
        <v>3271</v>
      </c>
      <c r="E281" s="8">
        <v>336</v>
      </c>
      <c r="F281" s="8">
        <v>4</v>
      </c>
      <c r="G281" s="8">
        <v>7</v>
      </c>
      <c r="H281" s="8">
        <v>81305</v>
      </c>
      <c r="I281" s="8" t="s">
        <v>543</v>
      </c>
      <c r="J281" s="8">
        <v>51679988</v>
      </c>
      <c r="K281" s="8" t="s">
        <v>2720</v>
      </c>
      <c r="L281" s="8" t="s">
        <v>2722</v>
      </c>
      <c r="M281" s="44">
        <v>79900</v>
      </c>
      <c r="N281" s="64">
        <v>0.6</v>
      </c>
      <c r="O281" s="12">
        <f t="shared" si="5"/>
        <v>31960</v>
      </c>
      <c r="P281" s="6" t="s">
        <v>3499</v>
      </c>
    </row>
    <row r="282" spans="1:16" x14ac:dyDescent="0.25">
      <c r="A282" s="6" t="s">
        <v>3508</v>
      </c>
      <c r="B282" s="45">
        <v>46121</v>
      </c>
      <c r="C282" s="45">
        <v>46127</v>
      </c>
      <c r="D282" s="8">
        <v>3271</v>
      </c>
      <c r="E282" s="8">
        <v>336</v>
      </c>
      <c r="F282" s="8">
        <v>4</v>
      </c>
      <c r="G282" s="8">
        <v>7</v>
      </c>
      <c r="H282" s="8">
        <v>81305</v>
      </c>
      <c r="I282" s="8" t="s">
        <v>543</v>
      </c>
      <c r="J282" s="8">
        <v>51679997</v>
      </c>
      <c r="K282" s="8" t="s">
        <v>2720</v>
      </c>
      <c r="L282" s="8" t="s">
        <v>2723</v>
      </c>
      <c r="M282" s="44">
        <v>79900</v>
      </c>
      <c r="N282" s="64">
        <v>0.6</v>
      </c>
      <c r="O282" s="12">
        <f t="shared" si="5"/>
        <v>31960</v>
      </c>
      <c r="P282" s="6" t="s">
        <v>3499</v>
      </c>
    </row>
    <row r="283" spans="1:16" x14ac:dyDescent="0.25">
      <c r="A283" s="6" t="s">
        <v>3508</v>
      </c>
      <c r="B283" s="45">
        <v>46121</v>
      </c>
      <c r="C283" s="45">
        <v>46127</v>
      </c>
      <c r="D283" s="8">
        <v>3271</v>
      </c>
      <c r="E283" s="8">
        <v>336</v>
      </c>
      <c r="F283" s="8">
        <v>4</v>
      </c>
      <c r="G283" s="8">
        <v>7</v>
      </c>
      <c r="H283" s="8">
        <v>81305</v>
      </c>
      <c r="I283" s="8" t="s">
        <v>543</v>
      </c>
      <c r="J283" s="8">
        <v>51680001</v>
      </c>
      <c r="K283" s="8" t="s">
        <v>2720</v>
      </c>
      <c r="L283" s="8" t="s">
        <v>2724</v>
      </c>
      <c r="M283" s="44">
        <v>79900</v>
      </c>
      <c r="N283" s="64">
        <v>0.6</v>
      </c>
      <c r="O283" s="12">
        <f t="shared" si="5"/>
        <v>31960</v>
      </c>
      <c r="P283" s="6" t="s">
        <v>3499</v>
      </c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B62F-9862-4369-ADA3-FE07EA7F103D}">
  <sheetPr>
    <tabColor rgb="FF00B050"/>
  </sheetPr>
  <dimension ref="A1:P29"/>
  <sheetViews>
    <sheetView topLeftCell="A13" workbookViewId="0">
      <selection activeCell="L19" sqref="L19"/>
    </sheetView>
  </sheetViews>
  <sheetFormatPr defaultRowHeight="15" x14ac:dyDescent="0.25"/>
  <cols>
    <col min="1" max="1" width="27.42578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3.5703125" bestFit="1" customWidth="1"/>
    <col min="12" max="12" width="92" bestFit="1" customWidth="1"/>
    <col min="13" max="13" width="15.5703125" bestFit="1" customWidth="1"/>
    <col min="14" max="14" width="7.42578125" bestFit="1" customWidth="1"/>
    <col min="15" max="15" width="18.85546875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3507</v>
      </c>
      <c r="B2" s="7">
        <v>46121</v>
      </c>
      <c r="C2" s="7">
        <v>46127</v>
      </c>
      <c r="D2" s="6">
        <v>3271</v>
      </c>
      <c r="E2" s="6">
        <v>336</v>
      </c>
      <c r="F2" s="6">
        <v>4</v>
      </c>
      <c r="G2" s="42">
        <v>7</v>
      </c>
      <c r="H2" s="42">
        <v>81810</v>
      </c>
      <c r="I2" s="42" t="s">
        <v>543</v>
      </c>
      <c r="J2" s="42">
        <v>51902271</v>
      </c>
      <c r="K2" s="42" t="s">
        <v>2725</v>
      </c>
      <c r="L2" s="42" t="s">
        <v>2726</v>
      </c>
      <c r="M2" s="43">
        <v>169900</v>
      </c>
      <c r="N2" s="64">
        <v>0.6</v>
      </c>
      <c r="O2" s="12">
        <f t="shared" ref="O2" si="0">M2-((60*M2)/100)</f>
        <v>67960</v>
      </c>
      <c r="P2" s="6" t="s">
        <v>3499</v>
      </c>
    </row>
    <row r="3" spans="1:16" x14ac:dyDescent="0.25">
      <c r="A3" s="6" t="s">
        <v>3507</v>
      </c>
      <c r="B3" s="7">
        <v>46121</v>
      </c>
      <c r="C3" s="7">
        <v>46127</v>
      </c>
      <c r="D3" s="6">
        <v>3271</v>
      </c>
      <c r="E3" s="6">
        <v>336</v>
      </c>
      <c r="F3" s="6">
        <v>4</v>
      </c>
      <c r="G3" s="42">
        <v>7</v>
      </c>
      <c r="H3" s="42">
        <v>81810</v>
      </c>
      <c r="I3" s="42" t="s">
        <v>543</v>
      </c>
      <c r="J3" s="42">
        <v>51902280</v>
      </c>
      <c r="K3" s="42" t="s">
        <v>2725</v>
      </c>
      <c r="L3" s="42" t="s">
        <v>2727</v>
      </c>
      <c r="M3" s="43">
        <v>169900</v>
      </c>
      <c r="N3" s="64">
        <v>0.6</v>
      </c>
      <c r="O3" s="12">
        <f t="shared" ref="O3:O29" si="1">M3-((60*M3)/100)</f>
        <v>67960</v>
      </c>
      <c r="P3" s="6" t="s">
        <v>3499</v>
      </c>
    </row>
    <row r="4" spans="1:16" x14ac:dyDescent="0.25">
      <c r="A4" s="6" t="s">
        <v>3507</v>
      </c>
      <c r="B4" s="7">
        <v>46121</v>
      </c>
      <c r="C4" s="7">
        <v>46127</v>
      </c>
      <c r="D4" s="6">
        <v>3271</v>
      </c>
      <c r="E4" s="6">
        <v>336</v>
      </c>
      <c r="F4" s="6">
        <v>4</v>
      </c>
      <c r="G4" s="42">
        <v>7</v>
      </c>
      <c r="H4" s="42">
        <v>81810</v>
      </c>
      <c r="I4" s="42" t="s">
        <v>543</v>
      </c>
      <c r="J4" s="42">
        <v>51902299</v>
      </c>
      <c r="K4" s="42" t="s">
        <v>2725</v>
      </c>
      <c r="L4" s="42" t="s">
        <v>2728</v>
      </c>
      <c r="M4" s="43">
        <v>169900</v>
      </c>
      <c r="N4" s="64">
        <v>0.6</v>
      </c>
      <c r="O4" s="12">
        <f t="shared" si="1"/>
        <v>67960</v>
      </c>
      <c r="P4" s="6" t="s">
        <v>3499</v>
      </c>
    </row>
    <row r="5" spans="1:16" x14ac:dyDescent="0.25">
      <c r="A5" s="6" t="s">
        <v>3507</v>
      </c>
      <c r="B5" s="7">
        <v>46121</v>
      </c>
      <c r="C5" s="7">
        <v>46127</v>
      </c>
      <c r="D5" s="6">
        <v>3271</v>
      </c>
      <c r="E5" s="6">
        <v>336</v>
      </c>
      <c r="F5" s="6">
        <v>4</v>
      </c>
      <c r="G5" s="42">
        <v>7</v>
      </c>
      <c r="H5" s="42">
        <v>81810</v>
      </c>
      <c r="I5" s="42" t="s">
        <v>543</v>
      </c>
      <c r="J5" s="42">
        <v>51902306</v>
      </c>
      <c r="K5" s="42" t="s">
        <v>2725</v>
      </c>
      <c r="L5" s="42" t="s">
        <v>2729</v>
      </c>
      <c r="M5" s="43">
        <v>169900</v>
      </c>
      <c r="N5" s="64">
        <v>0.6</v>
      </c>
      <c r="O5" s="12">
        <f t="shared" si="1"/>
        <v>67960</v>
      </c>
      <c r="P5" s="6" t="s">
        <v>3499</v>
      </c>
    </row>
    <row r="6" spans="1:16" x14ac:dyDescent="0.25">
      <c r="A6" s="6" t="s">
        <v>3507</v>
      </c>
      <c r="B6" s="7">
        <v>46121</v>
      </c>
      <c r="C6" s="7">
        <v>46127</v>
      </c>
      <c r="D6" s="6">
        <v>3271</v>
      </c>
      <c r="E6" s="6">
        <v>336</v>
      </c>
      <c r="F6" s="6">
        <v>4</v>
      </c>
      <c r="G6" s="42">
        <v>7</v>
      </c>
      <c r="H6" s="42">
        <v>81810</v>
      </c>
      <c r="I6" s="42" t="s">
        <v>543</v>
      </c>
      <c r="J6" s="42">
        <v>51902315</v>
      </c>
      <c r="K6" s="42" t="s">
        <v>2730</v>
      </c>
      <c r="L6" s="42" t="s">
        <v>2731</v>
      </c>
      <c r="M6" s="43">
        <v>169900</v>
      </c>
      <c r="N6" s="64">
        <v>0.6</v>
      </c>
      <c r="O6" s="12">
        <f t="shared" si="1"/>
        <v>67960</v>
      </c>
      <c r="P6" s="6" t="s">
        <v>3499</v>
      </c>
    </row>
    <row r="7" spans="1:16" x14ac:dyDescent="0.25">
      <c r="A7" s="6" t="s">
        <v>3507</v>
      </c>
      <c r="B7" s="7">
        <v>46121</v>
      </c>
      <c r="C7" s="7">
        <v>46127</v>
      </c>
      <c r="D7" s="6">
        <v>3271</v>
      </c>
      <c r="E7" s="6">
        <v>336</v>
      </c>
      <c r="F7" s="6">
        <v>4</v>
      </c>
      <c r="G7" s="42">
        <v>7</v>
      </c>
      <c r="H7" s="42">
        <v>81810</v>
      </c>
      <c r="I7" s="42" t="s">
        <v>543</v>
      </c>
      <c r="J7" s="42">
        <v>51902324</v>
      </c>
      <c r="K7" s="42" t="s">
        <v>2730</v>
      </c>
      <c r="L7" s="42" t="s">
        <v>2732</v>
      </c>
      <c r="M7" s="43">
        <v>169900</v>
      </c>
      <c r="N7" s="64">
        <v>0.6</v>
      </c>
      <c r="O7" s="12">
        <f t="shared" si="1"/>
        <v>67960</v>
      </c>
      <c r="P7" s="6" t="s">
        <v>3499</v>
      </c>
    </row>
    <row r="8" spans="1:16" x14ac:dyDescent="0.25">
      <c r="A8" s="6" t="s">
        <v>3507</v>
      </c>
      <c r="B8" s="7">
        <v>46121</v>
      </c>
      <c r="C8" s="7">
        <v>46127</v>
      </c>
      <c r="D8" s="6">
        <v>3271</v>
      </c>
      <c r="E8" s="6">
        <v>336</v>
      </c>
      <c r="F8" s="6">
        <v>4</v>
      </c>
      <c r="G8" s="42">
        <v>7</v>
      </c>
      <c r="H8" s="42">
        <v>81810</v>
      </c>
      <c r="I8" s="42" t="s">
        <v>543</v>
      </c>
      <c r="J8" s="42">
        <v>51902333</v>
      </c>
      <c r="K8" s="42" t="s">
        <v>2730</v>
      </c>
      <c r="L8" s="42" t="s">
        <v>2733</v>
      </c>
      <c r="M8" s="43">
        <v>169900</v>
      </c>
      <c r="N8" s="64">
        <v>0.6</v>
      </c>
      <c r="O8" s="12">
        <f t="shared" si="1"/>
        <v>67960</v>
      </c>
      <c r="P8" s="6" t="s">
        <v>3499</v>
      </c>
    </row>
    <row r="9" spans="1:16" x14ac:dyDescent="0.25">
      <c r="A9" s="6" t="s">
        <v>3507</v>
      </c>
      <c r="B9" s="7">
        <v>46121</v>
      </c>
      <c r="C9" s="7">
        <v>46127</v>
      </c>
      <c r="D9" s="6">
        <v>3271</v>
      </c>
      <c r="E9" s="6">
        <v>336</v>
      </c>
      <c r="F9" s="6">
        <v>4</v>
      </c>
      <c r="G9" s="42">
        <v>7</v>
      </c>
      <c r="H9" s="42">
        <v>81810</v>
      </c>
      <c r="I9" s="42" t="s">
        <v>543</v>
      </c>
      <c r="J9" s="42">
        <v>51902342</v>
      </c>
      <c r="K9" s="42" t="s">
        <v>2730</v>
      </c>
      <c r="L9" s="42" t="s">
        <v>2734</v>
      </c>
      <c r="M9" s="43">
        <v>169900</v>
      </c>
      <c r="N9" s="64">
        <v>0.6</v>
      </c>
      <c r="O9" s="12">
        <f t="shared" si="1"/>
        <v>67960</v>
      </c>
      <c r="P9" s="6" t="s">
        <v>3499</v>
      </c>
    </row>
    <row r="10" spans="1:16" x14ac:dyDescent="0.25">
      <c r="A10" s="6" t="s">
        <v>3507</v>
      </c>
      <c r="B10" s="7">
        <v>46121</v>
      </c>
      <c r="C10" s="7">
        <v>46127</v>
      </c>
      <c r="D10" s="6">
        <v>3271</v>
      </c>
      <c r="E10" s="6">
        <v>336</v>
      </c>
      <c r="F10" s="6">
        <v>4</v>
      </c>
      <c r="G10" s="42">
        <v>7</v>
      </c>
      <c r="H10" s="42">
        <v>81810</v>
      </c>
      <c r="I10" s="42" t="s">
        <v>543</v>
      </c>
      <c r="J10" s="42">
        <v>51902351</v>
      </c>
      <c r="K10" s="42" t="s">
        <v>2735</v>
      </c>
      <c r="L10" s="42" t="s">
        <v>2736</v>
      </c>
      <c r="M10" s="43">
        <v>169900</v>
      </c>
      <c r="N10" s="64">
        <v>0.6</v>
      </c>
      <c r="O10" s="12">
        <f t="shared" si="1"/>
        <v>67960</v>
      </c>
      <c r="P10" s="6" t="s">
        <v>3499</v>
      </c>
    </row>
    <row r="11" spans="1:16" x14ac:dyDescent="0.25">
      <c r="A11" s="6" t="s">
        <v>3507</v>
      </c>
      <c r="B11" s="7">
        <v>46121</v>
      </c>
      <c r="C11" s="7">
        <v>46127</v>
      </c>
      <c r="D11" s="6">
        <v>3271</v>
      </c>
      <c r="E11" s="6">
        <v>336</v>
      </c>
      <c r="F11" s="6">
        <v>4</v>
      </c>
      <c r="G11" s="42">
        <v>7</v>
      </c>
      <c r="H11" s="42">
        <v>81810</v>
      </c>
      <c r="I11" s="42" t="s">
        <v>543</v>
      </c>
      <c r="J11" s="42">
        <v>51902360</v>
      </c>
      <c r="K11" s="42" t="s">
        <v>2735</v>
      </c>
      <c r="L11" s="42" t="s">
        <v>2737</v>
      </c>
      <c r="M11" s="43">
        <v>169900</v>
      </c>
      <c r="N11" s="64">
        <v>0.6</v>
      </c>
      <c r="O11" s="12">
        <f t="shared" si="1"/>
        <v>67960</v>
      </c>
      <c r="P11" s="6" t="s">
        <v>3499</v>
      </c>
    </row>
    <row r="12" spans="1:16" x14ac:dyDescent="0.25">
      <c r="A12" s="6" t="s">
        <v>3507</v>
      </c>
      <c r="B12" s="7">
        <v>46121</v>
      </c>
      <c r="C12" s="7">
        <v>46127</v>
      </c>
      <c r="D12" s="6">
        <v>3271</v>
      </c>
      <c r="E12" s="6">
        <v>336</v>
      </c>
      <c r="F12" s="6">
        <v>4</v>
      </c>
      <c r="G12" s="42">
        <v>7</v>
      </c>
      <c r="H12" s="42">
        <v>81810</v>
      </c>
      <c r="I12" s="42" t="s">
        <v>543</v>
      </c>
      <c r="J12" s="42">
        <v>51902379</v>
      </c>
      <c r="K12" s="42" t="s">
        <v>2735</v>
      </c>
      <c r="L12" s="42" t="s">
        <v>2738</v>
      </c>
      <c r="M12" s="43">
        <v>169900</v>
      </c>
      <c r="N12" s="64">
        <v>0.6</v>
      </c>
      <c r="O12" s="12">
        <f t="shared" si="1"/>
        <v>67960</v>
      </c>
      <c r="P12" s="6" t="s">
        <v>3499</v>
      </c>
    </row>
    <row r="13" spans="1:16" x14ac:dyDescent="0.25">
      <c r="A13" s="6" t="s">
        <v>3507</v>
      </c>
      <c r="B13" s="7">
        <v>46121</v>
      </c>
      <c r="C13" s="7">
        <v>46127</v>
      </c>
      <c r="D13" s="6">
        <v>3271</v>
      </c>
      <c r="E13" s="6">
        <v>336</v>
      </c>
      <c r="F13" s="6">
        <v>4</v>
      </c>
      <c r="G13" s="42">
        <v>7</v>
      </c>
      <c r="H13" s="42">
        <v>81810</v>
      </c>
      <c r="I13" s="42" t="s">
        <v>543</v>
      </c>
      <c r="J13" s="42">
        <v>51902388</v>
      </c>
      <c r="K13" s="42" t="s">
        <v>2735</v>
      </c>
      <c r="L13" s="42" t="s">
        <v>2739</v>
      </c>
      <c r="M13" s="43">
        <v>169900</v>
      </c>
      <c r="N13" s="64">
        <v>0.6</v>
      </c>
      <c r="O13" s="12">
        <f t="shared" si="1"/>
        <v>67960</v>
      </c>
      <c r="P13" s="6" t="s">
        <v>3499</v>
      </c>
    </row>
    <row r="14" spans="1:16" x14ac:dyDescent="0.25">
      <c r="A14" s="6" t="s">
        <v>3507</v>
      </c>
      <c r="B14" s="7">
        <v>46121</v>
      </c>
      <c r="C14" s="7">
        <v>46127</v>
      </c>
      <c r="D14" s="6">
        <v>3271</v>
      </c>
      <c r="E14" s="6">
        <v>336</v>
      </c>
      <c r="F14" s="6">
        <v>4</v>
      </c>
      <c r="G14" s="46">
        <v>7</v>
      </c>
      <c r="H14" s="46">
        <v>81810</v>
      </c>
      <c r="I14" s="46" t="s">
        <v>543</v>
      </c>
      <c r="J14" s="46">
        <v>51970877</v>
      </c>
      <c r="K14" s="46" t="s">
        <v>2740</v>
      </c>
      <c r="L14" s="46" t="s">
        <v>2741</v>
      </c>
      <c r="M14" s="48">
        <v>169900</v>
      </c>
      <c r="N14" s="64">
        <v>0.6</v>
      </c>
      <c r="O14" s="12">
        <f t="shared" si="1"/>
        <v>67960</v>
      </c>
      <c r="P14" s="6" t="s">
        <v>3499</v>
      </c>
    </row>
    <row r="15" spans="1:16" x14ac:dyDescent="0.25">
      <c r="A15" s="6" t="s">
        <v>3507</v>
      </c>
      <c r="B15" s="7">
        <v>46121</v>
      </c>
      <c r="C15" s="7">
        <v>46127</v>
      </c>
      <c r="D15" s="6">
        <v>3271</v>
      </c>
      <c r="E15" s="6">
        <v>336</v>
      </c>
      <c r="F15" s="6">
        <v>4</v>
      </c>
      <c r="G15" s="46">
        <v>7</v>
      </c>
      <c r="H15" s="46">
        <v>81810</v>
      </c>
      <c r="I15" s="46" t="s">
        <v>543</v>
      </c>
      <c r="J15" s="46">
        <v>51970886</v>
      </c>
      <c r="K15" s="46" t="s">
        <v>2740</v>
      </c>
      <c r="L15" s="46" t="s">
        <v>2742</v>
      </c>
      <c r="M15" s="48">
        <v>169900</v>
      </c>
      <c r="N15" s="64">
        <v>0.6</v>
      </c>
      <c r="O15" s="12">
        <f t="shared" si="1"/>
        <v>67960</v>
      </c>
      <c r="P15" s="6" t="s">
        <v>3499</v>
      </c>
    </row>
    <row r="16" spans="1:16" x14ac:dyDescent="0.25">
      <c r="A16" s="6" t="s">
        <v>3507</v>
      </c>
      <c r="B16" s="7">
        <v>46121</v>
      </c>
      <c r="C16" s="7">
        <v>46127</v>
      </c>
      <c r="D16" s="6">
        <v>3271</v>
      </c>
      <c r="E16" s="6">
        <v>336</v>
      </c>
      <c r="F16" s="6">
        <v>4</v>
      </c>
      <c r="G16" s="46">
        <v>7</v>
      </c>
      <c r="H16" s="46">
        <v>81810</v>
      </c>
      <c r="I16" s="46" t="s">
        <v>543</v>
      </c>
      <c r="J16" s="46">
        <v>51970895</v>
      </c>
      <c r="K16" s="46" t="s">
        <v>2740</v>
      </c>
      <c r="L16" s="46" t="s">
        <v>2743</v>
      </c>
      <c r="M16" s="48">
        <v>169900</v>
      </c>
      <c r="N16" s="64">
        <v>0.6</v>
      </c>
      <c r="O16" s="12">
        <f t="shared" si="1"/>
        <v>67960</v>
      </c>
      <c r="P16" s="6" t="s">
        <v>3499</v>
      </c>
    </row>
    <row r="17" spans="1:16" x14ac:dyDescent="0.25">
      <c r="A17" s="6" t="s">
        <v>3507</v>
      </c>
      <c r="B17" s="7">
        <v>46121</v>
      </c>
      <c r="C17" s="7">
        <v>46127</v>
      </c>
      <c r="D17" s="6">
        <v>3271</v>
      </c>
      <c r="E17" s="6">
        <v>336</v>
      </c>
      <c r="F17" s="6">
        <v>4</v>
      </c>
      <c r="G17" s="46">
        <v>7</v>
      </c>
      <c r="H17" s="46">
        <v>81810</v>
      </c>
      <c r="I17" s="46" t="s">
        <v>543</v>
      </c>
      <c r="J17" s="46">
        <v>51970902</v>
      </c>
      <c r="K17" s="46" t="s">
        <v>2740</v>
      </c>
      <c r="L17" s="46" t="s">
        <v>2744</v>
      </c>
      <c r="M17" s="48">
        <v>169900</v>
      </c>
      <c r="N17" s="64">
        <v>0.6</v>
      </c>
      <c r="O17" s="12">
        <f t="shared" si="1"/>
        <v>67960</v>
      </c>
      <c r="P17" s="6" t="s">
        <v>3499</v>
      </c>
    </row>
    <row r="18" spans="1:16" x14ac:dyDescent="0.25">
      <c r="A18" s="6" t="s">
        <v>3507</v>
      </c>
      <c r="B18" s="7">
        <v>46121</v>
      </c>
      <c r="C18" s="7">
        <v>46127</v>
      </c>
      <c r="D18" s="6">
        <v>3271</v>
      </c>
      <c r="E18" s="6">
        <v>336</v>
      </c>
      <c r="F18" s="6">
        <v>4</v>
      </c>
      <c r="G18" s="46">
        <v>7</v>
      </c>
      <c r="H18" s="46">
        <v>81810</v>
      </c>
      <c r="I18" s="46" t="s">
        <v>543</v>
      </c>
      <c r="J18" s="46">
        <v>51970911</v>
      </c>
      <c r="K18" s="46" t="s">
        <v>2745</v>
      </c>
      <c r="L18" s="46" t="s">
        <v>2746</v>
      </c>
      <c r="M18" s="48">
        <v>169900</v>
      </c>
      <c r="N18" s="64">
        <v>0.6</v>
      </c>
      <c r="O18" s="12">
        <f t="shared" si="1"/>
        <v>67960</v>
      </c>
      <c r="P18" s="6" t="s">
        <v>3499</v>
      </c>
    </row>
    <row r="19" spans="1:16" x14ac:dyDescent="0.25">
      <c r="A19" s="6" t="s">
        <v>3507</v>
      </c>
      <c r="B19" s="7">
        <v>46121</v>
      </c>
      <c r="C19" s="7">
        <v>46127</v>
      </c>
      <c r="D19" s="6">
        <v>3271</v>
      </c>
      <c r="E19" s="6">
        <v>336</v>
      </c>
      <c r="F19" s="6">
        <v>4</v>
      </c>
      <c r="G19" s="46">
        <v>7</v>
      </c>
      <c r="H19" s="46">
        <v>81810</v>
      </c>
      <c r="I19" s="46" t="s">
        <v>543</v>
      </c>
      <c r="J19" s="46">
        <v>51970920</v>
      </c>
      <c r="K19" s="46" t="s">
        <v>2745</v>
      </c>
      <c r="L19" s="46" t="s">
        <v>2747</v>
      </c>
      <c r="M19" s="48">
        <v>169900</v>
      </c>
      <c r="N19" s="64">
        <v>0.6</v>
      </c>
      <c r="O19" s="12">
        <f t="shared" si="1"/>
        <v>67960</v>
      </c>
      <c r="P19" s="6" t="s">
        <v>3499</v>
      </c>
    </row>
    <row r="20" spans="1:16" x14ac:dyDescent="0.25">
      <c r="A20" s="6" t="s">
        <v>3507</v>
      </c>
      <c r="B20" s="7">
        <v>46121</v>
      </c>
      <c r="C20" s="7">
        <v>46127</v>
      </c>
      <c r="D20" s="6">
        <v>3271</v>
      </c>
      <c r="E20" s="6">
        <v>336</v>
      </c>
      <c r="F20" s="6">
        <v>4</v>
      </c>
      <c r="G20" s="46">
        <v>7</v>
      </c>
      <c r="H20" s="46">
        <v>81810</v>
      </c>
      <c r="I20" s="46" t="s">
        <v>543</v>
      </c>
      <c r="J20" s="46">
        <v>51970939</v>
      </c>
      <c r="K20" s="46" t="s">
        <v>2745</v>
      </c>
      <c r="L20" s="46" t="s">
        <v>2748</v>
      </c>
      <c r="M20" s="48">
        <v>169900</v>
      </c>
      <c r="N20" s="64">
        <v>0.6</v>
      </c>
      <c r="O20" s="12">
        <f t="shared" si="1"/>
        <v>67960</v>
      </c>
      <c r="P20" s="6" t="s">
        <v>3499</v>
      </c>
    </row>
    <row r="21" spans="1:16" x14ac:dyDescent="0.25">
      <c r="A21" s="6" t="s">
        <v>3507</v>
      </c>
      <c r="B21" s="7">
        <v>46121</v>
      </c>
      <c r="C21" s="7">
        <v>46127</v>
      </c>
      <c r="D21" s="6">
        <v>3271</v>
      </c>
      <c r="E21" s="6">
        <v>336</v>
      </c>
      <c r="F21" s="6">
        <v>4</v>
      </c>
      <c r="G21" s="46">
        <v>7</v>
      </c>
      <c r="H21" s="46">
        <v>81810</v>
      </c>
      <c r="I21" s="46" t="s">
        <v>543</v>
      </c>
      <c r="J21" s="46">
        <v>51970948</v>
      </c>
      <c r="K21" s="46" t="s">
        <v>2745</v>
      </c>
      <c r="L21" s="46" t="s">
        <v>2749</v>
      </c>
      <c r="M21" s="48">
        <v>169900</v>
      </c>
      <c r="N21" s="64">
        <v>0.6</v>
      </c>
      <c r="O21" s="12">
        <f t="shared" si="1"/>
        <v>67960</v>
      </c>
      <c r="P21" s="6" t="s">
        <v>3499</v>
      </c>
    </row>
    <row r="22" spans="1:16" x14ac:dyDescent="0.25">
      <c r="A22" s="6" t="s">
        <v>3507</v>
      </c>
      <c r="B22" s="7">
        <v>46121</v>
      </c>
      <c r="C22" s="7">
        <v>46127</v>
      </c>
      <c r="D22" s="6">
        <v>3271</v>
      </c>
      <c r="E22" s="6">
        <v>336</v>
      </c>
      <c r="F22" s="6">
        <v>4</v>
      </c>
      <c r="G22" s="46">
        <v>7</v>
      </c>
      <c r="H22" s="46">
        <v>81810</v>
      </c>
      <c r="I22" s="46" t="s">
        <v>543</v>
      </c>
      <c r="J22" s="46">
        <v>51970957</v>
      </c>
      <c r="K22" s="46" t="s">
        <v>2750</v>
      </c>
      <c r="L22" s="46" t="s">
        <v>2751</v>
      </c>
      <c r="M22" s="48">
        <v>169900</v>
      </c>
      <c r="N22" s="64">
        <v>0.6</v>
      </c>
      <c r="O22" s="12">
        <f t="shared" si="1"/>
        <v>67960</v>
      </c>
      <c r="P22" s="6" t="s">
        <v>3499</v>
      </c>
    </row>
    <row r="23" spans="1:16" x14ac:dyDescent="0.25">
      <c r="A23" s="6" t="s">
        <v>3507</v>
      </c>
      <c r="B23" s="7">
        <v>46121</v>
      </c>
      <c r="C23" s="7">
        <v>46127</v>
      </c>
      <c r="D23" s="6">
        <v>3271</v>
      </c>
      <c r="E23" s="6">
        <v>336</v>
      </c>
      <c r="F23" s="6">
        <v>4</v>
      </c>
      <c r="G23" s="46">
        <v>7</v>
      </c>
      <c r="H23" s="46">
        <v>81810</v>
      </c>
      <c r="I23" s="46" t="s">
        <v>543</v>
      </c>
      <c r="J23" s="46">
        <v>51970966</v>
      </c>
      <c r="K23" s="46" t="s">
        <v>2750</v>
      </c>
      <c r="L23" s="46" t="s">
        <v>2752</v>
      </c>
      <c r="M23" s="48">
        <v>169900</v>
      </c>
      <c r="N23" s="64">
        <v>0.6</v>
      </c>
      <c r="O23" s="12">
        <f t="shared" si="1"/>
        <v>67960</v>
      </c>
      <c r="P23" s="6" t="s">
        <v>3499</v>
      </c>
    </row>
    <row r="24" spans="1:16" x14ac:dyDescent="0.25">
      <c r="A24" s="6" t="s">
        <v>3507</v>
      </c>
      <c r="B24" s="7">
        <v>46121</v>
      </c>
      <c r="C24" s="7">
        <v>46127</v>
      </c>
      <c r="D24" s="6">
        <v>3271</v>
      </c>
      <c r="E24" s="6">
        <v>336</v>
      </c>
      <c r="F24" s="6">
        <v>4</v>
      </c>
      <c r="G24" s="46">
        <v>7</v>
      </c>
      <c r="H24" s="46">
        <v>81810</v>
      </c>
      <c r="I24" s="46" t="s">
        <v>543</v>
      </c>
      <c r="J24" s="46">
        <v>51970975</v>
      </c>
      <c r="K24" s="46" t="s">
        <v>2750</v>
      </c>
      <c r="L24" s="46" t="s">
        <v>2753</v>
      </c>
      <c r="M24" s="48">
        <v>169900</v>
      </c>
      <c r="N24" s="64">
        <v>0.6</v>
      </c>
      <c r="O24" s="12">
        <f t="shared" si="1"/>
        <v>67960</v>
      </c>
      <c r="P24" s="6" t="s">
        <v>3499</v>
      </c>
    </row>
    <row r="25" spans="1:16" x14ac:dyDescent="0.25">
      <c r="A25" s="6" t="s">
        <v>3507</v>
      </c>
      <c r="B25" s="7">
        <v>46121</v>
      </c>
      <c r="C25" s="7">
        <v>46127</v>
      </c>
      <c r="D25" s="6">
        <v>3271</v>
      </c>
      <c r="E25" s="6">
        <v>336</v>
      </c>
      <c r="F25" s="6">
        <v>4</v>
      </c>
      <c r="G25" s="46">
        <v>7</v>
      </c>
      <c r="H25" s="46">
        <v>81810</v>
      </c>
      <c r="I25" s="46" t="s">
        <v>543</v>
      </c>
      <c r="J25" s="46">
        <v>51970984</v>
      </c>
      <c r="K25" s="46" t="s">
        <v>2750</v>
      </c>
      <c r="L25" s="46" t="s">
        <v>2754</v>
      </c>
      <c r="M25" s="48">
        <v>169900</v>
      </c>
      <c r="N25" s="64">
        <v>0.6</v>
      </c>
      <c r="O25" s="12">
        <f t="shared" si="1"/>
        <v>67960</v>
      </c>
      <c r="P25" s="6" t="s">
        <v>3499</v>
      </c>
    </row>
    <row r="26" spans="1:16" x14ac:dyDescent="0.25">
      <c r="A26" s="6" t="s">
        <v>3507</v>
      </c>
      <c r="B26" s="7">
        <v>46121</v>
      </c>
      <c r="C26" s="7">
        <v>46127</v>
      </c>
      <c r="D26" s="6">
        <v>3271</v>
      </c>
      <c r="E26" s="6">
        <v>336</v>
      </c>
      <c r="F26" s="6">
        <v>4</v>
      </c>
      <c r="G26" s="46">
        <v>7</v>
      </c>
      <c r="H26" s="46">
        <v>81810</v>
      </c>
      <c r="I26" s="46" t="s">
        <v>543</v>
      </c>
      <c r="J26" s="46">
        <v>51970993</v>
      </c>
      <c r="K26" s="46" t="s">
        <v>2755</v>
      </c>
      <c r="L26" s="46" t="s">
        <v>2756</v>
      </c>
      <c r="M26" s="48">
        <v>169900</v>
      </c>
      <c r="N26" s="64">
        <v>0.6</v>
      </c>
      <c r="O26" s="12">
        <f t="shared" si="1"/>
        <v>67960</v>
      </c>
      <c r="P26" s="6" t="s">
        <v>3499</v>
      </c>
    </row>
    <row r="27" spans="1:16" x14ac:dyDescent="0.25">
      <c r="A27" s="6" t="s">
        <v>3507</v>
      </c>
      <c r="B27" s="7">
        <v>46121</v>
      </c>
      <c r="C27" s="7">
        <v>46127</v>
      </c>
      <c r="D27" s="6">
        <v>3271</v>
      </c>
      <c r="E27" s="6">
        <v>336</v>
      </c>
      <c r="F27" s="6">
        <v>4</v>
      </c>
      <c r="G27" s="46">
        <v>7</v>
      </c>
      <c r="H27" s="46">
        <v>81810</v>
      </c>
      <c r="I27" s="46" t="s">
        <v>543</v>
      </c>
      <c r="J27" s="46">
        <v>51971009</v>
      </c>
      <c r="K27" s="46" t="s">
        <v>2755</v>
      </c>
      <c r="L27" s="46" t="s">
        <v>2757</v>
      </c>
      <c r="M27" s="48">
        <v>169900</v>
      </c>
      <c r="N27" s="64">
        <v>0.6</v>
      </c>
      <c r="O27" s="12">
        <f t="shared" si="1"/>
        <v>67960</v>
      </c>
      <c r="P27" s="6" t="s">
        <v>3499</v>
      </c>
    </row>
    <row r="28" spans="1:16" x14ac:dyDescent="0.25">
      <c r="A28" s="6" t="s">
        <v>3507</v>
      </c>
      <c r="B28" s="7">
        <v>46121</v>
      </c>
      <c r="C28" s="7">
        <v>46127</v>
      </c>
      <c r="D28" s="6">
        <v>3271</v>
      </c>
      <c r="E28" s="6">
        <v>336</v>
      </c>
      <c r="F28" s="6">
        <v>4</v>
      </c>
      <c r="G28" s="46">
        <v>7</v>
      </c>
      <c r="H28" s="46">
        <v>81810</v>
      </c>
      <c r="I28" s="46" t="s">
        <v>543</v>
      </c>
      <c r="J28" s="46">
        <v>51971018</v>
      </c>
      <c r="K28" s="46" t="s">
        <v>2755</v>
      </c>
      <c r="L28" s="46" t="s">
        <v>2758</v>
      </c>
      <c r="M28" s="48">
        <v>169900</v>
      </c>
      <c r="N28" s="64">
        <v>0.6</v>
      </c>
      <c r="O28" s="12">
        <f t="shared" si="1"/>
        <v>67960</v>
      </c>
      <c r="P28" s="6" t="s">
        <v>3499</v>
      </c>
    </row>
    <row r="29" spans="1:16" x14ac:dyDescent="0.25">
      <c r="A29" s="6" t="s">
        <v>3507</v>
      </c>
      <c r="B29" s="7">
        <v>46121</v>
      </c>
      <c r="C29" s="7">
        <v>46127</v>
      </c>
      <c r="D29" s="6">
        <v>3271</v>
      </c>
      <c r="E29" s="6">
        <v>336</v>
      </c>
      <c r="F29" s="6">
        <v>4</v>
      </c>
      <c r="G29" s="46">
        <v>7</v>
      </c>
      <c r="H29" s="46">
        <v>81810</v>
      </c>
      <c r="I29" s="46" t="s">
        <v>543</v>
      </c>
      <c r="J29" s="46">
        <v>51971027</v>
      </c>
      <c r="K29" s="46" t="s">
        <v>2755</v>
      </c>
      <c r="L29" s="46" t="s">
        <v>2759</v>
      </c>
      <c r="M29" s="48">
        <v>169900</v>
      </c>
      <c r="N29" s="64">
        <v>0.6</v>
      </c>
      <c r="O29" s="12">
        <f t="shared" si="1"/>
        <v>67960</v>
      </c>
      <c r="P29" s="6" t="s">
        <v>3499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D9229-6D50-4EE2-B76C-08B7EDF0FF1C}">
  <sheetPr>
    <tabColor rgb="FF00B050"/>
  </sheetPr>
  <dimension ref="A1:P77"/>
  <sheetViews>
    <sheetView workbookViewId="0">
      <selection activeCell="E10" sqref="E10"/>
    </sheetView>
  </sheetViews>
  <sheetFormatPr defaultRowHeight="15" x14ac:dyDescent="0.25"/>
  <cols>
    <col min="1" max="1" width="26.570312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85546875" bestFit="1" customWidth="1"/>
    <col min="12" max="12" width="68.42578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3510</v>
      </c>
      <c r="B2" s="7">
        <v>46121</v>
      </c>
      <c r="C2" s="7">
        <v>46127</v>
      </c>
      <c r="D2" s="6">
        <v>3271</v>
      </c>
      <c r="E2" s="6">
        <v>336</v>
      </c>
      <c r="F2" s="6">
        <v>4</v>
      </c>
      <c r="G2" s="6">
        <v>6</v>
      </c>
      <c r="H2" s="6">
        <v>81328</v>
      </c>
      <c r="I2" s="6" t="s">
        <v>543</v>
      </c>
      <c r="J2" s="6">
        <v>53866754</v>
      </c>
      <c r="K2" s="6" t="s">
        <v>2760</v>
      </c>
      <c r="L2" s="6" t="s">
        <v>2761</v>
      </c>
      <c r="M2" s="17">
        <v>79900</v>
      </c>
      <c r="N2" s="64">
        <v>0.7</v>
      </c>
      <c r="O2" s="12">
        <f t="shared" ref="O2" si="0">M2-((70*M2)/100)</f>
        <v>23970</v>
      </c>
      <c r="P2" s="6" t="s">
        <v>3499</v>
      </c>
    </row>
    <row r="3" spans="1:16" x14ac:dyDescent="0.25">
      <c r="A3" s="6" t="s">
        <v>3510</v>
      </c>
      <c r="B3" s="7">
        <v>46121</v>
      </c>
      <c r="C3" s="7">
        <v>46127</v>
      </c>
      <c r="D3" s="6">
        <v>3271</v>
      </c>
      <c r="E3" s="6">
        <v>336</v>
      </c>
      <c r="F3" s="6">
        <v>4</v>
      </c>
      <c r="G3" s="6">
        <v>6</v>
      </c>
      <c r="H3" s="6">
        <v>81328</v>
      </c>
      <c r="I3" s="6" t="s">
        <v>543</v>
      </c>
      <c r="J3" s="6">
        <v>53866763</v>
      </c>
      <c r="K3" s="6" t="s">
        <v>2760</v>
      </c>
      <c r="L3" s="6" t="s">
        <v>2762</v>
      </c>
      <c r="M3" s="17">
        <v>79900</v>
      </c>
      <c r="N3" s="64">
        <v>0.7</v>
      </c>
      <c r="O3" s="12">
        <f t="shared" ref="O3:O66" si="1">M3-((70*M3)/100)</f>
        <v>23970</v>
      </c>
      <c r="P3" s="6" t="s">
        <v>3499</v>
      </c>
    </row>
    <row r="4" spans="1:16" x14ac:dyDescent="0.25">
      <c r="A4" s="6" t="s">
        <v>3510</v>
      </c>
      <c r="B4" s="7">
        <v>46121</v>
      </c>
      <c r="C4" s="7">
        <v>46127</v>
      </c>
      <c r="D4" s="6">
        <v>3271</v>
      </c>
      <c r="E4" s="6">
        <v>336</v>
      </c>
      <c r="F4" s="6">
        <v>4</v>
      </c>
      <c r="G4" s="6">
        <v>6</v>
      </c>
      <c r="H4" s="6">
        <v>81328</v>
      </c>
      <c r="I4" s="6" t="s">
        <v>543</v>
      </c>
      <c r="J4" s="6">
        <v>53866772</v>
      </c>
      <c r="K4" s="6" t="s">
        <v>2760</v>
      </c>
      <c r="L4" s="6" t="s">
        <v>2763</v>
      </c>
      <c r="M4" s="17">
        <v>79900</v>
      </c>
      <c r="N4" s="64">
        <v>0.7</v>
      </c>
      <c r="O4" s="12">
        <f t="shared" si="1"/>
        <v>23970</v>
      </c>
      <c r="P4" s="6" t="s">
        <v>3499</v>
      </c>
    </row>
    <row r="5" spans="1:16" x14ac:dyDescent="0.25">
      <c r="A5" s="6" t="s">
        <v>3510</v>
      </c>
      <c r="B5" s="7">
        <v>46121</v>
      </c>
      <c r="C5" s="7">
        <v>46127</v>
      </c>
      <c r="D5" s="6">
        <v>3271</v>
      </c>
      <c r="E5" s="6">
        <v>336</v>
      </c>
      <c r="F5" s="6">
        <v>4</v>
      </c>
      <c r="G5" s="6">
        <v>6</v>
      </c>
      <c r="H5" s="6">
        <v>81328</v>
      </c>
      <c r="I5" s="6" t="s">
        <v>543</v>
      </c>
      <c r="J5" s="6">
        <v>53866781</v>
      </c>
      <c r="K5" s="6" t="s">
        <v>2760</v>
      </c>
      <c r="L5" s="6" t="s">
        <v>2764</v>
      </c>
      <c r="M5" s="17">
        <v>79900</v>
      </c>
      <c r="N5" s="64">
        <v>0.7</v>
      </c>
      <c r="O5" s="12">
        <f t="shared" si="1"/>
        <v>23970</v>
      </c>
      <c r="P5" s="6" t="s">
        <v>3499</v>
      </c>
    </row>
    <row r="6" spans="1:16" x14ac:dyDescent="0.25">
      <c r="A6" s="6" t="s">
        <v>3510</v>
      </c>
      <c r="B6" s="7">
        <v>46121</v>
      </c>
      <c r="C6" s="7">
        <v>46127</v>
      </c>
      <c r="D6" s="6">
        <v>3271</v>
      </c>
      <c r="E6" s="6">
        <v>336</v>
      </c>
      <c r="F6" s="6">
        <v>4</v>
      </c>
      <c r="G6" s="6">
        <v>6</v>
      </c>
      <c r="H6" s="6">
        <v>81328</v>
      </c>
      <c r="I6" s="6" t="s">
        <v>543</v>
      </c>
      <c r="J6" s="6">
        <v>53866790</v>
      </c>
      <c r="K6" s="6" t="s">
        <v>2765</v>
      </c>
      <c r="L6" s="6" t="s">
        <v>2766</v>
      </c>
      <c r="M6" s="17">
        <v>79900</v>
      </c>
      <c r="N6" s="64">
        <v>0.7</v>
      </c>
      <c r="O6" s="12">
        <f t="shared" si="1"/>
        <v>23970</v>
      </c>
      <c r="P6" s="6" t="s">
        <v>3499</v>
      </c>
    </row>
    <row r="7" spans="1:16" x14ac:dyDescent="0.25">
      <c r="A7" s="6" t="s">
        <v>3510</v>
      </c>
      <c r="B7" s="7">
        <v>46121</v>
      </c>
      <c r="C7" s="7">
        <v>46127</v>
      </c>
      <c r="D7" s="6">
        <v>3271</v>
      </c>
      <c r="E7" s="6">
        <v>336</v>
      </c>
      <c r="F7" s="6">
        <v>4</v>
      </c>
      <c r="G7" s="6">
        <v>6</v>
      </c>
      <c r="H7" s="6">
        <v>81328</v>
      </c>
      <c r="I7" s="6" t="s">
        <v>543</v>
      </c>
      <c r="J7" s="6">
        <v>53866807</v>
      </c>
      <c r="K7" s="6" t="s">
        <v>2765</v>
      </c>
      <c r="L7" s="6" t="s">
        <v>2767</v>
      </c>
      <c r="M7" s="17">
        <v>79900</v>
      </c>
      <c r="N7" s="64">
        <v>0.7</v>
      </c>
      <c r="O7" s="12">
        <f t="shared" si="1"/>
        <v>23970</v>
      </c>
      <c r="P7" s="6" t="s">
        <v>3499</v>
      </c>
    </row>
    <row r="8" spans="1:16" x14ac:dyDescent="0.25">
      <c r="A8" s="6" t="s">
        <v>3510</v>
      </c>
      <c r="B8" s="7">
        <v>46121</v>
      </c>
      <c r="C8" s="7">
        <v>46127</v>
      </c>
      <c r="D8" s="6">
        <v>3271</v>
      </c>
      <c r="E8" s="6">
        <v>336</v>
      </c>
      <c r="F8" s="6">
        <v>4</v>
      </c>
      <c r="G8" s="6">
        <v>6</v>
      </c>
      <c r="H8" s="6">
        <v>81328</v>
      </c>
      <c r="I8" s="6" t="s">
        <v>543</v>
      </c>
      <c r="J8" s="6">
        <v>53866816</v>
      </c>
      <c r="K8" s="6" t="s">
        <v>2765</v>
      </c>
      <c r="L8" s="6" t="s">
        <v>2768</v>
      </c>
      <c r="M8" s="17">
        <v>79900</v>
      </c>
      <c r="N8" s="64">
        <v>0.7</v>
      </c>
      <c r="O8" s="12">
        <f t="shared" si="1"/>
        <v>23970</v>
      </c>
      <c r="P8" s="6" t="s">
        <v>3499</v>
      </c>
    </row>
    <row r="9" spans="1:16" x14ac:dyDescent="0.25">
      <c r="A9" s="6" t="s">
        <v>3510</v>
      </c>
      <c r="B9" s="7">
        <v>46121</v>
      </c>
      <c r="C9" s="7">
        <v>46127</v>
      </c>
      <c r="D9" s="6">
        <v>3271</v>
      </c>
      <c r="E9" s="6">
        <v>336</v>
      </c>
      <c r="F9" s="6">
        <v>4</v>
      </c>
      <c r="G9" s="6">
        <v>6</v>
      </c>
      <c r="H9" s="6">
        <v>81328</v>
      </c>
      <c r="I9" s="6" t="s">
        <v>543</v>
      </c>
      <c r="J9" s="6">
        <v>53866825</v>
      </c>
      <c r="K9" s="6" t="s">
        <v>2765</v>
      </c>
      <c r="L9" s="6" t="s">
        <v>2769</v>
      </c>
      <c r="M9" s="17">
        <v>79900</v>
      </c>
      <c r="N9" s="64">
        <v>0.7</v>
      </c>
      <c r="O9" s="12">
        <f t="shared" si="1"/>
        <v>23970</v>
      </c>
      <c r="P9" s="6" t="s">
        <v>3499</v>
      </c>
    </row>
    <row r="10" spans="1:16" x14ac:dyDescent="0.25">
      <c r="A10" s="6" t="s">
        <v>3510</v>
      </c>
      <c r="B10" s="7">
        <v>46121</v>
      </c>
      <c r="C10" s="7">
        <v>46127</v>
      </c>
      <c r="D10" s="6">
        <v>3271</v>
      </c>
      <c r="E10" s="6">
        <v>336</v>
      </c>
      <c r="F10" s="6">
        <v>4</v>
      </c>
      <c r="G10" s="6">
        <v>6</v>
      </c>
      <c r="H10" s="6">
        <v>81328</v>
      </c>
      <c r="I10" s="6" t="s">
        <v>543</v>
      </c>
      <c r="J10" s="6">
        <v>53866834</v>
      </c>
      <c r="K10" s="6" t="s">
        <v>2770</v>
      </c>
      <c r="L10" s="6" t="s">
        <v>2771</v>
      </c>
      <c r="M10" s="17">
        <v>79900</v>
      </c>
      <c r="N10" s="64">
        <v>0.7</v>
      </c>
      <c r="O10" s="12">
        <f t="shared" si="1"/>
        <v>23970</v>
      </c>
      <c r="P10" s="6" t="s">
        <v>3499</v>
      </c>
    </row>
    <row r="11" spans="1:16" x14ac:dyDescent="0.25">
      <c r="A11" s="6" t="s">
        <v>3510</v>
      </c>
      <c r="B11" s="7">
        <v>46121</v>
      </c>
      <c r="C11" s="7">
        <v>46127</v>
      </c>
      <c r="D11" s="6">
        <v>3271</v>
      </c>
      <c r="E11" s="6">
        <v>336</v>
      </c>
      <c r="F11" s="6">
        <v>4</v>
      </c>
      <c r="G11" s="6">
        <v>6</v>
      </c>
      <c r="H11" s="6">
        <v>81328</v>
      </c>
      <c r="I11" s="6" t="s">
        <v>543</v>
      </c>
      <c r="J11" s="6">
        <v>53866843</v>
      </c>
      <c r="K11" s="6" t="s">
        <v>2770</v>
      </c>
      <c r="L11" s="6" t="s">
        <v>2772</v>
      </c>
      <c r="M11" s="17">
        <v>79900</v>
      </c>
      <c r="N11" s="64">
        <v>0.7</v>
      </c>
      <c r="O11" s="12">
        <f t="shared" si="1"/>
        <v>23970</v>
      </c>
      <c r="P11" s="6" t="s">
        <v>3499</v>
      </c>
    </row>
    <row r="12" spans="1:16" x14ac:dyDescent="0.25">
      <c r="A12" s="6" t="s">
        <v>3510</v>
      </c>
      <c r="B12" s="7">
        <v>46121</v>
      </c>
      <c r="C12" s="7">
        <v>46127</v>
      </c>
      <c r="D12" s="6">
        <v>3271</v>
      </c>
      <c r="E12" s="6">
        <v>336</v>
      </c>
      <c r="F12" s="6">
        <v>4</v>
      </c>
      <c r="G12" s="6">
        <v>6</v>
      </c>
      <c r="H12" s="6">
        <v>81328</v>
      </c>
      <c r="I12" s="6" t="s">
        <v>543</v>
      </c>
      <c r="J12" s="6">
        <v>53866852</v>
      </c>
      <c r="K12" s="6" t="s">
        <v>2770</v>
      </c>
      <c r="L12" s="6" t="s">
        <v>2773</v>
      </c>
      <c r="M12" s="17">
        <v>79900</v>
      </c>
      <c r="N12" s="64">
        <v>0.7</v>
      </c>
      <c r="O12" s="12">
        <f t="shared" si="1"/>
        <v>23970</v>
      </c>
      <c r="P12" s="6" t="s">
        <v>3499</v>
      </c>
    </row>
    <row r="13" spans="1:16" x14ac:dyDescent="0.25">
      <c r="A13" s="6" t="s">
        <v>3510</v>
      </c>
      <c r="B13" s="7">
        <v>46121</v>
      </c>
      <c r="C13" s="7">
        <v>46127</v>
      </c>
      <c r="D13" s="6">
        <v>3271</v>
      </c>
      <c r="E13" s="6">
        <v>336</v>
      </c>
      <c r="F13" s="6">
        <v>4</v>
      </c>
      <c r="G13" s="6">
        <v>6</v>
      </c>
      <c r="H13" s="6">
        <v>81328</v>
      </c>
      <c r="I13" s="6" t="s">
        <v>543</v>
      </c>
      <c r="J13" s="6">
        <v>53866861</v>
      </c>
      <c r="K13" s="6" t="s">
        <v>2770</v>
      </c>
      <c r="L13" s="6" t="s">
        <v>2774</v>
      </c>
      <c r="M13" s="17">
        <v>79900</v>
      </c>
      <c r="N13" s="64">
        <v>0.7</v>
      </c>
      <c r="O13" s="12">
        <f t="shared" si="1"/>
        <v>23970</v>
      </c>
      <c r="P13" s="6" t="s">
        <v>3499</v>
      </c>
    </row>
    <row r="14" spans="1:16" x14ac:dyDescent="0.25">
      <c r="A14" s="6" t="s">
        <v>3510</v>
      </c>
      <c r="B14" s="7">
        <v>46121</v>
      </c>
      <c r="C14" s="7">
        <v>46127</v>
      </c>
      <c r="D14" s="6">
        <v>3271</v>
      </c>
      <c r="E14" s="6">
        <v>336</v>
      </c>
      <c r="F14" s="6">
        <v>4</v>
      </c>
      <c r="G14" s="6">
        <v>6</v>
      </c>
      <c r="H14" s="6">
        <v>4953</v>
      </c>
      <c r="I14" s="6" t="s">
        <v>543</v>
      </c>
      <c r="J14" s="6">
        <v>53763598</v>
      </c>
      <c r="K14" s="6" t="s">
        <v>2775</v>
      </c>
      <c r="L14" s="6" t="s">
        <v>2776</v>
      </c>
      <c r="M14" s="17">
        <v>79900</v>
      </c>
      <c r="N14" s="64">
        <v>0.7</v>
      </c>
      <c r="O14" s="12">
        <f t="shared" si="1"/>
        <v>23970</v>
      </c>
      <c r="P14" s="6" t="s">
        <v>3499</v>
      </c>
    </row>
    <row r="15" spans="1:16" x14ac:dyDescent="0.25">
      <c r="A15" s="6" t="s">
        <v>3510</v>
      </c>
      <c r="B15" s="7">
        <v>46121</v>
      </c>
      <c r="C15" s="7">
        <v>46127</v>
      </c>
      <c r="D15" s="6">
        <v>3271</v>
      </c>
      <c r="E15" s="6">
        <v>336</v>
      </c>
      <c r="F15" s="6">
        <v>4</v>
      </c>
      <c r="G15" s="6">
        <v>6</v>
      </c>
      <c r="H15" s="6">
        <v>4953</v>
      </c>
      <c r="I15" s="6" t="s">
        <v>543</v>
      </c>
      <c r="J15" s="6">
        <v>53763605</v>
      </c>
      <c r="K15" s="6" t="s">
        <v>2775</v>
      </c>
      <c r="L15" s="6" t="s">
        <v>2777</v>
      </c>
      <c r="M15" s="17">
        <v>79900</v>
      </c>
      <c r="N15" s="64">
        <v>0.7</v>
      </c>
      <c r="O15" s="12">
        <f t="shared" si="1"/>
        <v>23970</v>
      </c>
      <c r="P15" s="6" t="s">
        <v>3499</v>
      </c>
    </row>
    <row r="16" spans="1:16" x14ac:dyDescent="0.25">
      <c r="A16" s="6" t="s">
        <v>3510</v>
      </c>
      <c r="B16" s="7">
        <v>46121</v>
      </c>
      <c r="C16" s="7">
        <v>46127</v>
      </c>
      <c r="D16" s="6">
        <v>3271</v>
      </c>
      <c r="E16" s="6">
        <v>336</v>
      </c>
      <c r="F16" s="6">
        <v>4</v>
      </c>
      <c r="G16" s="6">
        <v>6</v>
      </c>
      <c r="H16" s="6">
        <v>4953</v>
      </c>
      <c r="I16" s="6" t="s">
        <v>543</v>
      </c>
      <c r="J16" s="6">
        <v>53763614</v>
      </c>
      <c r="K16" s="6" t="s">
        <v>2775</v>
      </c>
      <c r="L16" s="6" t="s">
        <v>2778</v>
      </c>
      <c r="M16" s="17">
        <v>79900</v>
      </c>
      <c r="N16" s="64">
        <v>0.7</v>
      </c>
      <c r="O16" s="12">
        <f t="shared" si="1"/>
        <v>23970</v>
      </c>
      <c r="P16" s="6" t="s">
        <v>3499</v>
      </c>
    </row>
    <row r="17" spans="1:16" x14ac:dyDescent="0.25">
      <c r="A17" s="6" t="s">
        <v>3510</v>
      </c>
      <c r="B17" s="7">
        <v>46121</v>
      </c>
      <c r="C17" s="7">
        <v>46127</v>
      </c>
      <c r="D17" s="6">
        <v>3271</v>
      </c>
      <c r="E17" s="6">
        <v>336</v>
      </c>
      <c r="F17" s="6">
        <v>4</v>
      </c>
      <c r="G17" s="6">
        <v>6</v>
      </c>
      <c r="H17" s="6">
        <v>4953</v>
      </c>
      <c r="I17" s="6" t="s">
        <v>543</v>
      </c>
      <c r="J17" s="6">
        <v>53763623</v>
      </c>
      <c r="K17" s="6" t="s">
        <v>2775</v>
      </c>
      <c r="L17" s="6" t="s">
        <v>2779</v>
      </c>
      <c r="M17" s="17">
        <v>79900</v>
      </c>
      <c r="N17" s="64">
        <v>0.7</v>
      </c>
      <c r="O17" s="12">
        <f t="shared" si="1"/>
        <v>23970</v>
      </c>
      <c r="P17" s="6" t="s">
        <v>3499</v>
      </c>
    </row>
    <row r="18" spans="1:16" x14ac:dyDescent="0.25">
      <c r="A18" s="6" t="s">
        <v>3510</v>
      </c>
      <c r="B18" s="7">
        <v>46121</v>
      </c>
      <c r="C18" s="7">
        <v>46127</v>
      </c>
      <c r="D18" s="6">
        <v>3271</v>
      </c>
      <c r="E18" s="6">
        <v>336</v>
      </c>
      <c r="F18" s="6">
        <v>4</v>
      </c>
      <c r="G18" s="6">
        <v>6</v>
      </c>
      <c r="H18" s="6">
        <v>4953</v>
      </c>
      <c r="I18" s="6" t="s">
        <v>543</v>
      </c>
      <c r="J18" s="6">
        <v>53763632</v>
      </c>
      <c r="K18" s="6" t="s">
        <v>2775</v>
      </c>
      <c r="L18" s="6" t="s">
        <v>2780</v>
      </c>
      <c r="M18" s="17">
        <v>79900</v>
      </c>
      <c r="N18" s="64">
        <v>0.7</v>
      </c>
      <c r="O18" s="12">
        <f t="shared" si="1"/>
        <v>23970</v>
      </c>
      <c r="P18" s="6" t="s">
        <v>3499</v>
      </c>
    </row>
    <row r="19" spans="1:16" x14ac:dyDescent="0.25">
      <c r="A19" s="6" t="s">
        <v>3510</v>
      </c>
      <c r="B19" s="7">
        <v>46121</v>
      </c>
      <c r="C19" s="7">
        <v>46127</v>
      </c>
      <c r="D19" s="6">
        <v>3271</v>
      </c>
      <c r="E19" s="6">
        <v>336</v>
      </c>
      <c r="F19" s="6">
        <v>4</v>
      </c>
      <c r="G19" s="6">
        <v>6</v>
      </c>
      <c r="H19" s="6">
        <v>4953</v>
      </c>
      <c r="I19" s="6" t="s">
        <v>543</v>
      </c>
      <c r="J19" s="6">
        <v>53763641</v>
      </c>
      <c r="K19" s="6" t="s">
        <v>2781</v>
      </c>
      <c r="L19" s="6" t="s">
        <v>2782</v>
      </c>
      <c r="M19" s="17">
        <v>79900</v>
      </c>
      <c r="N19" s="64">
        <v>0.7</v>
      </c>
      <c r="O19" s="12">
        <f t="shared" si="1"/>
        <v>23970</v>
      </c>
      <c r="P19" s="6" t="s">
        <v>3499</v>
      </c>
    </row>
    <row r="20" spans="1:16" x14ac:dyDescent="0.25">
      <c r="A20" s="6" t="s">
        <v>3510</v>
      </c>
      <c r="B20" s="7">
        <v>46121</v>
      </c>
      <c r="C20" s="7">
        <v>46127</v>
      </c>
      <c r="D20" s="6">
        <v>3271</v>
      </c>
      <c r="E20" s="6">
        <v>336</v>
      </c>
      <c r="F20" s="6">
        <v>4</v>
      </c>
      <c r="G20" s="6">
        <v>6</v>
      </c>
      <c r="H20" s="6">
        <v>4953</v>
      </c>
      <c r="I20" s="6" t="s">
        <v>543</v>
      </c>
      <c r="J20" s="6">
        <v>53763650</v>
      </c>
      <c r="K20" s="6" t="s">
        <v>2781</v>
      </c>
      <c r="L20" s="6" t="s">
        <v>2783</v>
      </c>
      <c r="M20" s="17">
        <v>79900</v>
      </c>
      <c r="N20" s="64">
        <v>0.7</v>
      </c>
      <c r="O20" s="12">
        <f t="shared" si="1"/>
        <v>23970</v>
      </c>
      <c r="P20" s="6" t="s">
        <v>3499</v>
      </c>
    </row>
    <row r="21" spans="1:16" x14ac:dyDescent="0.25">
      <c r="A21" s="6" t="s">
        <v>3510</v>
      </c>
      <c r="B21" s="7">
        <v>46121</v>
      </c>
      <c r="C21" s="7">
        <v>46127</v>
      </c>
      <c r="D21" s="6">
        <v>3271</v>
      </c>
      <c r="E21" s="6">
        <v>336</v>
      </c>
      <c r="F21" s="6">
        <v>4</v>
      </c>
      <c r="G21" s="6">
        <v>6</v>
      </c>
      <c r="H21" s="6">
        <v>4953</v>
      </c>
      <c r="I21" s="6" t="s">
        <v>543</v>
      </c>
      <c r="J21" s="6">
        <v>53763669</v>
      </c>
      <c r="K21" s="6" t="s">
        <v>2781</v>
      </c>
      <c r="L21" s="6" t="s">
        <v>2784</v>
      </c>
      <c r="M21" s="17">
        <v>79900</v>
      </c>
      <c r="N21" s="64">
        <v>0.7</v>
      </c>
      <c r="O21" s="12">
        <f t="shared" si="1"/>
        <v>23970</v>
      </c>
      <c r="P21" s="6" t="s">
        <v>3499</v>
      </c>
    </row>
    <row r="22" spans="1:16" x14ac:dyDescent="0.25">
      <c r="A22" s="6" t="s">
        <v>3510</v>
      </c>
      <c r="B22" s="7">
        <v>46121</v>
      </c>
      <c r="C22" s="7">
        <v>46127</v>
      </c>
      <c r="D22" s="6">
        <v>3271</v>
      </c>
      <c r="E22" s="6">
        <v>336</v>
      </c>
      <c r="F22" s="6">
        <v>4</v>
      </c>
      <c r="G22" s="6">
        <v>6</v>
      </c>
      <c r="H22" s="6">
        <v>4953</v>
      </c>
      <c r="I22" s="6" t="s">
        <v>543</v>
      </c>
      <c r="J22" s="6">
        <v>53763678</v>
      </c>
      <c r="K22" s="6" t="s">
        <v>2781</v>
      </c>
      <c r="L22" s="6" t="s">
        <v>2785</v>
      </c>
      <c r="M22" s="17">
        <v>79900</v>
      </c>
      <c r="N22" s="64">
        <v>0.7</v>
      </c>
      <c r="O22" s="12">
        <f t="shared" si="1"/>
        <v>23970</v>
      </c>
      <c r="P22" s="6" t="s">
        <v>3499</v>
      </c>
    </row>
    <row r="23" spans="1:16" x14ac:dyDescent="0.25">
      <c r="A23" s="6" t="s">
        <v>3510</v>
      </c>
      <c r="B23" s="7">
        <v>46121</v>
      </c>
      <c r="C23" s="7">
        <v>46127</v>
      </c>
      <c r="D23" s="6">
        <v>3271</v>
      </c>
      <c r="E23" s="6">
        <v>336</v>
      </c>
      <c r="F23" s="6">
        <v>4</v>
      </c>
      <c r="G23" s="6">
        <v>6</v>
      </c>
      <c r="H23" s="6">
        <v>4953</v>
      </c>
      <c r="I23" s="6" t="s">
        <v>543</v>
      </c>
      <c r="J23" s="6">
        <v>53763687</v>
      </c>
      <c r="K23" s="6" t="s">
        <v>2781</v>
      </c>
      <c r="L23" s="6" t="s">
        <v>2786</v>
      </c>
      <c r="M23" s="17">
        <v>79900</v>
      </c>
      <c r="N23" s="64">
        <v>0.7</v>
      </c>
      <c r="O23" s="12">
        <f t="shared" si="1"/>
        <v>23970</v>
      </c>
      <c r="P23" s="6" t="s">
        <v>3499</v>
      </c>
    </row>
    <row r="24" spans="1:16" x14ac:dyDescent="0.25">
      <c r="A24" s="6" t="s">
        <v>3510</v>
      </c>
      <c r="B24" s="7">
        <v>46121</v>
      </c>
      <c r="C24" s="7">
        <v>46127</v>
      </c>
      <c r="D24" s="6">
        <v>3271</v>
      </c>
      <c r="E24" s="6">
        <v>336</v>
      </c>
      <c r="F24" s="6">
        <v>4</v>
      </c>
      <c r="G24" s="6">
        <v>6</v>
      </c>
      <c r="H24" s="6">
        <v>4953</v>
      </c>
      <c r="I24" s="6" t="s">
        <v>543</v>
      </c>
      <c r="J24" s="6">
        <v>53763696</v>
      </c>
      <c r="K24" s="6" t="s">
        <v>2787</v>
      </c>
      <c r="L24" s="6" t="s">
        <v>2788</v>
      </c>
      <c r="M24" s="17">
        <v>79900</v>
      </c>
      <c r="N24" s="64">
        <v>0.7</v>
      </c>
      <c r="O24" s="12">
        <f t="shared" si="1"/>
        <v>23970</v>
      </c>
      <c r="P24" s="6" t="s">
        <v>3499</v>
      </c>
    </row>
    <row r="25" spans="1:16" x14ac:dyDescent="0.25">
      <c r="A25" s="6" t="s">
        <v>3510</v>
      </c>
      <c r="B25" s="7">
        <v>46121</v>
      </c>
      <c r="C25" s="7">
        <v>46127</v>
      </c>
      <c r="D25" s="6">
        <v>3271</v>
      </c>
      <c r="E25" s="6">
        <v>336</v>
      </c>
      <c r="F25" s="6">
        <v>4</v>
      </c>
      <c r="G25" s="6">
        <v>6</v>
      </c>
      <c r="H25" s="6">
        <v>4953</v>
      </c>
      <c r="I25" s="6" t="s">
        <v>543</v>
      </c>
      <c r="J25" s="6">
        <v>53763703</v>
      </c>
      <c r="K25" s="6" t="s">
        <v>2787</v>
      </c>
      <c r="L25" s="6" t="s">
        <v>2789</v>
      </c>
      <c r="M25" s="17">
        <v>79900</v>
      </c>
      <c r="N25" s="64">
        <v>0.7</v>
      </c>
      <c r="O25" s="12">
        <f t="shared" si="1"/>
        <v>23970</v>
      </c>
      <c r="P25" s="6" t="s">
        <v>3499</v>
      </c>
    </row>
    <row r="26" spans="1:16" x14ac:dyDescent="0.25">
      <c r="A26" s="6" t="s">
        <v>3510</v>
      </c>
      <c r="B26" s="7">
        <v>46121</v>
      </c>
      <c r="C26" s="7">
        <v>46127</v>
      </c>
      <c r="D26" s="6">
        <v>3271</v>
      </c>
      <c r="E26" s="6">
        <v>336</v>
      </c>
      <c r="F26" s="6">
        <v>4</v>
      </c>
      <c r="G26" s="6">
        <v>6</v>
      </c>
      <c r="H26" s="6">
        <v>4953</v>
      </c>
      <c r="I26" s="6" t="s">
        <v>543</v>
      </c>
      <c r="J26" s="6">
        <v>53763712</v>
      </c>
      <c r="K26" s="6" t="s">
        <v>2787</v>
      </c>
      <c r="L26" s="6" t="s">
        <v>2790</v>
      </c>
      <c r="M26" s="17">
        <v>79900</v>
      </c>
      <c r="N26" s="64">
        <v>0.7</v>
      </c>
      <c r="O26" s="12">
        <f t="shared" si="1"/>
        <v>23970</v>
      </c>
      <c r="P26" s="6" t="s">
        <v>3499</v>
      </c>
    </row>
    <row r="27" spans="1:16" x14ac:dyDescent="0.25">
      <c r="A27" s="6" t="s">
        <v>3510</v>
      </c>
      <c r="B27" s="7">
        <v>46121</v>
      </c>
      <c r="C27" s="7">
        <v>46127</v>
      </c>
      <c r="D27" s="6">
        <v>3271</v>
      </c>
      <c r="E27" s="6">
        <v>336</v>
      </c>
      <c r="F27" s="6">
        <v>4</v>
      </c>
      <c r="G27" s="6">
        <v>6</v>
      </c>
      <c r="H27" s="6">
        <v>4953</v>
      </c>
      <c r="I27" s="6" t="s">
        <v>543</v>
      </c>
      <c r="J27" s="6">
        <v>53763721</v>
      </c>
      <c r="K27" s="6" t="s">
        <v>2787</v>
      </c>
      <c r="L27" s="6" t="s">
        <v>2791</v>
      </c>
      <c r="M27" s="17">
        <v>79900</v>
      </c>
      <c r="N27" s="64">
        <v>0.7</v>
      </c>
      <c r="O27" s="12">
        <f t="shared" si="1"/>
        <v>23970</v>
      </c>
      <c r="P27" s="6" t="s">
        <v>3499</v>
      </c>
    </row>
    <row r="28" spans="1:16" x14ac:dyDescent="0.25">
      <c r="A28" s="6" t="s">
        <v>3510</v>
      </c>
      <c r="B28" s="7">
        <v>46121</v>
      </c>
      <c r="C28" s="7">
        <v>46127</v>
      </c>
      <c r="D28" s="6">
        <v>3271</v>
      </c>
      <c r="E28" s="6">
        <v>336</v>
      </c>
      <c r="F28" s="6">
        <v>4</v>
      </c>
      <c r="G28" s="6">
        <v>6</v>
      </c>
      <c r="H28" s="6">
        <v>4953</v>
      </c>
      <c r="I28" s="6" t="s">
        <v>543</v>
      </c>
      <c r="J28" s="6">
        <v>53763730</v>
      </c>
      <c r="K28" s="6" t="s">
        <v>2787</v>
      </c>
      <c r="L28" s="6" t="s">
        <v>2792</v>
      </c>
      <c r="M28" s="17">
        <v>79900</v>
      </c>
      <c r="N28" s="64">
        <v>0.7</v>
      </c>
      <c r="O28" s="12">
        <f t="shared" si="1"/>
        <v>23970</v>
      </c>
      <c r="P28" s="6" t="s">
        <v>3499</v>
      </c>
    </row>
    <row r="29" spans="1:16" x14ac:dyDescent="0.25">
      <c r="A29" s="6" t="s">
        <v>3510</v>
      </c>
      <c r="B29" s="7">
        <v>46121</v>
      </c>
      <c r="C29" s="7">
        <v>46127</v>
      </c>
      <c r="D29" s="6">
        <v>3271</v>
      </c>
      <c r="E29" s="6">
        <v>336</v>
      </c>
      <c r="F29" s="6">
        <v>4</v>
      </c>
      <c r="G29" s="6">
        <v>6</v>
      </c>
      <c r="H29" s="6">
        <v>4953</v>
      </c>
      <c r="I29" s="6" t="s">
        <v>543</v>
      </c>
      <c r="J29" s="6">
        <v>53763749</v>
      </c>
      <c r="K29" s="6" t="s">
        <v>2793</v>
      </c>
      <c r="L29" s="6" t="s">
        <v>2794</v>
      </c>
      <c r="M29" s="17">
        <v>79900</v>
      </c>
      <c r="N29" s="64">
        <v>0.7</v>
      </c>
      <c r="O29" s="12">
        <f t="shared" si="1"/>
        <v>23970</v>
      </c>
      <c r="P29" s="6" t="s">
        <v>3499</v>
      </c>
    </row>
    <row r="30" spans="1:16" x14ac:dyDescent="0.25">
      <c r="A30" s="6" t="s">
        <v>3510</v>
      </c>
      <c r="B30" s="7">
        <v>46121</v>
      </c>
      <c r="C30" s="7">
        <v>46127</v>
      </c>
      <c r="D30" s="6">
        <v>3271</v>
      </c>
      <c r="E30" s="6">
        <v>336</v>
      </c>
      <c r="F30" s="6">
        <v>4</v>
      </c>
      <c r="G30" s="6">
        <v>6</v>
      </c>
      <c r="H30" s="6">
        <v>4953</v>
      </c>
      <c r="I30" s="6" t="s">
        <v>543</v>
      </c>
      <c r="J30" s="6">
        <v>53763758</v>
      </c>
      <c r="K30" s="6" t="s">
        <v>2793</v>
      </c>
      <c r="L30" s="6" t="s">
        <v>2795</v>
      </c>
      <c r="M30" s="17">
        <v>79900</v>
      </c>
      <c r="N30" s="64">
        <v>0.7</v>
      </c>
      <c r="O30" s="12">
        <f t="shared" si="1"/>
        <v>23970</v>
      </c>
      <c r="P30" s="6" t="s">
        <v>3499</v>
      </c>
    </row>
    <row r="31" spans="1:16" x14ac:dyDescent="0.25">
      <c r="A31" s="6" t="s">
        <v>3510</v>
      </c>
      <c r="B31" s="7">
        <v>46121</v>
      </c>
      <c r="C31" s="7">
        <v>46127</v>
      </c>
      <c r="D31" s="6">
        <v>3271</v>
      </c>
      <c r="E31" s="6">
        <v>336</v>
      </c>
      <c r="F31" s="6">
        <v>4</v>
      </c>
      <c r="G31" s="6">
        <v>6</v>
      </c>
      <c r="H31" s="6">
        <v>4953</v>
      </c>
      <c r="I31" s="6" t="s">
        <v>543</v>
      </c>
      <c r="J31" s="6">
        <v>53763767</v>
      </c>
      <c r="K31" s="6" t="s">
        <v>2793</v>
      </c>
      <c r="L31" s="6" t="s">
        <v>2796</v>
      </c>
      <c r="M31" s="17">
        <v>79900</v>
      </c>
      <c r="N31" s="64">
        <v>0.7</v>
      </c>
      <c r="O31" s="12">
        <f t="shared" si="1"/>
        <v>23970</v>
      </c>
      <c r="P31" s="6" t="s">
        <v>3499</v>
      </c>
    </row>
    <row r="32" spans="1:16" x14ac:dyDescent="0.25">
      <c r="A32" s="6" t="s">
        <v>3510</v>
      </c>
      <c r="B32" s="7">
        <v>46121</v>
      </c>
      <c r="C32" s="7">
        <v>46127</v>
      </c>
      <c r="D32" s="6">
        <v>3271</v>
      </c>
      <c r="E32" s="6">
        <v>336</v>
      </c>
      <c r="F32" s="6">
        <v>4</v>
      </c>
      <c r="G32" s="6">
        <v>6</v>
      </c>
      <c r="H32" s="6">
        <v>4953</v>
      </c>
      <c r="I32" s="6" t="s">
        <v>543</v>
      </c>
      <c r="J32" s="6">
        <v>53763776</v>
      </c>
      <c r="K32" s="6" t="s">
        <v>2793</v>
      </c>
      <c r="L32" s="6" t="s">
        <v>2797</v>
      </c>
      <c r="M32" s="17">
        <v>79900</v>
      </c>
      <c r="N32" s="64">
        <v>0.7</v>
      </c>
      <c r="O32" s="12">
        <f t="shared" si="1"/>
        <v>23970</v>
      </c>
      <c r="P32" s="6" t="s">
        <v>3499</v>
      </c>
    </row>
    <row r="33" spans="1:16" x14ac:dyDescent="0.25">
      <c r="A33" s="6" t="s">
        <v>3510</v>
      </c>
      <c r="B33" s="7">
        <v>46121</v>
      </c>
      <c r="C33" s="7">
        <v>46127</v>
      </c>
      <c r="D33" s="6">
        <v>3271</v>
      </c>
      <c r="E33" s="6">
        <v>336</v>
      </c>
      <c r="F33" s="6">
        <v>4</v>
      </c>
      <c r="G33" s="6">
        <v>6</v>
      </c>
      <c r="H33" s="6">
        <v>4953</v>
      </c>
      <c r="I33" s="6" t="s">
        <v>543</v>
      </c>
      <c r="J33" s="6">
        <v>53763785</v>
      </c>
      <c r="K33" s="6" t="s">
        <v>2793</v>
      </c>
      <c r="L33" s="6" t="s">
        <v>2798</v>
      </c>
      <c r="M33" s="17">
        <v>79900</v>
      </c>
      <c r="N33" s="64">
        <v>0.7</v>
      </c>
      <c r="O33" s="12">
        <f t="shared" si="1"/>
        <v>23970</v>
      </c>
      <c r="P33" s="6" t="s">
        <v>3499</v>
      </c>
    </row>
    <row r="34" spans="1:16" x14ac:dyDescent="0.25">
      <c r="A34" s="6" t="s">
        <v>3510</v>
      </c>
      <c r="B34" s="45">
        <v>46121</v>
      </c>
      <c r="C34" s="45">
        <v>46127</v>
      </c>
      <c r="D34" s="8">
        <v>3271</v>
      </c>
      <c r="E34" s="8">
        <v>336</v>
      </c>
      <c r="F34" s="8">
        <v>4</v>
      </c>
      <c r="G34" s="8">
        <v>6</v>
      </c>
      <c r="H34" s="8">
        <v>81305</v>
      </c>
      <c r="I34" s="8" t="s">
        <v>543</v>
      </c>
      <c r="J34" s="8">
        <v>52455235</v>
      </c>
      <c r="K34" s="8" t="s">
        <v>2799</v>
      </c>
      <c r="L34" s="8" t="s">
        <v>2800</v>
      </c>
      <c r="M34" s="44">
        <v>89900</v>
      </c>
      <c r="N34" s="64">
        <v>0.7</v>
      </c>
      <c r="O34" s="12">
        <f t="shared" si="1"/>
        <v>26970</v>
      </c>
      <c r="P34" s="6" t="s">
        <v>3499</v>
      </c>
    </row>
    <row r="35" spans="1:16" x14ac:dyDescent="0.25">
      <c r="A35" s="6" t="s">
        <v>3510</v>
      </c>
      <c r="B35" s="45">
        <v>46121</v>
      </c>
      <c r="C35" s="45">
        <v>46127</v>
      </c>
      <c r="D35" s="8">
        <v>3271</v>
      </c>
      <c r="E35" s="8">
        <v>336</v>
      </c>
      <c r="F35" s="8">
        <v>4</v>
      </c>
      <c r="G35" s="8">
        <v>6</v>
      </c>
      <c r="H35" s="8">
        <v>81305</v>
      </c>
      <c r="I35" s="8" t="s">
        <v>543</v>
      </c>
      <c r="J35" s="8">
        <v>52455244</v>
      </c>
      <c r="K35" s="8" t="s">
        <v>2799</v>
      </c>
      <c r="L35" s="8" t="s">
        <v>2801</v>
      </c>
      <c r="M35" s="44">
        <v>89900</v>
      </c>
      <c r="N35" s="64">
        <v>0.7</v>
      </c>
      <c r="O35" s="12">
        <f t="shared" si="1"/>
        <v>26970</v>
      </c>
      <c r="P35" s="6" t="s">
        <v>3499</v>
      </c>
    </row>
    <row r="36" spans="1:16" x14ac:dyDescent="0.25">
      <c r="A36" s="6" t="s">
        <v>3510</v>
      </c>
      <c r="B36" s="45">
        <v>46121</v>
      </c>
      <c r="C36" s="45">
        <v>46127</v>
      </c>
      <c r="D36" s="8">
        <v>3271</v>
      </c>
      <c r="E36" s="8">
        <v>336</v>
      </c>
      <c r="F36" s="8">
        <v>4</v>
      </c>
      <c r="G36" s="8">
        <v>6</v>
      </c>
      <c r="H36" s="8">
        <v>81305</v>
      </c>
      <c r="I36" s="8" t="s">
        <v>543</v>
      </c>
      <c r="J36" s="8">
        <v>52455253</v>
      </c>
      <c r="K36" s="8" t="s">
        <v>2799</v>
      </c>
      <c r="L36" s="8" t="s">
        <v>2802</v>
      </c>
      <c r="M36" s="44">
        <v>89900</v>
      </c>
      <c r="N36" s="64">
        <v>0.7</v>
      </c>
      <c r="O36" s="12">
        <f t="shared" si="1"/>
        <v>26970</v>
      </c>
      <c r="P36" s="6" t="s">
        <v>3499</v>
      </c>
    </row>
    <row r="37" spans="1:16" x14ac:dyDescent="0.25">
      <c r="A37" s="6" t="s">
        <v>3510</v>
      </c>
      <c r="B37" s="45">
        <v>46121</v>
      </c>
      <c r="C37" s="45">
        <v>46127</v>
      </c>
      <c r="D37" s="8">
        <v>3271</v>
      </c>
      <c r="E37" s="8">
        <v>336</v>
      </c>
      <c r="F37" s="8">
        <v>4</v>
      </c>
      <c r="G37" s="8">
        <v>6</v>
      </c>
      <c r="H37" s="8">
        <v>81305</v>
      </c>
      <c r="I37" s="8" t="s">
        <v>543</v>
      </c>
      <c r="J37" s="8">
        <v>52455262</v>
      </c>
      <c r="K37" s="8" t="s">
        <v>2799</v>
      </c>
      <c r="L37" s="8" t="s">
        <v>2803</v>
      </c>
      <c r="M37" s="44">
        <v>89900</v>
      </c>
      <c r="N37" s="64">
        <v>0.7</v>
      </c>
      <c r="O37" s="12">
        <f t="shared" si="1"/>
        <v>26970</v>
      </c>
      <c r="P37" s="6" t="s">
        <v>3499</v>
      </c>
    </row>
    <row r="38" spans="1:16" x14ac:dyDescent="0.25">
      <c r="A38" s="6" t="s">
        <v>3510</v>
      </c>
      <c r="B38" s="7">
        <v>46121</v>
      </c>
      <c r="C38" s="7">
        <v>46127</v>
      </c>
      <c r="D38" s="6">
        <v>3271</v>
      </c>
      <c r="E38" s="6">
        <v>336</v>
      </c>
      <c r="F38" s="6">
        <v>4</v>
      </c>
      <c r="G38" s="35">
        <v>6</v>
      </c>
      <c r="H38" s="35">
        <v>81328</v>
      </c>
      <c r="I38" s="35" t="s">
        <v>543</v>
      </c>
      <c r="J38" s="35">
        <v>54472276</v>
      </c>
      <c r="K38" s="35" t="s">
        <v>2804</v>
      </c>
      <c r="L38" s="35" t="s">
        <v>2805</v>
      </c>
      <c r="M38" s="41">
        <v>79900</v>
      </c>
      <c r="N38" s="64">
        <v>0.7</v>
      </c>
      <c r="O38" s="12">
        <f t="shared" si="1"/>
        <v>23970</v>
      </c>
      <c r="P38" s="6" t="s">
        <v>3499</v>
      </c>
    </row>
    <row r="39" spans="1:16" x14ac:dyDescent="0.25">
      <c r="A39" s="6" t="s">
        <v>3510</v>
      </c>
      <c r="B39" s="7">
        <v>46121</v>
      </c>
      <c r="C39" s="7">
        <v>46127</v>
      </c>
      <c r="D39" s="6">
        <v>3271</v>
      </c>
      <c r="E39" s="6">
        <v>336</v>
      </c>
      <c r="F39" s="6">
        <v>4</v>
      </c>
      <c r="G39" s="35">
        <v>6</v>
      </c>
      <c r="H39" s="35">
        <v>81328</v>
      </c>
      <c r="I39" s="35" t="s">
        <v>543</v>
      </c>
      <c r="J39" s="35">
        <v>54472285</v>
      </c>
      <c r="K39" s="35" t="s">
        <v>2804</v>
      </c>
      <c r="L39" s="35" t="s">
        <v>2806</v>
      </c>
      <c r="M39" s="41">
        <v>79900</v>
      </c>
      <c r="N39" s="64">
        <v>0.7</v>
      </c>
      <c r="O39" s="12">
        <f t="shared" si="1"/>
        <v>23970</v>
      </c>
      <c r="P39" s="6" t="s">
        <v>3499</v>
      </c>
    </row>
    <row r="40" spans="1:16" x14ac:dyDescent="0.25">
      <c r="A40" s="6" t="s">
        <v>3510</v>
      </c>
      <c r="B40" s="7">
        <v>46121</v>
      </c>
      <c r="C40" s="7">
        <v>46127</v>
      </c>
      <c r="D40" s="6">
        <v>3271</v>
      </c>
      <c r="E40" s="6">
        <v>336</v>
      </c>
      <c r="F40" s="6">
        <v>4</v>
      </c>
      <c r="G40" s="35">
        <v>6</v>
      </c>
      <c r="H40" s="35">
        <v>81328</v>
      </c>
      <c r="I40" s="35" t="s">
        <v>543</v>
      </c>
      <c r="J40" s="35">
        <v>54472294</v>
      </c>
      <c r="K40" s="35" t="s">
        <v>2804</v>
      </c>
      <c r="L40" s="35" t="s">
        <v>2807</v>
      </c>
      <c r="M40" s="41">
        <v>79900</v>
      </c>
      <c r="N40" s="64">
        <v>0.7</v>
      </c>
      <c r="O40" s="12">
        <f t="shared" si="1"/>
        <v>23970</v>
      </c>
      <c r="P40" s="6" t="s">
        <v>3499</v>
      </c>
    </row>
    <row r="41" spans="1:16" x14ac:dyDescent="0.25">
      <c r="A41" s="6" t="s">
        <v>3510</v>
      </c>
      <c r="B41" s="7">
        <v>46121</v>
      </c>
      <c r="C41" s="7">
        <v>46127</v>
      </c>
      <c r="D41" s="6">
        <v>3271</v>
      </c>
      <c r="E41" s="6">
        <v>336</v>
      </c>
      <c r="F41" s="6">
        <v>4</v>
      </c>
      <c r="G41" s="35">
        <v>6</v>
      </c>
      <c r="H41" s="35">
        <v>81328</v>
      </c>
      <c r="I41" s="35" t="s">
        <v>543</v>
      </c>
      <c r="J41" s="35">
        <v>54472301</v>
      </c>
      <c r="K41" s="35" t="s">
        <v>2804</v>
      </c>
      <c r="L41" s="35" t="s">
        <v>2808</v>
      </c>
      <c r="M41" s="41">
        <v>79900</v>
      </c>
      <c r="N41" s="64">
        <v>0.7</v>
      </c>
      <c r="O41" s="12">
        <f t="shared" si="1"/>
        <v>23970</v>
      </c>
      <c r="P41" s="6" t="s">
        <v>3499</v>
      </c>
    </row>
    <row r="42" spans="1:16" x14ac:dyDescent="0.25">
      <c r="A42" s="6" t="s">
        <v>3510</v>
      </c>
      <c r="B42" s="7">
        <v>46121</v>
      </c>
      <c r="C42" s="7">
        <v>46127</v>
      </c>
      <c r="D42" s="6">
        <v>3271</v>
      </c>
      <c r="E42" s="6">
        <v>336</v>
      </c>
      <c r="F42" s="6">
        <v>4</v>
      </c>
      <c r="G42" s="35">
        <v>6</v>
      </c>
      <c r="H42" s="35">
        <v>81328</v>
      </c>
      <c r="I42" s="35" t="s">
        <v>543</v>
      </c>
      <c r="J42" s="35">
        <v>54472310</v>
      </c>
      <c r="K42" s="35" t="s">
        <v>2809</v>
      </c>
      <c r="L42" s="35" t="s">
        <v>2810</v>
      </c>
      <c r="M42" s="41">
        <v>79900</v>
      </c>
      <c r="N42" s="64">
        <v>0.7</v>
      </c>
      <c r="O42" s="12">
        <f t="shared" si="1"/>
        <v>23970</v>
      </c>
      <c r="P42" s="6" t="s">
        <v>3499</v>
      </c>
    </row>
    <row r="43" spans="1:16" x14ac:dyDescent="0.25">
      <c r="A43" s="6" t="s">
        <v>3510</v>
      </c>
      <c r="B43" s="7">
        <v>46121</v>
      </c>
      <c r="C43" s="7">
        <v>46127</v>
      </c>
      <c r="D43" s="6">
        <v>3271</v>
      </c>
      <c r="E43" s="6">
        <v>336</v>
      </c>
      <c r="F43" s="6">
        <v>4</v>
      </c>
      <c r="G43" s="35">
        <v>6</v>
      </c>
      <c r="H43" s="35">
        <v>81328</v>
      </c>
      <c r="I43" s="35" t="s">
        <v>543</v>
      </c>
      <c r="J43" s="35">
        <v>54472329</v>
      </c>
      <c r="K43" s="35" t="s">
        <v>2809</v>
      </c>
      <c r="L43" s="35" t="s">
        <v>2811</v>
      </c>
      <c r="M43" s="41">
        <v>79900</v>
      </c>
      <c r="N43" s="64">
        <v>0.7</v>
      </c>
      <c r="O43" s="12">
        <f t="shared" si="1"/>
        <v>23970</v>
      </c>
      <c r="P43" s="6" t="s">
        <v>3499</v>
      </c>
    </row>
    <row r="44" spans="1:16" x14ac:dyDescent="0.25">
      <c r="A44" s="6" t="s">
        <v>3510</v>
      </c>
      <c r="B44" s="7">
        <v>46121</v>
      </c>
      <c r="C44" s="7">
        <v>46127</v>
      </c>
      <c r="D44" s="6">
        <v>3271</v>
      </c>
      <c r="E44" s="6">
        <v>336</v>
      </c>
      <c r="F44" s="6">
        <v>4</v>
      </c>
      <c r="G44" s="35">
        <v>6</v>
      </c>
      <c r="H44" s="35">
        <v>81328</v>
      </c>
      <c r="I44" s="35" t="s">
        <v>543</v>
      </c>
      <c r="J44" s="35">
        <v>54472338</v>
      </c>
      <c r="K44" s="35" t="s">
        <v>2809</v>
      </c>
      <c r="L44" s="35" t="s">
        <v>2812</v>
      </c>
      <c r="M44" s="41">
        <v>79900</v>
      </c>
      <c r="N44" s="64">
        <v>0.7</v>
      </c>
      <c r="O44" s="12">
        <f t="shared" si="1"/>
        <v>23970</v>
      </c>
      <c r="P44" s="6" t="s">
        <v>3499</v>
      </c>
    </row>
    <row r="45" spans="1:16" x14ac:dyDescent="0.25">
      <c r="A45" s="6" t="s">
        <v>3510</v>
      </c>
      <c r="B45" s="7">
        <v>46121</v>
      </c>
      <c r="C45" s="7">
        <v>46127</v>
      </c>
      <c r="D45" s="6">
        <v>3271</v>
      </c>
      <c r="E45" s="6">
        <v>336</v>
      </c>
      <c r="F45" s="6">
        <v>4</v>
      </c>
      <c r="G45" s="35">
        <v>6</v>
      </c>
      <c r="H45" s="35">
        <v>81328</v>
      </c>
      <c r="I45" s="35" t="s">
        <v>543</v>
      </c>
      <c r="J45" s="35">
        <v>54472347</v>
      </c>
      <c r="K45" s="35" t="s">
        <v>2809</v>
      </c>
      <c r="L45" s="35" t="s">
        <v>2813</v>
      </c>
      <c r="M45" s="41">
        <v>79900</v>
      </c>
      <c r="N45" s="64">
        <v>0.7</v>
      </c>
      <c r="O45" s="12">
        <f t="shared" si="1"/>
        <v>23970</v>
      </c>
      <c r="P45" s="6" t="s">
        <v>3499</v>
      </c>
    </row>
    <row r="46" spans="1:16" x14ac:dyDescent="0.25">
      <c r="A46" s="6" t="s">
        <v>3510</v>
      </c>
      <c r="B46" s="7">
        <v>46121</v>
      </c>
      <c r="C46" s="7">
        <v>46127</v>
      </c>
      <c r="D46" s="6">
        <v>3271</v>
      </c>
      <c r="E46" s="6">
        <v>336</v>
      </c>
      <c r="F46" s="6">
        <v>4</v>
      </c>
      <c r="G46" s="35">
        <v>6</v>
      </c>
      <c r="H46" s="35">
        <v>81328</v>
      </c>
      <c r="I46" s="35" t="s">
        <v>543</v>
      </c>
      <c r="J46" s="35">
        <v>54472356</v>
      </c>
      <c r="K46" s="35" t="s">
        <v>2814</v>
      </c>
      <c r="L46" s="35" t="s">
        <v>2815</v>
      </c>
      <c r="M46" s="41">
        <v>79900</v>
      </c>
      <c r="N46" s="64">
        <v>0.7</v>
      </c>
      <c r="O46" s="12">
        <f t="shared" si="1"/>
        <v>23970</v>
      </c>
      <c r="P46" s="6" t="s">
        <v>3499</v>
      </c>
    </row>
    <row r="47" spans="1:16" x14ac:dyDescent="0.25">
      <c r="A47" s="6" t="s">
        <v>3510</v>
      </c>
      <c r="B47" s="7">
        <v>46121</v>
      </c>
      <c r="C47" s="7">
        <v>46127</v>
      </c>
      <c r="D47" s="6">
        <v>3271</v>
      </c>
      <c r="E47" s="6">
        <v>336</v>
      </c>
      <c r="F47" s="6">
        <v>4</v>
      </c>
      <c r="G47" s="35">
        <v>6</v>
      </c>
      <c r="H47" s="35">
        <v>81328</v>
      </c>
      <c r="I47" s="35" t="s">
        <v>543</v>
      </c>
      <c r="J47" s="35">
        <v>54472365</v>
      </c>
      <c r="K47" s="35" t="s">
        <v>2814</v>
      </c>
      <c r="L47" s="35" t="s">
        <v>2816</v>
      </c>
      <c r="M47" s="41">
        <v>79900</v>
      </c>
      <c r="N47" s="64">
        <v>0.7</v>
      </c>
      <c r="O47" s="12">
        <f t="shared" si="1"/>
        <v>23970</v>
      </c>
      <c r="P47" s="6" t="s">
        <v>3499</v>
      </c>
    </row>
    <row r="48" spans="1:16" x14ac:dyDescent="0.25">
      <c r="A48" s="6" t="s">
        <v>3510</v>
      </c>
      <c r="B48" s="7">
        <v>46121</v>
      </c>
      <c r="C48" s="7">
        <v>46127</v>
      </c>
      <c r="D48" s="6">
        <v>3271</v>
      </c>
      <c r="E48" s="6">
        <v>336</v>
      </c>
      <c r="F48" s="6">
        <v>4</v>
      </c>
      <c r="G48" s="35">
        <v>6</v>
      </c>
      <c r="H48" s="35">
        <v>81328</v>
      </c>
      <c r="I48" s="35" t="s">
        <v>543</v>
      </c>
      <c r="J48" s="35">
        <v>54472374</v>
      </c>
      <c r="K48" s="35" t="s">
        <v>2814</v>
      </c>
      <c r="L48" s="35" t="s">
        <v>2817</v>
      </c>
      <c r="M48" s="41">
        <v>79900</v>
      </c>
      <c r="N48" s="64">
        <v>0.7</v>
      </c>
      <c r="O48" s="12">
        <f t="shared" si="1"/>
        <v>23970</v>
      </c>
      <c r="P48" s="6" t="s">
        <v>3499</v>
      </c>
    </row>
    <row r="49" spans="1:16" x14ac:dyDescent="0.25">
      <c r="A49" s="6" t="s">
        <v>3510</v>
      </c>
      <c r="B49" s="7">
        <v>46121</v>
      </c>
      <c r="C49" s="7">
        <v>46127</v>
      </c>
      <c r="D49" s="6">
        <v>3271</v>
      </c>
      <c r="E49" s="6">
        <v>336</v>
      </c>
      <c r="F49" s="6">
        <v>4</v>
      </c>
      <c r="G49" s="35">
        <v>6</v>
      </c>
      <c r="H49" s="35">
        <v>81328</v>
      </c>
      <c r="I49" s="35" t="s">
        <v>543</v>
      </c>
      <c r="J49" s="35">
        <v>54472383</v>
      </c>
      <c r="K49" s="35" t="s">
        <v>2814</v>
      </c>
      <c r="L49" s="35" t="s">
        <v>2818</v>
      </c>
      <c r="M49" s="41">
        <v>79900</v>
      </c>
      <c r="N49" s="64">
        <v>0.7</v>
      </c>
      <c r="O49" s="12">
        <f t="shared" si="1"/>
        <v>23970</v>
      </c>
      <c r="P49" s="6" t="s">
        <v>3499</v>
      </c>
    </row>
    <row r="50" spans="1:16" x14ac:dyDescent="0.25">
      <c r="A50" s="6" t="s">
        <v>3510</v>
      </c>
      <c r="B50" s="7">
        <v>46121</v>
      </c>
      <c r="C50" s="7">
        <v>46127</v>
      </c>
      <c r="D50" s="6">
        <v>3271</v>
      </c>
      <c r="E50" s="6">
        <v>336</v>
      </c>
      <c r="F50" s="6">
        <v>4</v>
      </c>
      <c r="G50" s="35">
        <v>6</v>
      </c>
      <c r="H50" s="35">
        <v>81328</v>
      </c>
      <c r="I50" s="35" t="s">
        <v>543</v>
      </c>
      <c r="J50" s="35">
        <v>54472392</v>
      </c>
      <c r="K50" s="35" t="s">
        <v>2819</v>
      </c>
      <c r="L50" s="35" t="s">
        <v>2820</v>
      </c>
      <c r="M50" s="41">
        <v>79900</v>
      </c>
      <c r="N50" s="64">
        <v>0.7</v>
      </c>
      <c r="O50" s="12">
        <f t="shared" si="1"/>
        <v>23970</v>
      </c>
      <c r="P50" s="6" t="s">
        <v>3499</v>
      </c>
    </row>
    <row r="51" spans="1:16" x14ac:dyDescent="0.25">
      <c r="A51" s="6" t="s">
        <v>3510</v>
      </c>
      <c r="B51" s="7">
        <v>46121</v>
      </c>
      <c r="C51" s="7">
        <v>46127</v>
      </c>
      <c r="D51" s="6">
        <v>3271</v>
      </c>
      <c r="E51" s="6">
        <v>336</v>
      </c>
      <c r="F51" s="6">
        <v>4</v>
      </c>
      <c r="G51" s="35">
        <v>6</v>
      </c>
      <c r="H51" s="35">
        <v>81328</v>
      </c>
      <c r="I51" s="35" t="s">
        <v>543</v>
      </c>
      <c r="J51" s="35">
        <v>54472409</v>
      </c>
      <c r="K51" s="35" t="s">
        <v>2819</v>
      </c>
      <c r="L51" s="35" t="s">
        <v>2821</v>
      </c>
      <c r="M51" s="41">
        <v>79900</v>
      </c>
      <c r="N51" s="64">
        <v>0.7</v>
      </c>
      <c r="O51" s="12">
        <f t="shared" si="1"/>
        <v>23970</v>
      </c>
      <c r="P51" s="6" t="s">
        <v>3499</v>
      </c>
    </row>
    <row r="52" spans="1:16" x14ac:dyDescent="0.25">
      <c r="A52" s="6" t="s">
        <v>3510</v>
      </c>
      <c r="B52" s="7">
        <v>46121</v>
      </c>
      <c r="C52" s="7">
        <v>46127</v>
      </c>
      <c r="D52" s="6">
        <v>3271</v>
      </c>
      <c r="E52" s="6">
        <v>336</v>
      </c>
      <c r="F52" s="6">
        <v>4</v>
      </c>
      <c r="G52" s="35">
        <v>6</v>
      </c>
      <c r="H52" s="35">
        <v>81328</v>
      </c>
      <c r="I52" s="35" t="s">
        <v>543</v>
      </c>
      <c r="J52" s="35">
        <v>54472418</v>
      </c>
      <c r="K52" s="35" t="s">
        <v>2819</v>
      </c>
      <c r="L52" s="35" t="s">
        <v>2822</v>
      </c>
      <c r="M52" s="41">
        <v>79900</v>
      </c>
      <c r="N52" s="64">
        <v>0.7</v>
      </c>
      <c r="O52" s="12">
        <f t="shared" si="1"/>
        <v>23970</v>
      </c>
      <c r="P52" s="6" t="s">
        <v>3499</v>
      </c>
    </row>
    <row r="53" spans="1:16" x14ac:dyDescent="0.25">
      <c r="A53" s="6" t="s">
        <v>3510</v>
      </c>
      <c r="B53" s="7">
        <v>46121</v>
      </c>
      <c r="C53" s="7">
        <v>46127</v>
      </c>
      <c r="D53" s="6">
        <v>3271</v>
      </c>
      <c r="E53" s="6">
        <v>336</v>
      </c>
      <c r="F53" s="6">
        <v>4</v>
      </c>
      <c r="G53" s="35">
        <v>6</v>
      </c>
      <c r="H53" s="35">
        <v>81328</v>
      </c>
      <c r="I53" s="35" t="s">
        <v>543</v>
      </c>
      <c r="J53" s="35">
        <v>54472427</v>
      </c>
      <c r="K53" s="35" t="s">
        <v>2819</v>
      </c>
      <c r="L53" s="35" t="s">
        <v>2823</v>
      </c>
      <c r="M53" s="41">
        <v>79900</v>
      </c>
      <c r="N53" s="64">
        <v>0.7</v>
      </c>
      <c r="O53" s="12">
        <f t="shared" si="1"/>
        <v>23970</v>
      </c>
      <c r="P53" s="6" t="s">
        <v>3499</v>
      </c>
    </row>
    <row r="54" spans="1:16" x14ac:dyDescent="0.25">
      <c r="A54" s="6" t="s">
        <v>3510</v>
      </c>
      <c r="B54" s="7">
        <v>46121</v>
      </c>
      <c r="C54" s="7">
        <v>46127</v>
      </c>
      <c r="D54" s="6">
        <v>3271</v>
      </c>
      <c r="E54" s="6">
        <v>336</v>
      </c>
      <c r="F54" s="6">
        <v>4</v>
      </c>
      <c r="G54" s="35">
        <v>6</v>
      </c>
      <c r="H54" s="35">
        <v>81328</v>
      </c>
      <c r="I54" s="35" t="s">
        <v>543</v>
      </c>
      <c r="J54" s="35">
        <v>54472436</v>
      </c>
      <c r="K54" s="35" t="s">
        <v>2824</v>
      </c>
      <c r="L54" s="35" t="s">
        <v>2825</v>
      </c>
      <c r="M54" s="41">
        <v>79900</v>
      </c>
      <c r="N54" s="64">
        <v>0.7</v>
      </c>
      <c r="O54" s="12">
        <f t="shared" si="1"/>
        <v>23970</v>
      </c>
      <c r="P54" s="6" t="s">
        <v>3499</v>
      </c>
    </row>
    <row r="55" spans="1:16" x14ac:dyDescent="0.25">
      <c r="A55" s="6" t="s">
        <v>3510</v>
      </c>
      <c r="B55" s="7">
        <v>46121</v>
      </c>
      <c r="C55" s="7">
        <v>46127</v>
      </c>
      <c r="D55" s="6">
        <v>3271</v>
      </c>
      <c r="E55" s="6">
        <v>336</v>
      </c>
      <c r="F55" s="6">
        <v>4</v>
      </c>
      <c r="G55" s="35">
        <v>6</v>
      </c>
      <c r="H55" s="35">
        <v>81328</v>
      </c>
      <c r="I55" s="35" t="s">
        <v>543</v>
      </c>
      <c r="J55" s="35">
        <v>54472445</v>
      </c>
      <c r="K55" s="35" t="s">
        <v>2824</v>
      </c>
      <c r="L55" s="35" t="s">
        <v>2826</v>
      </c>
      <c r="M55" s="41">
        <v>79900</v>
      </c>
      <c r="N55" s="64">
        <v>0.7</v>
      </c>
      <c r="O55" s="12">
        <f t="shared" si="1"/>
        <v>23970</v>
      </c>
      <c r="P55" s="6" t="s">
        <v>3499</v>
      </c>
    </row>
    <row r="56" spans="1:16" x14ac:dyDescent="0.25">
      <c r="A56" s="6" t="s">
        <v>3510</v>
      </c>
      <c r="B56" s="7">
        <v>46121</v>
      </c>
      <c r="C56" s="7">
        <v>46127</v>
      </c>
      <c r="D56" s="6">
        <v>3271</v>
      </c>
      <c r="E56" s="6">
        <v>336</v>
      </c>
      <c r="F56" s="6">
        <v>4</v>
      </c>
      <c r="G56" s="35">
        <v>6</v>
      </c>
      <c r="H56" s="35">
        <v>81328</v>
      </c>
      <c r="I56" s="35" t="s">
        <v>543</v>
      </c>
      <c r="J56" s="35">
        <v>54472454</v>
      </c>
      <c r="K56" s="35" t="s">
        <v>2824</v>
      </c>
      <c r="L56" s="35" t="s">
        <v>2827</v>
      </c>
      <c r="M56" s="41">
        <v>79900</v>
      </c>
      <c r="N56" s="64">
        <v>0.7</v>
      </c>
      <c r="O56" s="12">
        <f t="shared" si="1"/>
        <v>23970</v>
      </c>
      <c r="P56" s="6" t="s">
        <v>3499</v>
      </c>
    </row>
    <row r="57" spans="1:16" x14ac:dyDescent="0.25">
      <c r="A57" s="6" t="s">
        <v>3510</v>
      </c>
      <c r="B57" s="7">
        <v>46121</v>
      </c>
      <c r="C57" s="7">
        <v>46127</v>
      </c>
      <c r="D57" s="6">
        <v>3271</v>
      </c>
      <c r="E57" s="6">
        <v>336</v>
      </c>
      <c r="F57" s="6">
        <v>4</v>
      </c>
      <c r="G57" s="35">
        <v>6</v>
      </c>
      <c r="H57" s="35">
        <v>81328</v>
      </c>
      <c r="I57" s="35" t="s">
        <v>543</v>
      </c>
      <c r="J57" s="35">
        <v>54472463</v>
      </c>
      <c r="K57" s="35" t="s">
        <v>2824</v>
      </c>
      <c r="L57" s="35" t="s">
        <v>2828</v>
      </c>
      <c r="M57" s="41">
        <v>79900</v>
      </c>
      <c r="N57" s="64">
        <v>0.7</v>
      </c>
      <c r="O57" s="12">
        <f t="shared" si="1"/>
        <v>23970</v>
      </c>
      <c r="P57" s="6" t="s">
        <v>3499</v>
      </c>
    </row>
    <row r="58" spans="1:16" x14ac:dyDescent="0.25">
      <c r="A58" s="6" t="s">
        <v>3510</v>
      </c>
      <c r="B58" s="7">
        <v>46121</v>
      </c>
      <c r="C58" s="7">
        <v>46127</v>
      </c>
      <c r="D58" s="6">
        <v>3271</v>
      </c>
      <c r="E58" s="6">
        <v>336</v>
      </c>
      <c r="F58" s="6">
        <v>4</v>
      </c>
      <c r="G58" s="35">
        <v>6</v>
      </c>
      <c r="H58" s="35">
        <v>81328</v>
      </c>
      <c r="I58" s="35" t="s">
        <v>543</v>
      </c>
      <c r="J58" s="35">
        <v>54472472</v>
      </c>
      <c r="K58" s="35" t="s">
        <v>2829</v>
      </c>
      <c r="L58" s="35" t="s">
        <v>2830</v>
      </c>
      <c r="M58" s="41">
        <v>79900</v>
      </c>
      <c r="N58" s="64">
        <v>0.7</v>
      </c>
      <c r="O58" s="12">
        <f t="shared" si="1"/>
        <v>23970</v>
      </c>
      <c r="P58" s="6" t="s">
        <v>3499</v>
      </c>
    </row>
    <row r="59" spans="1:16" x14ac:dyDescent="0.25">
      <c r="A59" s="6" t="s">
        <v>3510</v>
      </c>
      <c r="B59" s="7">
        <v>46121</v>
      </c>
      <c r="C59" s="7">
        <v>46127</v>
      </c>
      <c r="D59" s="6">
        <v>3271</v>
      </c>
      <c r="E59" s="6">
        <v>336</v>
      </c>
      <c r="F59" s="6">
        <v>4</v>
      </c>
      <c r="G59" s="35">
        <v>6</v>
      </c>
      <c r="H59" s="35">
        <v>81328</v>
      </c>
      <c r="I59" s="35" t="s">
        <v>543</v>
      </c>
      <c r="J59" s="35">
        <v>54472481</v>
      </c>
      <c r="K59" s="35" t="s">
        <v>2829</v>
      </c>
      <c r="L59" s="35" t="s">
        <v>2831</v>
      </c>
      <c r="M59" s="41">
        <v>79900</v>
      </c>
      <c r="N59" s="64">
        <v>0.7</v>
      </c>
      <c r="O59" s="12">
        <f t="shared" si="1"/>
        <v>23970</v>
      </c>
      <c r="P59" s="6" t="s">
        <v>3499</v>
      </c>
    </row>
    <row r="60" spans="1:16" x14ac:dyDescent="0.25">
      <c r="A60" s="6" t="s">
        <v>3510</v>
      </c>
      <c r="B60" s="7">
        <v>46121</v>
      </c>
      <c r="C60" s="7">
        <v>46127</v>
      </c>
      <c r="D60" s="6">
        <v>3271</v>
      </c>
      <c r="E60" s="6">
        <v>336</v>
      </c>
      <c r="F60" s="6">
        <v>4</v>
      </c>
      <c r="G60" s="35">
        <v>6</v>
      </c>
      <c r="H60" s="35">
        <v>81328</v>
      </c>
      <c r="I60" s="35" t="s">
        <v>543</v>
      </c>
      <c r="J60" s="35">
        <v>54472490</v>
      </c>
      <c r="K60" s="35" t="s">
        <v>2829</v>
      </c>
      <c r="L60" s="35" t="s">
        <v>2832</v>
      </c>
      <c r="M60" s="41">
        <v>79900</v>
      </c>
      <c r="N60" s="64">
        <v>0.7</v>
      </c>
      <c r="O60" s="12">
        <f t="shared" si="1"/>
        <v>23970</v>
      </c>
      <c r="P60" s="6" t="s">
        <v>3499</v>
      </c>
    </row>
    <row r="61" spans="1:16" x14ac:dyDescent="0.25">
      <c r="A61" s="6" t="s">
        <v>3510</v>
      </c>
      <c r="B61" s="7">
        <v>46121</v>
      </c>
      <c r="C61" s="7">
        <v>46127</v>
      </c>
      <c r="D61" s="6">
        <v>3271</v>
      </c>
      <c r="E61" s="6">
        <v>336</v>
      </c>
      <c r="F61" s="6">
        <v>4</v>
      </c>
      <c r="G61" s="35">
        <v>6</v>
      </c>
      <c r="H61" s="35">
        <v>81328</v>
      </c>
      <c r="I61" s="35" t="s">
        <v>543</v>
      </c>
      <c r="J61" s="35">
        <v>54472507</v>
      </c>
      <c r="K61" s="35" t="s">
        <v>2829</v>
      </c>
      <c r="L61" s="35" t="s">
        <v>2833</v>
      </c>
      <c r="M61" s="41">
        <v>79900</v>
      </c>
      <c r="N61" s="64">
        <v>0.7</v>
      </c>
      <c r="O61" s="12">
        <f t="shared" si="1"/>
        <v>23970</v>
      </c>
      <c r="P61" s="6" t="s">
        <v>3499</v>
      </c>
    </row>
    <row r="62" spans="1:16" x14ac:dyDescent="0.25">
      <c r="A62" s="6" t="s">
        <v>3510</v>
      </c>
      <c r="B62" s="7">
        <v>46121</v>
      </c>
      <c r="C62" s="7">
        <v>46127</v>
      </c>
      <c r="D62" s="6">
        <v>3271</v>
      </c>
      <c r="E62" s="6">
        <v>336</v>
      </c>
      <c r="F62" s="6">
        <v>4</v>
      </c>
      <c r="G62" s="35">
        <v>6</v>
      </c>
      <c r="H62" s="35">
        <v>81328</v>
      </c>
      <c r="I62" s="35" t="s">
        <v>543</v>
      </c>
      <c r="J62" s="35">
        <v>54472516</v>
      </c>
      <c r="K62" s="35" t="s">
        <v>2834</v>
      </c>
      <c r="L62" s="35" t="s">
        <v>2835</v>
      </c>
      <c r="M62" s="41">
        <v>79900</v>
      </c>
      <c r="N62" s="64">
        <v>0.7</v>
      </c>
      <c r="O62" s="12">
        <f t="shared" si="1"/>
        <v>23970</v>
      </c>
      <c r="P62" s="6" t="s">
        <v>3499</v>
      </c>
    </row>
    <row r="63" spans="1:16" x14ac:dyDescent="0.25">
      <c r="A63" s="6" t="s">
        <v>3510</v>
      </c>
      <c r="B63" s="7">
        <v>46121</v>
      </c>
      <c r="C63" s="7">
        <v>46127</v>
      </c>
      <c r="D63" s="6">
        <v>3271</v>
      </c>
      <c r="E63" s="6">
        <v>336</v>
      </c>
      <c r="F63" s="6">
        <v>4</v>
      </c>
      <c r="G63" s="35">
        <v>6</v>
      </c>
      <c r="H63" s="35">
        <v>81328</v>
      </c>
      <c r="I63" s="35" t="s">
        <v>543</v>
      </c>
      <c r="J63" s="35">
        <v>54472525</v>
      </c>
      <c r="K63" s="35" t="s">
        <v>2834</v>
      </c>
      <c r="L63" s="35" t="s">
        <v>2836</v>
      </c>
      <c r="M63" s="41">
        <v>79900</v>
      </c>
      <c r="N63" s="64">
        <v>0.7</v>
      </c>
      <c r="O63" s="12">
        <f t="shared" si="1"/>
        <v>23970</v>
      </c>
      <c r="P63" s="6" t="s">
        <v>3499</v>
      </c>
    </row>
    <row r="64" spans="1:16" x14ac:dyDescent="0.25">
      <c r="A64" s="6" t="s">
        <v>3510</v>
      </c>
      <c r="B64" s="7">
        <v>46121</v>
      </c>
      <c r="C64" s="7">
        <v>46127</v>
      </c>
      <c r="D64" s="6">
        <v>3271</v>
      </c>
      <c r="E64" s="6">
        <v>336</v>
      </c>
      <c r="F64" s="6">
        <v>4</v>
      </c>
      <c r="G64" s="35">
        <v>6</v>
      </c>
      <c r="H64" s="35">
        <v>81328</v>
      </c>
      <c r="I64" s="35" t="s">
        <v>543</v>
      </c>
      <c r="J64" s="35">
        <v>54472534</v>
      </c>
      <c r="K64" s="35" t="s">
        <v>2834</v>
      </c>
      <c r="L64" s="35" t="s">
        <v>2837</v>
      </c>
      <c r="M64" s="41">
        <v>79900</v>
      </c>
      <c r="N64" s="64">
        <v>0.7</v>
      </c>
      <c r="O64" s="12">
        <f t="shared" si="1"/>
        <v>23970</v>
      </c>
      <c r="P64" s="6" t="s">
        <v>3499</v>
      </c>
    </row>
    <row r="65" spans="1:16" x14ac:dyDescent="0.25">
      <c r="A65" s="6" t="s">
        <v>3510</v>
      </c>
      <c r="B65" s="7">
        <v>46121</v>
      </c>
      <c r="C65" s="7">
        <v>46127</v>
      </c>
      <c r="D65" s="6">
        <v>3271</v>
      </c>
      <c r="E65" s="6">
        <v>336</v>
      </c>
      <c r="F65" s="6">
        <v>4</v>
      </c>
      <c r="G65" s="35">
        <v>6</v>
      </c>
      <c r="H65" s="35">
        <v>81328</v>
      </c>
      <c r="I65" s="35" t="s">
        <v>543</v>
      </c>
      <c r="J65" s="35">
        <v>54472543</v>
      </c>
      <c r="K65" s="35" t="s">
        <v>2834</v>
      </c>
      <c r="L65" s="35" t="s">
        <v>2838</v>
      </c>
      <c r="M65" s="41">
        <v>79900</v>
      </c>
      <c r="N65" s="64">
        <v>0.7</v>
      </c>
      <c r="O65" s="12">
        <f t="shared" si="1"/>
        <v>23970</v>
      </c>
      <c r="P65" s="6" t="s">
        <v>3499</v>
      </c>
    </row>
    <row r="66" spans="1:16" x14ac:dyDescent="0.25">
      <c r="A66" s="6" t="s">
        <v>3510</v>
      </c>
      <c r="B66" s="7">
        <v>46121</v>
      </c>
      <c r="C66" s="7">
        <v>46127</v>
      </c>
      <c r="D66" s="6">
        <v>3271</v>
      </c>
      <c r="E66" s="6">
        <v>336</v>
      </c>
      <c r="F66" s="6">
        <v>4</v>
      </c>
      <c r="G66" s="35">
        <v>6</v>
      </c>
      <c r="H66" s="35">
        <v>81328</v>
      </c>
      <c r="I66" s="35" t="s">
        <v>543</v>
      </c>
      <c r="J66" s="35">
        <v>54472552</v>
      </c>
      <c r="K66" s="35" t="s">
        <v>2839</v>
      </c>
      <c r="L66" s="35" t="s">
        <v>2840</v>
      </c>
      <c r="M66" s="41">
        <v>79900</v>
      </c>
      <c r="N66" s="64">
        <v>0.7</v>
      </c>
      <c r="O66" s="12">
        <f t="shared" si="1"/>
        <v>23970</v>
      </c>
      <c r="P66" s="6" t="s">
        <v>3499</v>
      </c>
    </row>
    <row r="67" spans="1:16" x14ac:dyDescent="0.25">
      <c r="A67" s="6" t="s">
        <v>3510</v>
      </c>
      <c r="B67" s="7">
        <v>46121</v>
      </c>
      <c r="C67" s="7">
        <v>46127</v>
      </c>
      <c r="D67" s="6">
        <v>3271</v>
      </c>
      <c r="E67" s="6">
        <v>336</v>
      </c>
      <c r="F67" s="6">
        <v>4</v>
      </c>
      <c r="G67" s="35">
        <v>6</v>
      </c>
      <c r="H67" s="35">
        <v>81328</v>
      </c>
      <c r="I67" s="35" t="s">
        <v>543</v>
      </c>
      <c r="J67" s="35">
        <v>54472561</v>
      </c>
      <c r="K67" s="35" t="s">
        <v>2839</v>
      </c>
      <c r="L67" s="35" t="s">
        <v>2841</v>
      </c>
      <c r="M67" s="41">
        <v>79900</v>
      </c>
      <c r="N67" s="64">
        <v>0.7</v>
      </c>
      <c r="O67" s="12">
        <f t="shared" ref="O67:O77" si="2">M67-((70*M67)/100)</f>
        <v>23970</v>
      </c>
      <c r="P67" s="6" t="s">
        <v>3499</v>
      </c>
    </row>
    <row r="68" spans="1:16" x14ac:dyDescent="0.25">
      <c r="A68" s="6" t="s">
        <v>3510</v>
      </c>
      <c r="B68" s="7">
        <v>46121</v>
      </c>
      <c r="C68" s="7">
        <v>46127</v>
      </c>
      <c r="D68" s="6">
        <v>3271</v>
      </c>
      <c r="E68" s="6">
        <v>336</v>
      </c>
      <c r="F68" s="6">
        <v>4</v>
      </c>
      <c r="G68" s="35">
        <v>6</v>
      </c>
      <c r="H68" s="35">
        <v>81328</v>
      </c>
      <c r="I68" s="35" t="s">
        <v>543</v>
      </c>
      <c r="J68" s="35">
        <v>54472570</v>
      </c>
      <c r="K68" s="35" t="s">
        <v>2839</v>
      </c>
      <c r="L68" s="35" t="s">
        <v>2842</v>
      </c>
      <c r="M68" s="41">
        <v>79900</v>
      </c>
      <c r="N68" s="64">
        <v>0.7</v>
      </c>
      <c r="O68" s="12">
        <f t="shared" si="2"/>
        <v>23970</v>
      </c>
      <c r="P68" s="6" t="s">
        <v>3499</v>
      </c>
    </row>
    <row r="69" spans="1:16" x14ac:dyDescent="0.25">
      <c r="A69" s="6" t="s">
        <v>3510</v>
      </c>
      <c r="B69" s="7">
        <v>46121</v>
      </c>
      <c r="C69" s="7">
        <v>46127</v>
      </c>
      <c r="D69" s="6">
        <v>3271</v>
      </c>
      <c r="E69" s="6">
        <v>336</v>
      </c>
      <c r="F69" s="6">
        <v>4</v>
      </c>
      <c r="G69" s="35">
        <v>6</v>
      </c>
      <c r="H69" s="35">
        <v>81328</v>
      </c>
      <c r="I69" s="35" t="s">
        <v>543</v>
      </c>
      <c r="J69" s="35">
        <v>54472589</v>
      </c>
      <c r="K69" s="35" t="s">
        <v>2839</v>
      </c>
      <c r="L69" s="35" t="s">
        <v>2843</v>
      </c>
      <c r="M69" s="41">
        <v>79900</v>
      </c>
      <c r="N69" s="64">
        <v>0.7</v>
      </c>
      <c r="O69" s="12">
        <f t="shared" si="2"/>
        <v>23970</v>
      </c>
      <c r="P69" s="6" t="s">
        <v>3499</v>
      </c>
    </row>
    <row r="70" spans="1:16" x14ac:dyDescent="0.25">
      <c r="A70" s="6" t="s">
        <v>3510</v>
      </c>
      <c r="B70" s="7">
        <v>46121</v>
      </c>
      <c r="C70" s="7">
        <v>46127</v>
      </c>
      <c r="D70" s="6">
        <v>3271</v>
      </c>
      <c r="E70" s="6">
        <v>336</v>
      </c>
      <c r="F70" s="6">
        <v>4</v>
      </c>
      <c r="G70" s="35">
        <v>6</v>
      </c>
      <c r="H70" s="35">
        <v>81328</v>
      </c>
      <c r="I70" s="35" t="s">
        <v>543</v>
      </c>
      <c r="J70" s="35">
        <v>54472598</v>
      </c>
      <c r="K70" s="35" t="s">
        <v>2844</v>
      </c>
      <c r="L70" s="35" t="s">
        <v>2845</v>
      </c>
      <c r="M70" s="41">
        <v>79900</v>
      </c>
      <c r="N70" s="64">
        <v>0.7</v>
      </c>
      <c r="O70" s="12">
        <f t="shared" si="2"/>
        <v>23970</v>
      </c>
      <c r="P70" s="6" t="s">
        <v>3499</v>
      </c>
    </row>
    <row r="71" spans="1:16" x14ac:dyDescent="0.25">
      <c r="A71" s="6" t="s">
        <v>3510</v>
      </c>
      <c r="B71" s="7">
        <v>46121</v>
      </c>
      <c r="C71" s="7">
        <v>46127</v>
      </c>
      <c r="D71" s="6">
        <v>3271</v>
      </c>
      <c r="E71" s="6">
        <v>336</v>
      </c>
      <c r="F71" s="6">
        <v>4</v>
      </c>
      <c r="G71" s="35">
        <v>6</v>
      </c>
      <c r="H71" s="35">
        <v>81328</v>
      </c>
      <c r="I71" s="35" t="s">
        <v>543</v>
      </c>
      <c r="J71" s="35">
        <v>54472605</v>
      </c>
      <c r="K71" s="35" t="s">
        <v>2844</v>
      </c>
      <c r="L71" s="35" t="s">
        <v>2846</v>
      </c>
      <c r="M71" s="41">
        <v>79900</v>
      </c>
      <c r="N71" s="64">
        <v>0.7</v>
      </c>
      <c r="O71" s="12">
        <f t="shared" si="2"/>
        <v>23970</v>
      </c>
      <c r="P71" s="6" t="s">
        <v>3499</v>
      </c>
    </row>
    <row r="72" spans="1:16" x14ac:dyDescent="0.25">
      <c r="A72" s="6" t="s">
        <v>3510</v>
      </c>
      <c r="B72" s="7">
        <v>46121</v>
      </c>
      <c r="C72" s="7">
        <v>46127</v>
      </c>
      <c r="D72" s="6">
        <v>3271</v>
      </c>
      <c r="E72" s="6">
        <v>336</v>
      </c>
      <c r="F72" s="6">
        <v>4</v>
      </c>
      <c r="G72" s="35">
        <v>6</v>
      </c>
      <c r="H72" s="35">
        <v>81328</v>
      </c>
      <c r="I72" s="35" t="s">
        <v>543</v>
      </c>
      <c r="J72" s="35">
        <v>54472614</v>
      </c>
      <c r="K72" s="35" t="s">
        <v>2844</v>
      </c>
      <c r="L72" s="35" t="s">
        <v>2847</v>
      </c>
      <c r="M72" s="41">
        <v>79900</v>
      </c>
      <c r="N72" s="64">
        <v>0.7</v>
      </c>
      <c r="O72" s="12">
        <f t="shared" si="2"/>
        <v>23970</v>
      </c>
      <c r="P72" s="6" t="s">
        <v>3499</v>
      </c>
    </row>
    <row r="73" spans="1:16" x14ac:dyDescent="0.25">
      <c r="A73" s="6" t="s">
        <v>3510</v>
      </c>
      <c r="B73" s="7">
        <v>46121</v>
      </c>
      <c r="C73" s="7">
        <v>46127</v>
      </c>
      <c r="D73" s="6">
        <v>3271</v>
      </c>
      <c r="E73" s="6">
        <v>336</v>
      </c>
      <c r="F73" s="6">
        <v>4</v>
      </c>
      <c r="G73" s="35">
        <v>6</v>
      </c>
      <c r="H73" s="35">
        <v>81328</v>
      </c>
      <c r="I73" s="35" t="s">
        <v>543</v>
      </c>
      <c r="J73" s="35">
        <v>54472623</v>
      </c>
      <c r="K73" s="35" t="s">
        <v>2844</v>
      </c>
      <c r="L73" s="35" t="s">
        <v>2848</v>
      </c>
      <c r="M73" s="41">
        <v>79900</v>
      </c>
      <c r="N73" s="64">
        <v>0.7</v>
      </c>
      <c r="O73" s="12">
        <f t="shared" si="2"/>
        <v>23970</v>
      </c>
      <c r="P73" s="6" t="s">
        <v>3499</v>
      </c>
    </row>
    <row r="74" spans="1:16" x14ac:dyDescent="0.25">
      <c r="A74" s="6" t="s">
        <v>3510</v>
      </c>
      <c r="B74" s="7">
        <v>46121</v>
      </c>
      <c r="C74" s="7">
        <v>46127</v>
      </c>
      <c r="D74" s="6">
        <v>3271</v>
      </c>
      <c r="E74" s="6">
        <v>336</v>
      </c>
      <c r="F74" s="6">
        <v>4</v>
      </c>
      <c r="G74" s="35">
        <v>6</v>
      </c>
      <c r="H74" s="35">
        <v>81328</v>
      </c>
      <c r="I74" s="35" t="s">
        <v>543</v>
      </c>
      <c r="J74" s="35">
        <v>54472632</v>
      </c>
      <c r="K74" s="35" t="s">
        <v>2849</v>
      </c>
      <c r="L74" s="35" t="s">
        <v>2850</v>
      </c>
      <c r="M74" s="41">
        <v>79900</v>
      </c>
      <c r="N74" s="64">
        <v>0.7</v>
      </c>
      <c r="O74" s="12">
        <f t="shared" si="2"/>
        <v>23970</v>
      </c>
      <c r="P74" s="6" t="s">
        <v>3499</v>
      </c>
    </row>
    <row r="75" spans="1:16" x14ac:dyDescent="0.25">
      <c r="A75" s="6" t="s">
        <v>3510</v>
      </c>
      <c r="B75" s="7">
        <v>46121</v>
      </c>
      <c r="C75" s="7">
        <v>46127</v>
      </c>
      <c r="D75" s="6">
        <v>3271</v>
      </c>
      <c r="E75" s="6">
        <v>336</v>
      </c>
      <c r="F75" s="6">
        <v>4</v>
      </c>
      <c r="G75" s="35">
        <v>6</v>
      </c>
      <c r="H75" s="35">
        <v>81328</v>
      </c>
      <c r="I75" s="35" t="s">
        <v>543</v>
      </c>
      <c r="J75" s="35">
        <v>54472641</v>
      </c>
      <c r="K75" s="35" t="s">
        <v>2849</v>
      </c>
      <c r="L75" s="35" t="s">
        <v>2851</v>
      </c>
      <c r="M75" s="41">
        <v>79900</v>
      </c>
      <c r="N75" s="64">
        <v>0.7</v>
      </c>
      <c r="O75" s="12">
        <f t="shared" si="2"/>
        <v>23970</v>
      </c>
      <c r="P75" s="6" t="s">
        <v>3499</v>
      </c>
    </row>
    <row r="76" spans="1:16" x14ac:dyDescent="0.25">
      <c r="A76" s="6" t="s">
        <v>3510</v>
      </c>
      <c r="B76" s="7">
        <v>46121</v>
      </c>
      <c r="C76" s="7">
        <v>46127</v>
      </c>
      <c r="D76" s="6">
        <v>3271</v>
      </c>
      <c r="E76" s="6">
        <v>336</v>
      </c>
      <c r="F76" s="6">
        <v>4</v>
      </c>
      <c r="G76" s="35">
        <v>6</v>
      </c>
      <c r="H76" s="35">
        <v>81328</v>
      </c>
      <c r="I76" s="35" t="s">
        <v>543</v>
      </c>
      <c r="J76" s="35">
        <v>54472650</v>
      </c>
      <c r="K76" s="35" t="s">
        <v>2849</v>
      </c>
      <c r="L76" s="35" t="s">
        <v>2852</v>
      </c>
      <c r="M76" s="41">
        <v>79900</v>
      </c>
      <c r="N76" s="64">
        <v>0.7</v>
      </c>
      <c r="O76" s="12">
        <f t="shared" si="2"/>
        <v>23970</v>
      </c>
      <c r="P76" s="6" t="s">
        <v>3499</v>
      </c>
    </row>
    <row r="77" spans="1:16" x14ac:dyDescent="0.25">
      <c r="A77" s="6" t="s">
        <v>3510</v>
      </c>
      <c r="B77" s="7">
        <v>46121</v>
      </c>
      <c r="C77" s="7">
        <v>46127</v>
      </c>
      <c r="D77" s="6">
        <v>3271</v>
      </c>
      <c r="E77" s="6">
        <v>336</v>
      </c>
      <c r="F77" s="6">
        <v>4</v>
      </c>
      <c r="G77" s="35">
        <v>6</v>
      </c>
      <c r="H77" s="35">
        <v>81328</v>
      </c>
      <c r="I77" s="35" t="s">
        <v>543</v>
      </c>
      <c r="J77" s="35">
        <v>54472669</v>
      </c>
      <c r="K77" s="35" t="s">
        <v>2849</v>
      </c>
      <c r="L77" s="35" t="s">
        <v>2853</v>
      </c>
      <c r="M77" s="41">
        <v>79900</v>
      </c>
      <c r="N77" s="64">
        <v>0.7</v>
      </c>
      <c r="O77" s="12">
        <f t="shared" si="2"/>
        <v>23970</v>
      </c>
      <c r="P77" s="6" t="s">
        <v>3499</v>
      </c>
    </row>
  </sheetData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5AE9-DEA4-442E-A445-12CE8181CEAF}">
  <sheetPr>
    <tabColor rgb="FF00B050"/>
  </sheetPr>
  <dimension ref="A1:P25"/>
  <sheetViews>
    <sheetView topLeftCell="A19" workbookViewId="0">
      <selection activeCell="G30" sqref="G30"/>
    </sheetView>
  </sheetViews>
  <sheetFormatPr defaultRowHeight="15" x14ac:dyDescent="0.25"/>
  <cols>
    <col min="1" max="1" width="27.570312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" bestFit="1" customWidth="1"/>
    <col min="12" max="12" width="93.71093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3506</v>
      </c>
      <c r="B2" s="7">
        <v>46121</v>
      </c>
      <c r="C2" s="7">
        <v>46127</v>
      </c>
      <c r="D2" s="6">
        <v>3271</v>
      </c>
      <c r="E2" s="6">
        <v>336</v>
      </c>
      <c r="F2" s="6">
        <v>4</v>
      </c>
      <c r="G2" s="42">
        <v>4</v>
      </c>
      <c r="H2" s="42">
        <v>81683</v>
      </c>
      <c r="I2" s="42" t="s">
        <v>543</v>
      </c>
      <c r="J2" s="42">
        <v>53719476</v>
      </c>
      <c r="K2" s="42" t="s">
        <v>2854</v>
      </c>
      <c r="L2" s="42" t="s">
        <v>2855</v>
      </c>
      <c r="M2" s="43">
        <v>169900</v>
      </c>
      <c r="N2" s="64">
        <v>0.6</v>
      </c>
      <c r="O2" s="12">
        <f>M2-((60*M2)/100)</f>
        <v>67960</v>
      </c>
      <c r="P2" s="6" t="s">
        <v>3499</v>
      </c>
    </row>
    <row r="3" spans="1:16" x14ac:dyDescent="0.25">
      <c r="A3" s="6" t="s">
        <v>3506</v>
      </c>
      <c r="B3" s="7">
        <v>46121</v>
      </c>
      <c r="C3" s="7">
        <v>46127</v>
      </c>
      <c r="D3" s="6">
        <v>3271</v>
      </c>
      <c r="E3" s="6">
        <v>336</v>
      </c>
      <c r="F3" s="6">
        <v>4</v>
      </c>
      <c r="G3" s="42">
        <v>4</v>
      </c>
      <c r="H3" s="42">
        <v>81683</v>
      </c>
      <c r="I3" s="42" t="s">
        <v>543</v>
      </c>
      <c r="J3" s="42">
        <v>53719485</v>
      </c>
      <c r="K3" s="42" t="s">
        <v>2854</v>
      </c>
      <c r="L3" s="42" t="s">
        <v>2856</v>
      </c>
      <c r="M3" s="43">
        <v>169900</v>
      </c>
      <c r="N3" s="64">
        <v>0.6</v>
      </c>
      <c r="O3" s="12">
        <f t="shared" ref="O3:O25" si="0">M3-((60*M3)/100)</f>
        <v>67960</v>
      </c>
      <c r="P3" s="6" t="s">
        <v>3499</v>
      </c>
    </row>
    <row r="4" spans="1:16" x14ac:dyDescent="0.25">
      <c r="A4" s="6" t="s">
        <v>3506</v>
      </c>
      <c r="B4" s="7">
        <v>46121</v>
      </c>
      <c r="C4" s="7">
        <v>46127</v>
      </c>
      <c r="D4" s="6">
        <v>3271</v>
      </c>
      <c r="E4" s="6">
        <v>336</v>
      </c>
      <c r="F4" s="6">
        <v>4</v>
      </c>
      <c r="G4" s="42">
        <v>4</v>
      </c>
      <c r="H4" s="42">
        <v>81683</v>
      </c>
      <c r="I4" s="42" t="s">
        <v>543</v>
      </c>
      <c r="J4" s="42">
        <v>53719494</v>
      </c>
      <c r="K4" s="42" t="s">
        <v>2854</v>
      </c>
      <c r="L4" s="42" t="s">
        <v>2857</v>
      </c>
      <c r="M4" s="43">
        <v>169900</v>
      </c>
      <c r="N4" s="64">
        <v>0.6</v>
      </c>
      <c r="O4" s="12">
        <f t="shared" si="0"/>
        <v>67960</v>
      </c>
      <c r="P4" s="6" t="s">
        <v>3499</v>
      </c>
    </row>
    <row r="5" spans="1:16" x14ac:dyDescent="0.25">
      <c r="A5" s="6" t="s">
        <v>3506</v>
      </c>
      <c r="B5" s="7">
        <v>46121</v>
      </c>
      <c r="C5" s="7">
        <v>46127</v>
      </c>
      <c r="D5" s="6">
        <v>3271</v>
      </c>
      <c r="E5" s="6">
        <v>336</v>
      </c>
      <c r="F5" s="6">
        <v>4</v>
      </c>
      <c r="G5" s="42">
        <v>4</v>
      </c>
      <c r="H5" s="42">
        <v>81683</v>
      </c>
      <c r="I5" s="42" t="s">
        <v>543</v>
      </c>
      <c r="J5" s="42">
        <v>53719501</v>
      </c>
      <c r="K5" s="42" t="s">
        <v>2854</v>
      </c>
      <c r="L5" s="42" t="s">
        <v>2858</v>
      </c>
      <c r="M5" s="43">
        <v>169900</v>
      </c>
      <c r="N5" s="64">
        <v>0.6</v>
      </c>
      <c r="O5" s="12">
        <f t="shared" si="0"/>
        <v>67960</v>
      </c>
      <c r="P5" s="6" t="s">
        <v>3499</v>
      </c>
    </row>
    <row r="6" spans="1:16" x14ac:dyDescent="0.25">
      <c r="A6" s="6" t="s">
        <v>3506</v>
      </c>
      <c r="B6" s="7">
        <v>46121</v>
      </c>
      <c r="C6" s="7">
        <v>46127</v>
      </c>
      <c r="D6" s="6">
        <v>3271</v>
      </c>
      <c r="E6" s="6">
        <v>336</v>
      </c>
      <c r="F6" s="6">
        <v>4</v>
      </c>
      <c r="G6" s="42">
        <v>4</v>
      </c>
      <c r="H6" s="42">
        <v>81683</v>
      </c>
      <c r="I6" s="42" t="s">
        <v>543</v>
      </c>
      <c r="J6" s="42">
        <v>53719510</v>
      </c>
      <c r="K6" s="42" t="s">
        <v>2859</v>
      </c>
      <c r="L6" s="42" t="s">
        <v>2860</v>
      </c>
      <c r="M6" s="43">
        <v>169900</v>
      </c>
      <c r="N6" s="64">
        <v>0.6</v>
      </c>
      <c r="O6" s="12">
        <f t="shared" si="0"/>
        <v>67960</v>
      </c>
      <c r="P6" s="6" t="s">
        <v>3499</v>
      </c>
    </row>
    <row r="7" spans="1:16" x14ac:dyDescent="0.25">
      <c r="A7" s="6" t="s">
        <v>3506</v>
      </c>
      <c r="B7" s="7">
        <v>46121</v>
      </c>
      <c r="C7" s="7">
        <v>46127</v>
      </c>
      <c r="D7" s="6">
        <v>3271</v>
      </c>
      <c r="E7" s="6">
        <v>336</v>
      </c>
      <c r="F7" s="6">
        <v>4</v>
      </c>
      <c r="G7" s="42">
        <v>4</v>
      </c>
      <c r="H7" s="42">
        <v>81683</v>
      </c>
      <c r="I7" s="42" t="s">
        <v>543</v>
      </c>
      <c r="J7" s="42">
        <v>53719529</v>
      </c>
      <c r="K7" s="42" t="s">
        <v>2859</v>
      </c>
      <c r="L7" s="42" t="s">
        <v>2861</v>
      </c>
      <c r="M7" s="43">
        <v>169900</v>
      </c>
      <c r="N7" s="64">
        <v>0.6</v>
      </c>
      <c r="O7" s="12">
        <f t="shared" si="0"/>
        <v>67960</v>
      </c>
      <c r="P7" s="6" t="s">
        <v>3499</v>
      </c>
    </row>
    <row r="8" spans="1:16" x14ac:dyDescent="0.25">
      <c r="A8" s="6" t="s">
        <v>3506</v>
      </c>
      <c r="B8" s="7">
        <v>46121</v>
      </c>
      <c r="C8" s="7">
        <v>46127</v>
      </c>
      <c r="D8" s="6">
        <v>3271</v>
      </c>
      <c r="E8" s="6">
        <v>336</v>
      </c>
      <c r="F8" s="6">
        <v>4</v>
      </c>
      <c r="G8" s="42">
        <v>4</v>
      </c>
      <c r="H8" s="42">
        <v>81683</v>
      </c>
      <c r="I8" s="42" t="s">
        <v>543</v>
      </c>
      <c r="J8" s="42">
        <v>53719538</v>
      </c>
      <c r="K8" s="42" t="s">
        <v>2859</v>
      </c>
      <c r="L8" s="42" t="s">
        <v>2862</v>
      </c>
      <c r="M8" s="43">
        <v>169900</v>
      </c>
      <c r="N8" s="64">
        <v>0.6</v>
      </c>
      <c r="O8" s="12">
        <f t="shared" si="0"/>
        <v>67960</v>
      </c>
      <c r="P8" s="6" t="s">
        <v>3499</v>
      </c>
    </row>
    <row r="9" spans="1:16" x14ac:dyDescent="0.25">
      <c r="A9" s="6" t="s">
        <v>3506</v>
      </c>
      <c r="B9" s="7">
        <v>46121</v>
      </c>
      <c r="C9" s="7">
        <v>46127</v>
      </c>
      <c r="D9" s="6">
        <v>3271</v>
      </c>
      <c r="E9" s="6">
        <v>336</v>
      </c>
      <c r="F9" s="6">
        <v>4</v>
      </c>
      <c r="G9" s="42">
        <v>4</v>
      </c>
      <c r="H9" s="42">
        <v>81683</v>
      </c>
      <c r="I9" s="42" t="s">
        <v>543</v>
      </c>
      <c r="J9" s="42">
        <v>53719547</v>
      </c>
      <c r="K9" s="42" t="s">
        <v>2859</v>
      </c>
      <c r="L9" s="42" t="s">
        <v>2863</v>
      </c>
      <c r="M9" s="43">
        <v>169900</v>
      </c>
      <c r="N9" s="64">
        <v>0.6</v>
      </c>
      <c r="O9" s="12">
        <f t="shared" si="0"/>
        <v>67960</v>
      </c>
      <c r="P9" s="6" t="s">
        <v>3499</v>
      </c>
    </row>
    <row r="10" spans="1:16" x14ac:dyDescent="0.25">
      <c r="A10" s="6" t="s">
        <v>3506</v>
      </c>
      <c r="B10" s="7">
        <v>46121</v>
      </c>
      <c r="C10" s="7">
        <v>46127</v>
      </c>
      <c r="D10" s="6">
        <v>3271</v>
      </c>
      <c r="E10" s="6">
        <v>336</v>
      </c>
      <c r="F10" s="6">
        <v>4</v>
      </c>
      <c r="G10" s="6">
        <v>4</v>
      </c>
      <c r="H10" s="6">
        <v>4671</v>
      </c>
      <c r="I10" s="6" t="s">
        <v>543</v>
      </c>
      <c r="J10" s="6">
        <v>53719556</v>
      </c>
      <c r="K10" s="6" t="s">
        <v>2864</v>
      </c>
      <c r="L10" s="6" t="s">
        <v>2865</v>
      </c>
      <c r="M10" s="17">
        <v>169900</v>
      </c>
      <c r="N10" s="64">
        <v>0.6</v>
      </c>
      <c r="O10" s="12">
        <f t="shared" si="0"/>
        <v>67960</v>
      </c>
      <c r="P10" s="6" t="s">
        <v>3499</v>
      </c>
    </row>
    <row r="11" spans="1:16" x14ac:dyDescent="0.25">
      <c r="A11" s="6" t="s">
        <v>3506</v>
      </c>
      <c r="B11" s="7">
        <v>46121</v>
      </c>
      <c r="C11" s="7">
        <v>46127</v>
      </c>
      <c r="D11" s="6">
        <v>3271</v>
      </c>
      <c r="E11" s="6">
        <v>336</v>
      </c>
      <c r="F11" s="6">
        <v>4</v>
      </c>
      <c r="G11" s="6">
        <v>4</v>
      </c>
      <c r="H11" s="6">
        <v>4671</v>
      </c>
      <c r="I11" s="6" t="s">
        <v>543</v>
      </c>
      <c r="J11" s="6">
        <v>53719565</v>
      </c>
      <c r="K11" s="6" t="s">
        <v>2864</v>
      </c>
      <c r="L11" s="6" t="s">
        <v>2866</v>
      </c>
      <c r="M11" s="17">
        <v>169900</v>
      </c>
      <c r="N11" s="64">
        <v>0.6</v>
      </c>
      <c r="O11" s="12">
        <f t="shared" si="0"/>
        <v>67960</v>
      </c>
      <c r="P11" s="6" t="s">
        <v>3499</v>
      </c>
    </row>
    <row r="12" spans="1:16" x14ac:dyDescent="0.25">
      <c r="A12" s="6" t="s">
        <v>3506</v>
      </c>
      <c r="B12" s="7">
        <v>46121</v>
      </c>
      <c r="C12" s="7">
        <v>46127</v>
      </c>
      <c r="D12" s="6">
        <v>3271</v>
      </c>
      <c r="E12" s="6">
        <v>336</v>
      </c>
      <c r="F12" s="6">
        <v>4</v>
      </c>
      <c r="G12" s="6">
        <v>4</v>
      </c>
      <c r="H12" s="6">
        <v>4671</v>
      </c>
      <c r="I12" s="6" t="s">
        <v>543</v>
      </c>
      <c r="J12" s="6">
        <v>53719574</v>
      </c>
      <c r="K12" s="6" t="s">
        <v>2864</v>
      </c>
      <c r="L12" s="6" t="s">
        <v>2867</v>
      </c>
      <c r="M12" s="17">
        <v>169900</v>
      </c>
      <c r="N12" s="64">
        <v>0.6</v>
      </c>
      <c r="O12" s="12">
        <f t="shared" si="0"/>
        <v>67960</v>
      </c>
      <c r="P12" s="6" t="s">
        <v>3499</v>
      </c>
    </row>
    <row r="13" spans="1:16" x14ac:dyDescent="0.25">
      <c r="A13" s="6" t="s">
        <v>3506</v>
      </c>
      <c r="B13" s="7">
        <v>46121</v>
      </c>
      <c r="C13" s="7">
        <v>46127</v>
      </c>
      <c r="D13" s="6">
        <v>3271</v>
      </c>
      <c r="E13" s="6">
        <v>336</v>
      </c>
      <c r="F13" s="6">
        <v>4</v>
      </c>
      <c r="G13" s="6">
        <v>4</v>
      </c>
      <c r="H13" s="6">
        <v>4671</v>
      </c>
      <c r="I13" s="6" t="s">
        <v>543</v>
      </c>
      <c r="J13" s="6">
        <v>53719583</v>
      </c>
      <c r="K13" s="6" t="s">
        <v>2864</v>
      </c>
      <c r="L13" s="6" t="s">
        <v>2868</v>
      </c>
      <c r="M13" s="17">
        <v>169900</v>
      </c>
      <c r="N13" s="64">
        <v>0.6</v>
      </c>
      <c r="O13" s="12">
        <f t="shared" si="0"/>
        <v>67960</v>
      </c>
      <c r="P13" s="6" t="s">
        <v>3499</v>
      </c>
    </row>
    <row r="14" spans="1:16" x14ac:dyDescent="0.25">
      <c r="A14" s="6" t="s">
        <v>3506</v>
      </c>
      <c r="B14" s="7">
        <v>46121</v>
      </c>
      <c r="C14" s="7">
        <v>46127</v>
      </c>
      <c r="D14" s="6">
        <v>3271</v>
      </c>
      <c r="E14" s="6">
        <v>336</v>
      </c>
      <c r="F14" s="6">
        <v>4</v>
      </c>
      <c r="G14" s="6">
        <v>4</v>
      </c>
      <c r="H14" s="6">
        <v>4671</v>
      </c>
      <c r="I14" s="6" t="s">
        <v>543</v>
      </c>
      <c r="J14" s="6">
        <v>53719592</v>
      </c>
      <c r="K14" s="6" t="s">
        <v>2869</v>
      </c>
      <c r="L14" s="6" t="s">
        <v>2870</v>
      </c>
      <c r="M14" s="17">
        <v>169900</v>
      </c>
      <c r="N14" s="64">
        <v>0.6</v>
      </c>
      <c r="O14" s="12">
        <f t="shared" si="0"/>
        <v>67960</v>
      </c>
      <c r="P14" s="6" t="s">
        <v>3499</v>
      </c>
    </row>
    <row r="15" spans="1:16" x14ac:dyDescent="0.25">
      <c r="A15" s="6" t="s">
        <v>3506</v>
      </c>
      <c r="B15" s="7">
        <v>46121</v>
      </c>
      <c r="C15" s="7">
        <v>46127</v>
      </c>
      <c r="D15" s="6">
        <v>3271</v>
      </c>
      <c r="E15" s="6">
        <v>336</v>
      </c>
      <c r="F15" s="6">
        <v>4</v>
      </c>
      <c r="G15" s="6">
        <v>4</v>
      </c>
      <c r="H15" s="6">
        <v>4671</v>
      </c>
      <c r="I15" s="6" t="s">
        <v>543</v>
      </c>
      <c r="J15" s="6">
        <v>53719609</v>
      </c>
      <c r="K15" s="6" t="s">
        <v>2869</v>
      </c>
      <c r="L15" s="6" t="s">
        <v>2871</v>
      </c>
      <c r="M15" s="17">
        <v>169900</v>
      </c>
      <c r="N15" s="64">
        <v>0.6</v>
      </c>
      <c r="O15" s="12">
        <f t="shared" si="0"/>
        <v>67960</v>
      </c>
      <c r="P15" s="6" t="s">
        <v>3499</v>
      </c>
    </row>
    <row r="16" spans="1:16" x14ac:dyDescent="0.25">
      <c r="A16" s="6" t="s">
        <v>3506</v>
      </c>
      <c r="B16" s="7">
        <v>46121</v>
      </c>
      <c r="C16" s="7">
        <v>46127</v>
      </c>
      <c r="D16" s="6">
        <v>3271</v>
      </c>
      <c r="E16" s="6">
        <v>336</v>
      </c>
      <c r="F16" s="6">
        <v>4</v>
      </c>
      <c r="G16" s="6">
        <v>4</v>
      </c>
      <c r="H16" s="6">
        <v>4671</v>
      </c>
      <c r="I16" s="6" t="s">
        <v>543</v>
      </c>
      <c r="J16" s="6">
        <v>53719618</v>
      </c>
      <c r="K16" s="6" t="s">
        <v>2869</v>
      </c>
      <c r="L16" s="6" t="s">
        <v>2872</v>
      </c>
      <c r="M16" s="17">
        <v>169900</v>
      </c>
      <c r="N16" s="64">
        <v>0.6</v>
      </c>
      <c r="O16" s="12">
        <f t="shared" si="0"/>
        <v>67960</v>
      </c>
      <c r="P16" s="6" t="s">
        <v>3499</v>
      </c>
    </row>
    <row r="17" spans="1:16" x14ac:dyDescent="0.25">
      <c r="A17" s="6" t="s">
        <v>3506</v>
      </c>
      <c r="B17" s="7">
        <v>46121</v>
      </c>
      <c r="C17" s="7">
        <v>46127</v>
      </c>
      <c r="D17" s="6">
        <v>3271</v>
      </c>
      <c r="E17" s="6">
        <v>336</v>
      </c>
      <c r="F17" s="6">
        <v>4</v>
      </c>
      <c r="G17" s="6">
        <v>4</v>
      </c>
      <c r="H17" s="6">
        <v>4671</v>
      </c>
      <c r="I17" s="6" t="s">
        <v>543</v>
      </c>
      <c r="J17" s="6">
        <v>53719627</v>
      </c>
      <c r="K17" s="6" t="s">
        <v>2869</v>
      </c>
      <c r="L17" s="6" t="s">
        <v>2873</v>
      </c>
      <c r="M17" s="17">
        <v>169900</v>
      </c>
      <c r="N17" s="64">
        <v>0.6</v>
      </c>
      <c r="O17" s="12">
        <f t="shared" si="0"/>
        <v>67960</v>
      </c>
      <c r="P17" s="6" t="s">
        <v>3499</v>
      </c>
    </row>
    <row r="18" spans="1:16" x14ac:dyDescent="0.25">
      <c r="A18" s="6" t="s">
        <v>3506</v>
      </c>
      <c r="B18" s="45">
        <v>46121</v>
      </c>
      <c r="C18" s="45">
        <v>46127</v>
      </c>
      <c r="D18" s="8">
        <v>3271</v>
      </c>
      <c r="E18" s="8">
        <v>336</v>
      </c>
      <c r="F18" s="8">
        <v>4</v>
      </c>
      <c r="G18" s="8">
        <v>4</v>
      </c>
      <c r="H18" s="8">
        <v>81683</v>
      </c>
      <c r="I18" s="8" t="s">
        <v>543</v>
      </c>
      <c r="J18" s="8">
        <v>52455593</v>
      </c>
      <c r="K18" s="8" t="s">
        <v>2874</v>
      </c>
      <c r="L18" s="8" t="s">
        <v>2875</v>
      </c>
      <c r="M18" s="44">
        <v>139900</v>
      </c>
      <c r="N18" s="64">
        <v>0.6</v>
      </c>
      <c r="O18" s="12">
        <f t="shared" si="0"/>
        <v>55960</v>
      </c>
      <c r="P18" s="6" t="s">
        <v>3499</v>
      </c>
    </row>
    <row r="19" spans="1:16" x14ac:dyDescent="0.25">
      <c r="A19" s="6" t="s">
        <v>3506</v>
      </c>
      <c r="B19" s="45">
        <v>46121</v>
      </c>
      <c r="C19" s="45">
        <v>46127</v>
      </c>
      <c r="D19" s="8">
        <v>3271</v>
      </c>
      <c r="E19" s="8">
        <v>336</v>
      </c>
      <c r="F19" s="8">
        <v>4</v>
      </c>
      <c r="G19" s="8">
        <v>4</v>
      </c>
      <c r="H19" s="8">
        <v>81683</v>
      </c>
      <c r="I19" s="8" t="s">
        <v>543</v>
      </c>
      <c r="J19" s="8">
        <v>52455600</v>
      </c>
      <c r="K19" s="8" t="s">
        <v>2874</v>
      </c>
      <c r="L19" s="8" t="s">
        <v>2876</v>
      </c>
      <c r="M19" s="44">
        <v>139900</v>
      </c>
      <c r="N19" s="64">
        <v>0.6</v>
      </c>
      <c r="O19" s="12">
        <f t="shared" si="0"/>
        <v>55960</v>
      </c>
      <c r="P19" s="6" t="s">
        <v>3499</v>
      </c>
    </row>
    <row r="20" spans="1:16" x14ac:dyDescent="0.25">
      <c r="A20" s="6" t="s">
        <v>3506</v>
      </c>
      <c r="B20" s="45">
        <v>46121</v>
      </c>
      <c r="C20" s="45">
        <v>46127</v>
      </c>
      <c r="D20" s="8">
        <v>3271</v>
      </c>
      <c r="E20" s="8">
        <v>336</v>
      </c>
      <c r="F20" s="8">
        <v>4</v>
      </c>
      <c r="G20" s="8">
        <v>4</v>
      </c>
      <c r="H20" s="8">
        <v>81683</v>
      </c>
      <c r="I20" s="8" t="s">
        <v>543</v>
      </c>
      <c r="J20" s="8">
        <v>52455619</v>
      </c>
      <c r="K20" s="8" t="s">
        <v>2874</v>
      </c>
      <c r="L20" s="8" t="s">
        <v>2877</v>
      </c>
      <c r="M20" s="44">
        <v>139900</v>
      </c>
      <c r="N20" s="64">
        <v>0.6</v>
      </c>
      <c r="O20" s="12">
        <f t="shared" si="0"/>
        <v>55960</v>
      </c>
      <c r="P20" s="6" t="s">
        <v>3499</v>
      </c>
    </row>
    <row r="21" spans="1:16" x14ac:dyDescent="0.25">
      <c r="A21" s="6" t="s">
        <v>3506</v>
      </c>
      <c r="B21" s="45">
        <v>46121</v>
      </c>
      <c r="C21" s="45">
        <v>46127</v>
      </c>
      <c r="D21" s="8">
        <v>3271</v>
      </c>
      <c r="E21" s="8">
        <v>336</v>
      </c>
      <c r="F21" s="8">
        <v>4</v>
      </c>
      <c r="G21" s="8">
        <v>4</v>
      </c>
      <c r="H21" s="8">
        <v>81683</v>
      </c>
      <c r="I21" s="8" t="s">
        <v>543</v>
      </c>
      <c r="J21" s="8">
        <v>52455628</v>
      </c>
      <c r="K21" s="8" t="s">
        <v>2874</v>
      </c>
      <c r="L21" s="8" t="s">
        <v>2878</v>
      </c>
      <c r="M21" s="44">
        <v>139900</v>
      </c>
      <c r="N21" s="64">
        <v>0.6</v>
      </c>
      <c r="O21" s="12">
        <f t="shared" si="0"/>
        <v>55960</v>
      </c>
      <c r="P21" s="6" t="s">
        <v>3499</v>
      </c>
    </row>
    <row r="22" spans="1:16" x14ac:dyDescent="0.25">
      <c r="A22" s="6" t="s">
        <v>3506</v>
      </c>
      <c r="B22" s="45">
        <v>46121</v>
      </c>
      <c r="C22" s="45">
        <v>46127</v>
      </c>
      <c r="D22" s="8">
        <v>3271</v>
      </c>
      <c r="E22" s="8">
        <v>336</v>
      </c>
      <c r="F22" s="8">
        <v>4</v>
      </c>
      <c r="G22" s="8">
        <v>4</v>
      </c>
      <c r="H22" s="8">
        <v>81683</v>
      </c>
      <c r="I22" s="8" t="s">
        <v>543</v>
      </c>
      <c r="J22" s="8">
        <v>52455637</v>
      </c>
      <c r="K22" s="8" t="s">
        <v>2879</v>
      </c>
      <c r="L22" s="8" t="s">
        <v>2880</v>
      </c>
      <c r="M22" s="44">
        <v>139900</v>
      </c>
      <c r="N22" s="64">
        <v>0.6</v>
      </c>
      <c r="O22" s="12">
        <f t="shared" si="0"/>
        <v>55960</v>
      </c>
      <c r="P22" s="6" t="s">
        <v>3499</v>
      </c>
    </row>
    <row r="23" spans="1:16" x14ac:dyDescent="0.25">
      <c r="A23" s="6" t="s">
        <v>3506</v>
      </c>
      <c r="B23" s="45">
        <v>46121</v>
      </c>
      <c r="C23" s="45">
        <v>46127</v>
      </c>
      <c r="D23" s="8">
        <v>3271</v>
      </c>
      <c r="E23" s="8">
        <v>336</v>
      </c>
      <c r="F23" s="8">
        <v>4</v>
      </c>
      <c r="G23" s="8">
        <v>4</v>
      </c>
      <c r="H23" s="8">
        <v>81683</v>
      </c>
      <c r="I23" s="8" t="s">
        <v>543</v>
      </c>
      <c r="J23" s="8">
        <v>52455646</v>
      </c>
      <c r="K23" s="8" t="s">
        <v>2879</v>
      </c>
      <c r="L23" s="8" t="s">
        <v>2881</v>
      </c>
      <c r="M23" s="44">
        <v>139900</v>
      </c>
      <c r="N23" s="64">
        <v>0.6</v>
      </c>
      <c r="O23" s="12">
        <f t="shared" si="0"/>
        <v>55960</v>
      </c>
      <c r="P23" s="6" t="s">
        <v>3499</v>
      </c>
    </row>
    <row r="24" spans="1:16" x14ac:dyDescent="0.25">
      <c r="A24" s="6" t="s">
        <v>3506</v>
      </c>
      <c r="B24" s="45">
        <v>46121</v>
      </c>
      <c r="C24" s="45">
        <v>46127</v>
      </c>
      <c r="D24" s="8">
        <v>3271</v>
      </c>
      <c r="E24" s="8">
        <v>336</v>
      </c>
      <c r="F24" s="8">
        <v>4</v>
      </c>
      <c r="G24" s="8">
        <v>4</v>
      </c>
      <c r="H24" s="8">
        <v>81683</v>
      </c>
      <c r="I24" s="8" t="s">
        <v>543</v>
      </c>
      <c r="J24" s="8">
        <v>52455655</v>
      </c>
      <c r="K24" s="8" t="s">
        <v>2879</v>
      </c>
      <c r="L24" s="8" t="s">
        <v>2882</v>
      </c>
      <c r="M24" s="44">
        <v>139900</v>
      </c>
      <c r="N24" s="64">
        <v>0.6</v>
      </c>
      <c r="O24" s="12">
        <f t="shared" si="0"/>
        <v>55960</v>
      </c>
      <c r="P24" s="6" t="s">
        <v>3499</v>
      </c>
    </row>
    <row r="25" spans="1:16" x14ac:dyDescent="0.25">
      <c r="A25" s="6" t="s">
        <v>3506</v>
      </c>
      <c r="B25" s="45">
        <v>46121</v>
      </c>
      <c r="C25" s="45">
        <v>46127</v>
      </c>
      <c r="D25" s="8">
        <v>3271</v>
      </c>
      <c r="E25" s="8">
        <v>336</v>
      </c>
      <c r="F25" s="8">
        <v>4</v>
      </c>
      <c r="G25" s="8">
        <v>4</v>
      </c>
      <c r="H25" s="8">
        <v>81683</v>
      </c>
      <c r="I25" s="8" t="s">
        <v>543</v>
      </c>
      <c r="J25" s="8">
        <v>52455664</v>
      </c>
      <c r="K25" s="8" t="s">
        <v>2879</v>
      </c>
      <c r="L25" s="8" t="s">
        <v>2883</v>
      </c>
      <c r="M25" s="44">
        <v>139900</v>
      </c>
      <c r="N25" s="64">
        <v>0.6</v>
      </c>
      <c r="O25" s="12">
        <f t="shared" si="0"/>
        <v>55960</v>
      </c>
      <c r="P25" s="6" t="s">
        <v>3499</v>
      </c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AE31-BB57-4D7A-9E46-7181FBDA91DC}">
  <sheetPr>
    <tabColor rgb="FF00B050"/>
  </sheetPr>
  <dimension ref="A1:P25"/>
  <sheetViews>
    <sheetView workbookViewId="0">
      <selection activeCell="A25" sqref="A25"/>
    </sheetView>
  </sheetViews>
  <sheetFormatPr defaultRowHeight="15" x14ac:dyDescent="0.25"/>
  <cols>
    <col min="1" max="1" width="24.7109375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1" bestFit="1" customWidth="1"/>
    <col min="12" max="12" width="93.710937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2884</v>
      </c>
      <c r="B2" s="7">
        <v>46121</v>
      </c>
      <c r="C2" s="7">
        <v>46127</v>
      </c>
      <c r="D2" s="6">
        <v>3271</v>
      </c>
      <c r="E2" s="6">
        <v>336</v>
      </c>
      <c r="F2" s="6">
        <v>4</v>
      </c>
      <c r="G2" s="6">
        <v>7</v>
      </c>
      <c r="H2" s="6">
        <v>4953</v>
      </c>
      <c r="I2" s="6" t="s">
        <v>543</v>
      </c>
      <c r="J2" s="6">
        <v>54284363</v>
      </c>
      <c r="K2" s="6" t="s">
        <v>2885</v>
      </c>
      <c r="L2" s="6" t="s">
        <v>2886</v>
      </c>
      <c r="M2" s="17">
        <v>79900</v>
      </c>
      <c r="N2" s="11" t="s">
        <v>19</v>
      </c>
      <c r="O2" s="12" t="s">
        <v>1579</v>
      </c>
      <c r="P2" s="6" t="s">
        <v>19</v>
      </c>
    </row>
    <row r="3" spans="1:16" x14ac:dyDescent="0.25">
      <c r="A3" s="6" t="s">
        <v>2884</v>
      </c>
      <c r="B3" s="7">
        <v>46121</v>
      </c>
      <c r="C3" s="7">
        <v>46127</v>
      </c>
      <c r="D3" s="6">
        <v>3271</v>
      </c>
      <c r="E3" s="6">
        <v>336</v>
      </c>
      <c r="F3" s="6">
        <v>4</v>
      </c>
      <c r="G3" s="6">
        <v>7</v>
      </c>
      <c r="H3" s="6">
        <v>4953</v>
      </c>
      <c r="I3" s="6" t="s">
        <v>543</v>
      </c>
      <c r="J3" s="6">
        <v>54284372</v>
      </c>
      <c r="K3" s="6" t="s">
        <v>2885</v>
      </c>
      <c r="L3" s="6" t="s">
        <v>2887</v>
      </c>
      <c r="M3" s="17">
        <v>79900</v>
      </c>
      <c r="N3" s="11" t="s">
        <v>19</v>
      </c>
      <c r="O3" s="12" t="s">
        <v>1579</v>
      </c>
      <c r="P3" s="6" t="s">
        <v>19</v>
      </c>
    </row>
    <row r="4" spans="1:16" x14ac:dyDescent="0.25">
      <c r="A4" s="6" t="s">
        <v>2884</v>
      </c>
      <c r="B4" s="7">
        <v>46121</v>
      </c>
      <c r="C4" s="7">
        <v>46127</v>
      </c>
      <c r="D4" s="6">
        <v>3271</v>
      </c>
      <c r="E4" s="6">
        <v>336</v>
      </c>
      <c r="F4" s="6">
        <v>4</v>
      </c>
      <c r="G4" s="6">
        <v>7</v>
      </c>
      <c r="H4" s="6">
        <v>4953</v>
      </c>
      <c r="I4" s="6" t="s">
        <v>543</v>
      </c>
      <c r="J4" s="6">
        <v>54284381</v>
      </c>
      <c r="K4" s="6" t="s">
        <v>2885</v>
      </c>
      <c r="L4" s="6" t="s">
        <v>2888</v>
      </c>
      <c r="M4" s="17">
        <v>79900</v>
      </c>
      <c r="N4" s="11" t="s">
        <v>19</v>
      </c>
      <c r="O4" s="12" t="s">
        <v>1579</v>
      </c>
      <c r="P4" s="6" t="s">
        <v>19</v>
      </c>
    </row>
    <row r="5" spans="1:16" x14ac:dyDescent="0.25">
      <c r="A5" s="6" t="s">
        <v>2884</v>
      </c>
      <c r="B5" s="7">
        <v>46121</v>
      </c>
      <c r="C5" s="7">
        <v>46127</v>
      </c>
      <c r="D5" s="6">
        <v>3271</v>
      </c>
      <c r="E5" s="6">
        <v>336</v>
      </c>
      <c r="F5" s="6">
        <v>4</v>
      </c>
      <c r="G5" s="6">
        <v>7</v>
      </c>
      <c r="H5" s="6">
        <v>4953</v>
      </c>
      <c r="I5" s="6" t="s">
        <v>543</v>
      </c>
      <c r="J5" s="6">
        <v>54284390</v>
      </c>
      <c r="K5" s="6" t="s">
        <v>2885</v>
      </c>
      <c r="L5" s="6" t="s">
        <v>2889</v>
      </c>
      <c r="M5" s="17">
        <v>79900</v>
      </c>
      <c r="N5" s="11" t="s">
        <v>19</v>
      </c>
      <c r="O5" s="12" t="s">
        <v>1579</v>
      </c>
      <c r="P5" s="6" t="s">
        <v>19</v>
      </c>
    </row>
    <row r="6" spans="1:16" x14ac:dyDescent="0.25">
      <c r="A6" s="6" t="s">
        <v>2884</v>
      </c>
      <c r="B6" s="7">
        <v>46121</v>
      </c>
      <c r="C6" s="7">
        <v>46127</v>
      </c>
      <c r="D6" s="6">
        <v>3271</v>
      </c>
      <c r="E6" s="6">
        <v>336</v>
      </c>
      <c r="F6" s="6">
        <v>4</v>
      </c>
      <c r="G6" s="6">
        <v>7</v>
      </c>
      <c r="H6" s="6">
        <v>4953</v>
      </c>
      <c r="I6" s="6" t="s">
        <v>543</v>
      </c>
      <c r="J6" s="6">
        <v>54284407</v>
      </c>
      <c r="K6" s="6" t="s">
        <v>2890</v>
      </c>
      <c r="L6" s="6" t="s">
        <v>2891</v>
      </c>
      <c r="M6" s="17">
        <v>79900</v>
      </c>
      <c r="N6" s="11" t="s">
        <v>19</v>
      </c>
      <c r="O6" s="12" t="s">
        <v>1579</v>
      </c>
      <c r="P6" s="6" t="s">
        <v>19</v>
      </c>
    </row>
    <row r="7" spans="1:16" x14ac:dyDescent="0.25">
      <c r="A7" s="6" t="s">
        <v>2884</v>
      </c>
      <c r="B7" s="7">
        <v>46121</v>
      </c>
      <c r="C7" s="7">
        <v>46127</v>
      </c>
      <c r="D7" s="6">
        <v>3271</v>
      </c>
      <c r="E7" s="6">
        <v>336</v>
      </c>
      <c r="F7" s="6">
        <v>4</v>
      </c>
      <c r="G7" s="6">
        <v>7</v>
      </c>
      <c r="H7" s="6">
        <v>4953</v>
      </c>
      <c r="I7" s="6" t="s">
        <v>543</v>
      </c>
      <c r="J7" s="6">
        <v>54284416</v>
      </c>
      <c r="K7" s="6" t="s">
        <v>2890</v>
      </c>
      <c r="L7" s="6" t="s">
        <v>2892</v>
      </c>
      <c r="M7" s="17">
        <v>79900</v>
      </c>
      <c r="N7" s="11" t="s">
        <v>19</v>
      </c>
      <c r="O7" s="12" t="s">
        <v>1579</v>
      </c>
      <c r="P7" s="6" t="s">
        <v>19</v>
      </c>
    </row>
    <row r="8" spans="1:16" x14ac:dyDescent="0.25">
      <c r="A8" s="6" t="s">
        <v>2884</v>
      </c>
      <c r="B8" s="7">
        <v>46121</v>
      </c>
      <c r="C8" s="7">
        <v>46127</v>
      </c>
      <c r="D8" s="6">
        <v>3271</v>
      </c>
      <c r="E8" s="6">
        <v>336</v>
      </c>
      <c r="F8" s="6">
        <v>4</v>
      </c>
      <c r="G8" s="6">
        <v>7</v>
      </c>
      <c r="H8" s="6">
        <v>4953</v>
      </c>
      <c r="I8" s="6" t="s">
        <v>543</v>
      </c>
      <c r="J8" s="6">
        <v>54284425</v>
      </c>
      <c r="K8" s="6" t="s">
        <v>2890</v>
      </c>
      <c r="L8" s="6" t="s">
        <v>2893</v>
      </c>
      <c r="M8" s="17">
        <v>79900</v>
      </c>
      <c r="N8" s="11" t="s">
        <v>19</v>
      </c>
      <c r="O8" s="12" t="s">
        <v>1579</v>
      </c>
      <c r="P8" s="6" t="s">
        <v>19</v>
      </c>
    </row>
    <row r="9" spans="1:16" x14ac:dyDescent="0.25">
      <c r="A9" s="6" t="s">
        <v>2884</v>
      </c>
      <c r="B9" s="7">
        <v>46121</v>
      </c>
      <c r="C9" s="7">
        <v>46127</v>
      </c>
      <c r="D9" s="6">
        <v>3271</v>
      </c>
      <c r="E9" s="6">
        <v>336</v>
      </c>
      <c r="F9" s="6">
        <v>4</v>
      </c>
      <c r="G9" s="6">
        <v>7</v>
      </c>
      <c r="H9" s="6">
        <v>4953</v>
      </c>
      <c r="I9" s="6" t="s">
        <v>543</v>
      </c>
      <c r="J9" s="6">
        <v>54284434</v>
      </c>
      <c r="K9" s="6" t="s">
        <v>2890</v>
      </c>
      <c r="L9" s="6" t="s">
        <v>2894</v>
      </c>
      <c r="M9" s="17">
        <v>79900</v>
      </c>
      <c r="N9" s="11" t="s">
        <v>19</v>
      </c>
      <c r="O9" s="12" t="s">
        <v>1579</v>
      </c>
      <c r="P9" s="6" t="s">
        <v>19</v>
      </c>
    </row>
    <row r="10" spans="1:16" x14ac:dyDescent="0.25">
      <c r="A10" s="6" t="s">
        <v>2884</v>
      </c>
      <c r="B10" s="7">
        <v>46121</v>
      </c>
      <c r="C10" s="7">
        <v>46127</v>
      </c>
      <c r="D10" s="6">
        <v>3271</v>
      </c>
      <c r="E10" s="6">
        <v>336</v>
      </c>
      <c r="F10" s="6">
        <v>4</v>
      </c>
      <c r="G10" s="6">
        <v>7</v>
      </c>
      <c r="H10" s="6">
        <v>4953</v>
      </c>
      <c r="I10" s="6" t="s">
        <v>543</v>
      </c>
      <c r="J10" s="6">
        <v>54284443</v>
      </c>
      <c r="K10" s="6" t="s">
        <v>2895</v>
      </c>
      <c r="L10" s="6" t="s">
        <v>2896</v>
      </c>
      <c r="M10" s="17">
        <v>79900</v>
      </c>
      <c r="N10" s="11" t="s">
        <v>19</v>
      </c>
      <c r="O10" s="12" t="s">
        <v>1579</v>
      </c>
      <c r="P10" s="6" t="s">
        <v>19</v>
      </c>
    </row>
    <row r="11" spans="1:16" x14ac:dyDescent="0.25">
      <c r="A11" s="6" t="s">
        <v>2884</v>
      </c>
      <c r="B11" s="7">
        <v>46121</v>
      </c>
      <c r="C11" s="7">
        <v>46127</v>
      </c>
      <c r="D11" s="6">
        <v>3271</v>
      </c>
      <c r="E11" s="6">
        <v>336</v>
      </c>
      <c r="F11" s="6">
        <v>4</v>
      </c>
      <c r="G11" s="6">
        <v>7</v>
      </c>
      <c r="H11" s="6">
        <v>4953</v>
      </c>
      <c r="I11" s="6" t="s">
        <v>543</v>
      </c>
      <c r="J11" s="6">
        <v>54284452</v>
      </c>
      <c r="K11" s="6" t="s">
        <v>2895</v>
      </c>
      <c r="L11" s="6" t="s">
        <v>2897</v>
      </c>
      <c r="M11" s="17">
        <v>79900</v>
      </c>
      <c r="N11" s="11" t="s">
        <v>19</v>
      </c>
      <c r="O11" s="12" t="s">
        <v>1579</v>
      </c>
      <c r="P11" s="6" t="s">
        <v>19</v>
      </c>
    </row>
    <row r="12" spans="1:16" x14ac:dyDescent="0.25">
      <c r="A12" s="6" t="s">
        <v>2884</v>
      </c>
      <c r="B12" s="7">
        <v>46121</v>
      </c>
      <c r="C12" s="7">
        <v>46127</v>
      </c>
      <c r="D12" s="6">
        <v>3271</v>
      </c>
      <c r="E12" s="6">
        <v>336</v>
      </c>
      <c r="F12" s="6">
        <v>4</v>
      </c>
      <c r="G12" s="6">
        <v>7</v>
      </c>
      <c r="H12" s="6">
        <v>4953</v>
      </c>
      <c r="I12" s="6" t="s">
        <v>543</v>
      </c>
      <c r="J12" s="6">
        <v>54284461</v>
      </c>
      <c r="K12" s="6" t="s">
        <v>2895</v>
      </c>
      <c r="L12" s="6" t="s">
        <v>2898</v>
      </c>
      <c r="M12" s="17">
        <v>79900</v>
      </c>
      <c r="N12" s="11" t="s">
        <v>19</v>
      </c>
      <c r="O12" s="12" t="s">
        <v>1579</v>
      </c>
      <c r="P12" s="6" t="s">
        <v>19</v>
      </c>
    </row>
    <row r="13" spans="1:16" x14ac:dyDescent="0.25">
      <c r="A13" s="6" t="s">
        <v>2884</v>
      </c>
      <c r="B13" s="7">
        <v>46121</v>
      </c>
      <c r="C13" s="7">
        <v>46127</v>
      </c>
      <c r="D13" s="6">
        <v>3271</v>
      </c>
      <c r="E13" s="6">
        <v>336</v>
      </c>
      <c r="F13" s="6">
        <v>4</v>
      </c>
      <c r="G13" s="6">
        <v>7</v>
      </c>
      <c r="H13" s="6">
        <v>4953</v>
      </c>
      <c r="I13" s="6" t="s">
        <v>543</v>
      </c>
      <c r="J13" s="6">
        <v>54284470</v>
      </c>
      <c r="K13" s="6" t="s">
        <v>2895</v>
      </c>
      <c r="L13" s="6" t="s">
        <v>2899</v>
      </c>
      <c r="M13" s="17">
        <v>79900</v>
      </c>
      <c r="N13" s="11" t="s">
        <v>19</v>
      </c>
      <c r="O13" s="12" t="s">
        <v>1579</v>
      </c>
      <c r="P13" s="6" t="s">
        <v>19</v>
      </c>
    </row>
    <row r="14" spans="1:16" x14ac:dyDescent="0.25">
      <c r="A14" s="6" t="s">
        <v>2884</v>
      </c>
      <c r="B14" s="7">
        <v>46121</v>
      </c>
      <c r="C14" s="7">
        <v>46127</v>
      </c>
      <c r="D14" s="6">
        <v>3271</v>
      </c>
      <c r="E14" s="6">
        <v>336</v>
      </c>
      <c r="F14" s="6">
        <v>4</v>
      </c>
      <c r="G14" s="6">
        <v>7</v>
      </c>
      <c r="H14" s="6">
        <v>4953</v>
      </c>
      <c r="I14" s="6" t="s">
        <v>543</v>
      </c>
      <c r="J14" s="6">
        <v>54284489</v>
      </c>
      <c r="K14" s="6" t="s">
        <v>2900</v>
      </c>
      <c r="L14" s="6" t="s">
        <v>2901</v>
      </c>
      <c r="M14" s="17">
        <v>79900</v>
      </c>
      <c r="N14" s="11" t="s">
        <v>19</v>
      </c>
      <c r="O14" s="12" t="s">
        <v>1579</v>
      </c>
      <c r="P14" s="6" t="s">
        <v>19</v>
      </c>
    </row>
    <row r="15" spans="1:16" x14ac:dyDescent="0.25">
      <c r="A15" s="6" t="s">
        <v>2884</v>
      </c>
      <c r="B15" s="7">
        <v>46121</v>
      </c>
      <c r="C15" s="7">
        <v>46127</v>
      </c>
      <c r="D15" s="6">
        <v>3271</v>
      </c>
      <c r="E15" s="6">
        <v>336</v>
      </c>
      <c r="F15" s="6">
        <v>4</v>
      </c>
      <c r="G15" s="6">
        <v>7</v>
      </c>
      <c r="H15" s="6">
        <v>4953</v>
      </c>
      <c r="I15" s="6" t="s">
        <v>543</v>
      </c>
      <c r="J15" s="6">
        <v>54284498</v>
      </c>
      <c r="K15" s="6" t="s">
        <v>2900</v>
      </c>
      <c r="L15" s="6" t="s">
        <v>2902</v>
      </c>
      <c r="M15" s="17">
        <v>79900</v>
      </c>
      <c r="N15" s="11" t="s">
        <v>19</v>
      </c>
      <c r="O15" s="12" t="s">
        <v>1579</v>
      </c>
      <c r="P15" s="6" t="s">
        <v>19</v>
      </c>
    </row>
    <row r="16" spans="1:16" x14ac:dyDescent="0.25">
      <c r="A16" s="6" t="s">
        <v>2884</v>
      </c>
      <c r="B16" s="7">
        <v>46121</v>
      </c>
      <c r="C16" s="7">
        <v>46127</v>
      </c>
      <c r="D16" s="6">
        <v>3271</v>
      </c>
      <c r="E16" s="6">
        <v>336</v>
      </c>
      <c r="F16" s="6">
        <v>4</v>
      </c>
      <c r="G16" s="6">
        <v>7</v>
      </c>
      <c r="H16" s="6">
        <v>4953</v>
      </c>
      <c r="I16" s="6" t="s">
        <v>543</v>
      </c>
      <c r="J16" s="6">
        <v>54284505</v>
      </c>
      <c r="K16" s="6" t="s">
        <v>2900</v>
      </c>
      <c r="L16" s="6" t="s">
        <v>2903</v>
      </c>
      <c r="M16" s="17">
        <v>79900</v>
      </c>
      <c r="N16" s="11" t="s">
        <v>19</v>
      </c>
      <c r="O16" s="12" t="s">
        <v>1579</v>
      </c>
      <c r="P16" s="6" t="s">
        <v>19</v>
      </c>
    </row>
    <row r="17" spans="1:16" x14ac:dyDescent="0.25">
      <c r="A17" s="6" t="s">
        <v>2884</v>
      </c>
      <c r="B17" s="7">
        <v>46121</v>
      </c>
      <c r="C17" s="7">
        <v>46127</v>
      </c>
      <c r="D17" s="6">
        <v>3271</v>
      </c>
      <c r="E17" s="6">
        <v>336</v>
      </c>
      <c r="F17" s="6">
        <v>4</v>
      </c>
      <c r="G17" s="6">
        <v>7</v>
      </c>
      <c r="H17" s="6">
        <v>4953</v>
      </c>
      <c r="I17" s="6" t="s">
        <v>543</v>
      </c>
      <c r="J17" s="6">
        <v>54284514</v>
      </c>
      <c r="K17" s="6" t="s">
        <v>2900</v>
      </c>
      <c r="L17" s="6" t="s">
        <v>2904</v>
      </c>
      <c r="M17" s="17">
        <v>79900</v>
      </c>
      <c r="N17" s="11" t="s">
        <v>19</v>
      </c>
      <c r="O17" s="12" t="s">
        <v>1579</v>
      </c>
      <c r="P17" s="6" t="s">
        <v>19</v>
      </c>
    </row>
    <row r="18" spans="1:16" x14ac:dyDescent="0.25">
      <c r="A18" s="6" t="s">
        <v>2884</v>
      </c>
      <c r="B18" s="45">
        <v>46121</v>
      </c>
      <c r="C18" s="45">
        <v>46127</v>
      </c>
      <c r="D18" s="8">
        <v>3271</v>
      </c>
      <c r="E18" s="8">
        <v>336</v>
      </c>
      <c r="F18" s="8">
        <v>4</v>
      </c>
      <c r="G18" s="8">
        <v>7</v>
      </c>
      <c r="H18" s="8">
        <v>81305</v>
      </c>
      <c r="I18" s="8" t="s">
        <v>543</v>
      </c>
      <c r="J18" s="8">
        <v>52455397</v>
      </c>
      <c r="K18" s="8" t="s">
        <v>2905</v>
      </c>
      <c r="L18" s="8" t="s">
        <v>2906</v>
      </c>
      <c r="M18" s="44">
        <v>79900</v>
      </c>
      <c r="N18" s="11" t="s">
        <v>19</v>
      </c>
      <c r="O18" s="12" t="s">
        <v>1579</v>
      </c>
      <c r="P18" s="6" t="s">
        <v>19</v>
      </c>
    </row>
    <row r="19" spans="1:16" x14ac:dyDescent="0.25">
      <c r="A19" s="6" t="s">
        <v>2884</v>
      </c>
      <c r="B19" s="45">
        <v>46121</v>
      </c>
      <c r="C19" s="45">
        <v>46127</v>
      </c>
      <c r="D19" s="8">
        <v>3271</v>
      </c>
      <c r="E19" s="8">
        <v>336</v>
      </c>
      <c r="F19" s="8">
        <v>4</v>
      </c>
      <c r="G19" s="8">
        <v>7</v>
      </c>
      <c r="H19" s="8">
        <v>81305</v>
      </c>
      <c r="I19" s="8" t="s">
        <v>543</v>
      </c>
      <c r="J19" s="8">
        <v>52455404</v>
      </c>
      <c r="K19" s="8" t="s">
        <v>2905</v>
      </c>
      <c r="L19" s="8" t="s">
        <v>2907</v>
      </c>
      <c r="M19" s="44">
        <v>79900</v>
      </c>
      <c r="N19" s="11" t="s">
        <v>19</v>
      </c>
      <c r="O19" s="12" t="s">
        <v>1579</v>
      </c>
      <c r="P19" s="6" t="s">
        <v>19</v>
      </c>
    </row>
    <row r="20" spans="1:16" x14ac:dyDescent="0.25">
      <c r="A20" s="6" t="s">
        <v>2884</v>
      </c>
      <c r="B20" s="45">
        <v>46121</v>
      </c>
      <c r="C20" s="45">
        <v>46127</v>
      </c>
      <c r="D20" s="8">
        <v>3271</v>
      </c>
      <c r="E20" s="8">
        <v>336</v>
      </c>
      <c r="F20" s="8">
        <v>4</v>
      </c>
      <c r="G20" s="8">
        <v>7</v>
      </c>
      <c r="H20" s="8">
        <v>81305</v>
      </c>
      <c r="I20" s="8" t="s">
        <v>543</v>
      </c>
      <c r="J20" s="8">
        <v>52455413</v>
      </c>
      <c r="K20" s="8" t="s">
        <v>2905</v>
      </c>
      <c r="L20" s="8" t="s">
        <v>2908</v>
      </c>
      <c r="M20" s="44">
        <v>79900</v>
      </c>
      <c r="N20" s="11" t="s">
        <v>19</v>
      </c>
      <c r="O20" s="12" t="s">
        <v>1579</v>
      </c>
      <c r="P20" s="6" t="s">
        <v>19</v>
      </c>
    </row>
    <row r="21" spans="1:16" x14ac:dyDescent="0.25">
      <c r="A21" s="6" t="s">
        <v>2884</v>
      </c>
      <c r="B21" s="45">
        <v>46121</v>
      </c>
      <c r="C21" s="45">
        <v>46127</v>
      </c>
      <c r="D21" s="8">
        <v>3271</v>
      </c>
      <c r="E21" s="8">
        <v>336</v>
      </c>
      <c r="F21" s="8">
        <v>4</v>
      </c>
      <c r="G21" s="8">
        <v>7</v>
      </c>
      <c r="H21" s="8">
        <v>81305</v>
      </c>
      <c r="I21" s="8" t="s">
        <v>543</v>
      </c>
      <c r="J21" s="8">
        <v>52455422</v>
      </c>
      <c r="K21" s="8" t="s">
        <v>2905</v>
      </c>
      <c r="L21" s="8" t="s">
        <v>2909</v>
      </c>
      <c r="M21" s="44">
        <v>79900</v>
      </c>
      <c r="N21" s="11" t="s">
        <v>19</v>
      </c>
      <c r="O21" s="12" t="s">
        <v>1579</v>
      </c>
      <c r="P21" s="6" t="s">
        <v>19</v>
      </c>
    </row>
    <row r="22" spans="1:16" x14ac:dyDescent="0.25">
      <c r="A22" s="6" t="s">
        <v>2884</v>
      </c>
      <c r="B22" s="45">
        <v>46121</v>
      </c>
      <c r="C22" s="45">
        <v>46127</v>
      </c>
      <c r="D22" s="8">
        <v>3271</v>
      </c>
      <c r="E22" s="8">
        <v>336</v>
      </c>
      <c r="F22" s="8">
        <v>4</v>
      </c>
      <c r="G22" s="8">
        <v>7</v>
      </c>
      <c r="H22" s="8">
        <v>81305</v>
      </c>
      <c r="I22" s="8" t="s">
        <v>543</v>
      </c>
      <c r="J22" s="8">
        <v>52455431</v>
      </c>
      <c r="K22" s="8" t="s">
        <v>2910</v>
      </c>
      <c r="L22" s="8" t="s">
        <v>2911</v>
      </c>
      <c r="M22" s="44">
        <v>79900</v>
      </c>
      <c r="N22" s="11" t="s">
        <v>19</v>
      </c>
      <c r="O22" s="12" t="s">
        <v>1579</v>
      </c>
      <c r="P22" s="6" t="s">
        <v>19</v>
      </c>
    </row>
    <row r="23" spans="1:16" x14ac:dyDescent="0.25">
      <c r="A23" s="6" t="s">
        <v>2884</v>
      </c>
      <c r="B23" s="45">
        <v>46121</v>
      </c>
      <c r="C23" s="45">
        <v>46127</v>
      </c>
      <c r="D23" s="8">
        <v>3271</v>
      </c>
      <c r="E23" s="8">
        <v>336</v>
      </c>
      <c r="F23" s="8">
        <v>4</v>
      </c>
      <c r="G23" s="8">
        <v>7</v>
      </c>
      <c r="H23" s="8">
        <v>81305</v>
      </c>
      <c r="I23" s="8" t="s">
        <v>543</v>
      </c>
      <c r="J23" s="8">
        <v>52455440</v>
      </c>
      <c r="K23" s="8" t="s">
        <v>2910</v>
      </c>
      <c r="L23" s="8" t="s">
        <v>2912</v>
      </c>
      <c r="M23" s="44">
        <v>79900</v>
      </c>
      <c r="N23" s="11" t="s">
        <v>19</v>
      </c>
      <c r="O23" s="12" t="s">
        <v>1579</v>
      </c>
      <c r="P23" s="6" t="s">
        <v>19</v>
      </c>
    </row>
    <row r="24" spans="1:16" x14ac:dyDescent="0.25">
      <c r="A24" s="6" t="s">
        <v>2884</v>
      </c>
      <c r="B24" s="45">
        <v>46121</v>
      </c>
      <c r="C24" s="45">
        <v>46127</v>
      </c>
      <c r="D24" s="8">
        <v>3271</v>
      </c>
      <c r="E24" s="8">
        <v>336</v>
      </c>
      <c r="F24" s="8">
        <v>4</v>
      </c>
      <c r="G24" s="8">
        <v>7</v>
      </c>
      <c r="H24" s="8">
        <v>81305</v>
      </c>
      <c r="I24" s="8" t="s">
        <v>543</v>
      </c>
      <c r="J24" s="8">
        <v>52455459</v>
      </c>
      <c r="K24" s="8" t="s">
        <v>2910</v>
      </c>
      <c r="L24" s="8" t="s">
        <v>2913</v>
      </c>
      <c r="M24" s="44">
        <v>79900</v>
      </c>
      <c r="N24" s="11" t="s">
        <v>19</v>
      </c>
      <c r="O24" s="12" t="s">
        <v>1579</v>
      </c>
      <c r="P24" s="6" t="s">
        <v>19</v>
      </c>
    </row>
    <row r="25" spans="1:16" x14ac:dyDescent="0.25">
      <c r="A25" s="6" t="s">
        <v>2884</v>
      </c>
      <c r="B25" s="45">
        <v>46121</v>
      </c>
      <c r="C25" s="45">
        <v>46127</v>
      </c>
      <c r="D25" s="8">
        <v>3271</v>
      </c>
      <c r="E25" s="8">
        <v>336</v>
      </c>
      <c r="F25" s="8">
        <v>4</v>
      </c>
      <c r="G25" s="8">
        <v>7</v>
      </c>
      <c r="H25" s="8">
        <v>81305</v>
      </c>
      <c r="I25" s="8" t="s">
        <v>543</v>
      </c>
      <c r="J25" s="8">
        <v>52455468</v>
      </c>
      <c r="K25" s="8" t="s">
        <v>2910</v>
      </c>
      <c r="L25" s="8" t="s">
        <v>2914</v>
      </c>
      <c r="M25" s="44">
        <v>79900</v>
      </c>
      <c r="N25" s="11" t="s">
        <v>19</v>
      </c>
      <c r="O25" s="12" t="s">
        <v>1579</v>
      </c>
      <c r="P25" s="6" t="s">
        <v>19</v>
      </c>
    </row>
  </sheetData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31519-C68A-4F32-85C1-B4C421830CFB}">
  <dimension ref="A1:P54"/>
  <sheetViews>
    <sheetView workbookViewId="0">
      <selection activeCell="G8" sqref="G8"/>
    </sheetView>
  </sheetViews>
  <sheetFormatPr defaultRowHeight="15" x14ac:dyDescent="0.25"/>
  <cols>
    <col min="1" max="1" width="34.5703125" customWidth="1"/>
    <col min="2" max="2" width="11.42578125" bestFit="1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13.42578125" bestFit="1" customWidth="1"/>
    <col min="16" max="16" width="14.28515625" bestFit="1" customWidth="1"/>
  </cols>
  <sheetData>
    <row r="1" spans="1:16" ht="27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3476</v>
      </c>
      <c r="B2" s="7">
        <v>46121</v>
      </c>
      <c r="C2" s="7">
        <v>46127</v>
      </c>
      <c r="D2" s="6">
        <v>3271</v>
      </c>
      <c r="E2" s="6">
        <v>336</v>
      </c>
      <c r="F2" s="6">
        <v>4</v>
      </c>
      <c r="G2" s="6">
        <v>4</v>
      </c>
      <c r="H2" s="6">
        <v>81305</v>
      </c>
      <c r="I2" s="6" t="s">
        <v>543</v>
      </c>
      <c r="J2" s="6">
        <v>52325349</v>
      </c>
      <c r="K2" s="6" t="s">
        <v>2977</v>
      </c>
      <c r="L2" s="6" t="s">
        <v>2978</v>
      </c>
      <c r="M2" s="17">
        <v>99900</v>
      </c>
      <c r="N2" s="11" t="s">
        <v>19</v>
      </c>
      <c r="O2" s="12" t="s">
        <v>1579</v>
      </c>
      <c r="P2" s="6" t="s">
        <v>19</v>
      </c>
    </row>
    <row r="3" spans="1:16" x14ac:dyDescent="0.25">
      <c r="A3" s="6" t="s">
        <v>3476</v>
      </c>
      <c r="B3" s="7">
        <v>46121</v>
      </c>
      <c r="C3" s="7">
        <v>46127</v>
      </c>
      <c r="D3" s="6">
        <v>3271</v>
      </c>
      <c r="E3" s="6">
        <v>336</v>
      </c>
      <c r="F3" s="6">
        <v>4</v>
      </c>
      <c r="G3" s="6">
        <v>4</v>
      </c>
      <c r="H3" s="6">
        <v>81305</v>
      </c>
      <c r="I3" s="6" t="s">
        <v>543</v>
      </c>
      <c r="J3" s="6">
        <v>52325358</v>
      </c>
      <c r="K3" s="6" t="s">
        <v>2977</v>
      </c>
      <c r="L3" s="6" t="s">
        <v>2979</v>
      </c>
      <c r="M3" s="17">
        <v>99900</v>
      </c>
      <c r="N3" s="11" t="s">
        <v>19</v>
      </c>
      <c r="O3" s="12" t="s">
        <v>1579</v>
      </c>
      <c r="P3" s="6" t="s">
        <v>19</v>
      </c>
    </row>
    <row r="4" spans="1:16" x14ac:dyDescent="0.25">
      <c r="A4" s="6" t="s">
        <v>3476</v>
      </c>
      <c r="B4" s="7">
        <v>46121</v>
      </c>
      <c r="C4" s="7">
        <v>46127</v>
      </c>
      <c r="D4" s="6">
        <v>3271</v>
      </c>
      <c r="E4" s="6">
        <v>336</v>
      </c>
      <c r="F4" s="6">
        <v>4</v>
      </c>
      <c r="G4" s="6">
        <v>4</v>
      </c>
      <c r="H4" s="6">
        <v>81305</v>
      </c>
      <c r="I4" s="6" t="s">
        <v>543</v>
      </c>
      <c r="J4" s="6">
        <v>52325367</v>
      </c>
      <c r="K4" s="6" t="s">
        <v>2977</v>
      </c>
      <c r="L4" s="6" t="s">
        <v>2980</v>
      </c>
      <c r="M4" s="17">
        <v>99900</v>
      </c>
      <c r="N4" s="11" t="s">
        <v>19</v>
      </c>
      <c r="O4" s="12" t="s">
        <v>1579</v>
      </c>
      <c r="P4" s="6" t="s">
        <v>19</v>
      </c>
    </row>
    <row r="5" spans="1:16" x14ac:dyDescent="0.25">
      <c r="A5" s="6" t="s">
        <v>3476</v>
      </c>
      <c r="B5" s="7">
        <v>46121</v>
      </c>
      <c r="C5" s="7">
        <v>46127</v>
      </c>
      <c r="D5" s="6">
        <v>3271</v>
      </c>
      <c r="E5" s="6">
        <v>336</v>
      </c>
      <c r="F5" s="6">
        <v>4</v>
      </c>
      <c r="G5" s="6">
        <v>4</v>
      </c>
      <c r="H5" s="6">
        <v>81305</v>
      </c>
      <c r="I5" s="6" t="s">
        <v>543</v>
      </c>
      <c r="J5" s="6">
        <v>52325376</v>
      </c>
      <c r="K5" s="6" t="s">
        <v>2977</v>
      </c>
      <c r="L5" s="6" t="s">
        <v>2981</v>
      </c>
      <c r="M5" s="17">
        <v>99900</v>
      </c>
      <c r="N5" s="11" t="s">
        <v>19</v>
      </c>
      <c r="O5" s="12" t="s">
        <v>1579</v>
      </c>
      <c r="P5" s="6" t="s">
        <v>19</v>
      </c>
    </row>
    <row r="6" spans="1:16" x14ac:dyDescent="0.25">
      <c r="A6" s="6" t="s">
        <v>3476</v>
      </c>
      <c r="B6" s="7">
        <v>46121</v>
      </c>
      <c r="C6" s="7">
        <v>46127</v>
      </c>
      <c r="D6" s="6">
        <v>3271</v>
      </c>
      <c r="E6" s="6">
        <v>336</v>
      </c>
      <c r="F6" s="6">
        <v>4</v>
      </c>
      <c r="G6" s="6">
        <v>4</v>
      </c>
      <c r="H6" s="6">
        <v>81305</v>
      </c>
      <c r="I6" s="6" t="s">
        <v>543</v>
      </c>
      <c r="J6" s="6">
        <v>52325385</v>
      </c>
      <c r="K6" s="6" t="s">
        <v>2982</v>
      </c>
      <c r="L6" s="6" t="s">
        <v>2983</v>
      </c>
      <c r="M6" s="17">
        <v>99900</v>
      </c>
      <c r="N6" s="11" t="s">
        <v>19</v>
      </c>
      <c r="O6" s="12" t="s">
        <v>1579</v>
      </c>
      <c r="P6" s="6" t="s">
        <v>19</v>
      </c>
    </row>
    <row r="7" spans="1:16" x14ac:dyDescent="0.25">
      <c r="A7" s="6" t="s">
        <v>3476</v>
      </c>
      <c r="B7" s="7">
        <v>46121</v>
      </c>
      <c r="C7" s="7">
        <v>46127</v>
      </c>
      <c r="D7" s="6">
        <v>3271</v>
      </c>
      <c r="E7" s="6">
        <v>336</v>
      </c>
      <c r="F7" s="6">
        <v>4</v>
      </c>
      <c r="G7" s="6">
        <v>4</v>
      </c>
      <c r="H7" s="6">
        <v>81305</v>
      </c>
      <c r="I7" s="6" t="s">
        <v>543</v>
      </c>
      <c r="J7" s="6">
        <v>52325394</v>
      </c>
      <c r="K7" s="6" t="s">
        <v>2982</v>
      </c>
      <c r="L7" s="6" t="s">
        <v>2984</v>
      </c>
      <c r="M7" s="17">
        <v>99900</v>
      </c>
      <c r="N7" s="11" t="s">
        <v>19</v>
      </c>
      <c r="O7" s="12" t="s">
        <v>1579</v>
      </c>
      <c r="P7" s="6" t="s">
        <v>19</v>
      </c>
    </row>
    <row r="8" spans="1:16" x14ac:dyDescent="0.25">
      <c r="A8" s="6" t="s">
        <v>3476</v>
      </c>
      <c r="B8" s="7">
        <v>46121</v>
      </c>
      <c r="C8" s="7">
        <v>46127</v>
      </c>
      <c r="D8" s="6">
        <v>3271</v>
      </c>
      <c r="E8" s="6">
        <v>336</v>
      </c>
      <c r="F8" s="6">
        <v>4</v>
      </c>
      <c r="G8" s="6">
        <v>4</v>
      </c>
      <c r="H8" s="6">
        <v>81305</v>
      </c>
      <c r="I8" s="6" t="s">
        <v>543</v>
      </c>
      <c r="J8" s="6">
        <v>52325401</v>
      </c>
      <c r="K8" s="6" t="s">
        <v>2982</v>
      </c>
      <c r="L8" s="6" t="s">
        <v>2985</v>
      </c>
      <c r="M8" s="17">
        <v>99900</v>
      </c>
      <c r="N8" s="11" t="s">
        <v>19</v>
      </c>
      <c r="O8" s="12" t="s">
        <v>1579</v>
      </c>
      <c r="P8" s="6" t="s">
        <v>19</v>
      </c>
    </row>
    <row r="9" spans="1:16" x14ac:dyDescent="0.25">
      <c r="A9" s="6" t="s">
        <v>3476</v>
      </c>
      <c r="B9" s="7">
        <v>46121</v>
      </c>
      <c r="C9" s="7">
        <v>46127</v>
      </c>
      <c r="D9" s="6">
        <v>3271</v>
      </c>
      <c r="E9" s="6">
        <v>336</v>
      </c>
      <c r="F9" s="6">
        <v>4</v>
      </c>
      <c r="G9" s="6">
        <v>4</v>
      </c>
      <c r="H9" s="6">
        <v>81305</v>
      </c>
      <c r="I9" s="6" t="s">
        <v>543</v>
      </c>
      <c r="J9" s="6">
        <v>52325410</v>
      </c>
      <c r="K9" s="6" t="s">
        <v>2982</v>
      </c>
      <c r="L9" s="6" t="s">
        <v>2986</v>
      </c>
      <c r="M9" s="17">
        <v>99900</v>
      </c>
      <c r="N9" s="11" t="s">
        <v>19</v>
      </c>
      <c r="O9" s="12" t="s">
        <v>1579</v>
      </c>
      <c r="P9" s="6" t="s">
        <v>19</v>
      </c>
    </row>
    <row r="10" spans="1:16" x14ac:dyDescent="0.25">
      <c r="A10" s="6" t="s">
        <v>3476</v>
      </c>
      <c r="B10" s="7">
        <v>46121</v>
      </c>
      <c r="C10" s="7">
        <v>46127</v>
      </c>
      <c r="D10" s="6">
        <v>3271</v>
      </c>
      <c r="E10" s="6">
        <v>336</v>
      </c>
      <c r="F10" s="6">
        <v>4</v>
      </c>
      <c r="G10" s="6">
        <v>7</v>
      </c>
      <c r="H10" s="6">
        <v>81662</v>
      </c>
      <c r="I10" s="6" t="s">
        <v>543</v>
      </c>
      <c r="J10" s="6">
        <v>55025257</v>
      </c>
      <c r="K10" s="6" t="s">
        <v>2987</v>
      </c>
      <c r="L10" s="6" t="s">
        <v>2988</v>
      </c>
      <c r="M10" s="17">
        <v>139900</v>
      </c>
      <c r="N10" s="11" t="s">
        <v>19</v>
      </c>
      <c r="O10" s="12" t="s">
        <v>1579</v>
      </c>
      <c r="P10" s="6" t="s">
        <v>19</v>
      </c>
    </row>
    <row r="11" spans="1:16" x14ac:dyDescent="0.25">
      <c r="A11" s="6" t="s">
        <v>3476</v>
      </c>
      <c r="B11" s="7">
        <v>46121</v>
      </c>
      <c r="C11" s="7">
        <v>46127</v>
      </c>
      <c r="D11" s="6">
        <v>3271</v>
      </c>
      <c r="E11" s="6">
        <v>336</v>
      </c>
      <c r="F11" s="6">
        <v>4</v>
      </c>
      <c r="G11" s="6">
        <v>7</v>
      </c>
      <c r="H11" s="6">
        <v>81662</v>
      </c>
      <c r="I11" s="6" t="s">
        <v>543</v>
      </c>
      <c r="J11" s="6">
        <v>55025266</v>
      </c>
      <c r="K11" s="6" t="s">
        <v>2987</v>
      </c>
      <c r="L11" s="6" t="s">
        <v>2989</v>
      </c>
      <c r="M11" s="17">
        <v>139900</v>
      </c>
      <c r="N11" s="11" t="s">
        <v>19</v>
      </c>
      <c r="O11" s="12" t="s">
        <v>1579</v>
      </c>
      <c r="P11" s="6" t="s">
        <v>19</v>
      </c>
    </row>
    <row r="12" spans="1:16" x14ac:dyDescent="0.25">
      <c r="A12" s="6" t="s">
        <v>3476</v>
      </c>
      <c r="B12" s="7">
        <v>46121</v>
      </c>
      <c r="C12" s="7">
        <v>46127</v>
      </c>
      <c r="D12" s="6">
        <v>3271</v>
      </c>
      <c r="E12" s="6">
        <v>336</v>
      </c>
      <c r="F12" s="6">
        <v>4</v>
      </c>
      <c r="G12" s="6">
        <v>7</v>
      </c>
      <c r="H12" s="6">
        <v>81662</v>
      </c>
      <c r="I12" s="6" t="s">
        <v>543</v>
      </c>
      <c r="J12" s="6">
        <v>55025275</v>
      </c>
      <c r="K12" s="6" t="s">
        <v>2987</v>
      </c>
      <c r="L12" s="6" t="s">
        <v>2990</v>
      </c>
      <c r="M12" s="17">
        <v>139900</v>
      </c>
      <c r="N12" s="11" t="s">
        <v>19</v>
      </c>
      <c r="O12" s="12" t="s">
        <v>1579</v>
      </c>
      <c r="P12" s="6" t="s">
        <v>19</v>
      </c>
    </row>
    <row r="13" spans="1:16" x14ac:dyDescent="0.25">
      <c r="A13" s="6" t="s">
        <v>3476</v>
      </c>
      <c r="B13" s="7">
        <v>46121</v>
      </c>
      <c r="C13" s="7">
        <v>46127</v>
      </c>
      <c r="D13" s="6">
        <v>3271</v>
      </c>
      <c r="E13" s="6">
        <v>336</v>
      </c>
      <c r="F13" s="6">
        <v>4</v>
      </c>
      <c r="G13" s="6">
        <v>7</v>
      </c>
      <c r="H13" s="6">
        <v>81662</v>
      </c>
      <c r="I13" s="6" t="s">
        <v>543</v>
      </c>
      <c r="J13" s="6">
        <v>55025284</v>
      </c>
      <c r="K13" s="6" t="s">
        <v>2987</v>
      </c>
      <c r="L13" s="6" t="s">
        <v>2991</v>
      </c>
      <c r="M13" s="17">
        <v>139900</v>
      </c>
      <c r="N13" s="11" t="s">
        <v>19</v>
      </c>
      <c r="O13" s="12" t="s">
        <v>1579</v>
      </c>
      <c r="P13" s="6" t="s">
        <v>19</v>
      </c>
    </row>
    <row r="14" spans="1:16" x14ac:dyDescent="0.25">
      <c r="A14" s="6" t="s">
        <v>3476</v>
      </c>
      <c r="B14" s="7">
        <v>46121</v>
      </c>
      <c r="C14" s="7">
        <v>46127</v>
      </c>
      <c r="D14" s="6">
        <v>3271</v>
      </c>
      <c r="E14" s="6">
        <v>336</v>
      </c>
      <c r="F14" s="6">
        <v>4</v>
      </c>
      <c r="G14" s="6">
        <v>7</v>
      </c>
      <c r="H14" s="6">
        <v>81662</v>
      </c>
      <c r="I14" s="6" t="s">
        <v>543</v>
      </c>
      <c r="J14" s="6">
        <v>55025293</v>
      </c>
      <c r="K14" s="6" t="s">
        <v>2987</v>
      </c>
      <c r="L14" s="6" t="s">
        <v>2992</v>
      </c>
      <c r="M14" s="17">
        <v>139900</v>
      </c>
      <c r="N14" s="11" t="s">
        <v>19</v>
      </c>
      <c r="O14" s="12" t="s">
        <v>1579</v>
      </c>
      <c r="P14" s="6" t="s">
        <v>19</v>
      </c>
    </row>
    <row r="15" spans="1:16" x14ac:dyDescent="0.25">
      <c r="A15" s="6" t="s">
        <v>3476</v>
      </c>
      <c r="B15" s="7">
        <v>46121</v>
      </c>
      <c r="C15" s="7">
        <v>46127</v>
      </c>
      <c r="D15" s="6">
        <v>3271</v>
      </c>
      <c r="E15" s="6">
        <v>336</v>
      </c>
      <c r="F15" s="6">
        <v>4</v>
      </c>
      <c r="G15" s="6">
        <v>7</v>
      </c>
      <c r="H15" s="6">
        <v>81662</v>
      </c>
      <c r="I15" s="6" t="s">
        <v>543</v>
      </c>
      <c r="J15" s="6">
        <v>55025300</v>
      </c>
      <c r="K15" s="6" t="s">
        <v>2993</v>
      </c>
      <c r="L15" s="6" t="s">
        <v>2994</v>
      </c>
      <c r="M15" s="17">
        <v>139900</v>
      </c>
      <c r="N15" s="11" t="s">
        <v>19</v>
      </c>
      <c r="O15" s="12" t="s">
        <v>1579</v>
      </c>
      <c r="P15" s="6" t="s">
        <v>19</v>
      </c>
    </row>
    <row r="16" spans="1:16" x14ac:dyDescent="0.25">
      <c r="A16" s="6" t="s">
        <v>3476</v>
      </c>
      <c r="B16" s="7">
        <v>46121</v>
      </c>
      <c r="C16" s="7">
        <v>46127</v>
      </c>
      <c r="D16" s="6">
        <v>3271</v>
      </c>
      <c r="E16" s="6">
        <v>336</v>
      </c>
      <c r="F16" s="6">
        <v>4</v>
      </c>
      <c r="G16" s="6">
        <v>7</v>
      </c>
      <c r="H16" s="6">
        <v>81662</v>
      </c>
      <c r="I16" s="6" t="s">
        <v>543</v>
      </c>
      <c r="J16" s="6">
        <v>55025319</v>
      </c>
      <c r="K16" s="6" t="s">
        <v>2993</v>
      </c>
      <c r="L16" s="6" t="s">
        <v>2995</v>
      </c>
      <c r="M16" s="17">
        <v>139900</v>
      </c>
      <c r="N16" s="11" t="s">
        <v>19</v>
      </c>
      <c r="O16" s="12" t="s">
        <v>1579</v>
      </c>
      <c r="P16" s="6" t="s">
        <v>19</v>
      </c>
    </row>
    <row r="17" spans="1:16" x14ac:dyDescent="0.25">
      <c r="A17" s="6" t="s">
        <v>3476</v>
      </c>
      <c r="B17" s="7">
        <v>46121</v>
      </c>
      <c r="C17" s="7">
        <v>46127</v>
      </c>
      <c r="D17" s="6">
        <v>3271</v>
      </c>
      <c r="E17" s="6">
        <v>336</v>
      </c>
      <c r="F17" s="6">
        <v>4</v>
      </c>
      <c r="G17" s="6">
        <v>7</v>
      </c>
      <c r="H17" s="6">
        <v>81662</v>
      </c>
      <c r="I17" s="6" t="s">
        <v>543</v>
      </c>
      <c r="J17" s="6">
        <v>55025328</v>
      </c>
      <c r="K17" s="6" t="s">
        <v>2993</v>
      </c>
      <c r="L17" s="6" t="s">
        <v>2996</v>
      </c>
      <c r="M17" s="17">
        <v>139900</v>
      </c>
      <c r="N17" s="11" t="s">
        <v>19</v>
      </c>
      <c r="O17" s="12" t="s">
        <v>1579</v>
      </c>
      <c r="P17" s="6" t="s">
        <v>19</v>
      </c>
    </row>
    <row r="18" spans="1:16" x14ac:dyDescent="0.25">
      <c r="A18" s="6" t="s">
        <v>3476</v>
      </c>
      <c r="B18" s="7">
        <v>46121</v>
      </c>
      <c r="C18" s="7">
        <v>46127</v>
      </c>
      <c r="D18" s="6">
        <v>3271</v>
      </c>
      <c r="E18" s="6">
        <v>336</v>
      </c>
      <c r="F18" s="6">
        <v>4</v>
      </c>
      <c r="G18" s="6">
        <v>7</v>
      </c>
      <c r="H18" s="6">
        <v>81662</v>
      </c>
      <c r="I18" s="6" t="s">
        <v>543</v>
      </c>
      <c r="J18" s="6">
        <v>55025337</v>
      </c>
      <c r="K18" s="6" t="s">
        <v>2993</v>
      </c>
      <c r="L18" s="6" t="s">
        <v>2997</v>
      </c>
      <c r="M18" s="17">
        <v>139900</v>
      </c>
      <c r="N18" s="11" t="s">
        <v>19</v>
      </c>
      <c r="O18" s="12" t="s">
        <v>1579</v>
      </c>
      <c r="P18" s="6" t="s">
        <v>19</v>
      </c>
    </row>
    <row r="19" spans="1:16" x14ac:dyDescent="0.25">
      <c r="A19" s="6" t="s">
        <v>3476</v>
      </c>
      <c r="B19" s="7">
        <v>46121</v>
      </c>
      <c r="C19" s="7">
        <v>46127</v>
      </c>
      <c r="D19" s="6">
        <v>3271</v>
      </c>
      <c r="E19" s="6">
        <v>336</v>
      </c>
      <c r="F19" s="6">
        <v>4</v>
      </c>
      <c r="G19" s="6">
        <v>7</v>
      </c>
      <c r="H19" s="6">
        <v>81662</v>
      </c>
      <c r="I19" s="6" t="s">
        <v>543</v>
      </c>
      <c r="J19" s="6">
        <v>55025346</v>
      </c>
      <c r="K19" s="6" t="s">
        <v>2993</v>
      </c>
      <c r="L19" s="6" t="s">
        <v>2998</v>
      </c>
      <c r="M19" s="17">
        <v>139900</v>
      </c>
      <c r="N19" s="11" t="s">
        <v>19</v>
      </c>
      <c r="O19" s="12" t="s">
        <v>1579</v>
      </c>
      <c r="P19" s="6" t="s">
        <v>19</v>
      </c>
    </row>
    <row r="20" spans="1:16" x14ac:dyDescent="0.25">
      <c r="A20" s="6" t="s">
        <v>3476</v>
      </c>
      <c r="B20" s="7">
        <v>46121</v>
      </c>
      <c r="C20" s="7">
        <v>46127</v>
      </c>
      <c r="D20" s="6">
        <v>3271</v>
      </c>
      <c r="E20" s="6">
        <v>336</v>
      </c>
      <c r="F20" s="6">
        <v>4</v>
      </c>
      <c r="G20" s="6">
        <v>7</v>
      </c>
      <c r="H20" s="6">
        <v>81662</v>
      </c>
      <c r="I20" s="6" t="s">
        <v>543</v>
      </c>
      <c r="J20" s="6">
        <v>55025355</v>
      </c>
      <c r="K20" s="6" t="s">
        <v>2999</v>
      </c>
      <c r="L20" s="6" t="s">
        <v>3000</v>
      </c>
      <c r="M20" s="17">
        <v>139900</v>
      </c>
      <c r="N20" s="11" t="s">
        <v>19</v>
      </c>
      <c r="O20" s="12" t="s">
        <v>1579</v>
      </c>
      <c r="P20" s="6" t="s">
        <v>19</v>
      </c>
    </row>
    <row r="21" spans="1:16" x14ac:dyDescent="0.25">
      <c r="A21" s="6" t="s">
        <v>3476</v>
      </c>
      <c r="B21" s="7">
        <v>46121</v>
      </c>
      <c r="C21" s="7">
        <v>46127</v>
      </c>
      <c r="D21" s="6">
        <v>3271</v>
      </c>
      <c r="E21" s="6">
        <v>336</v>
      </c>
      <c r="F21" s="6">
        <v>4</v>
      </c>
      <c r="G21" s="6">
        <v>7</v>
      </c>
      <c r="H21" s="6">
        <v>81662</v>
      </c>
      <c r="I21" s="6" t="s">
        <v>543</v>
      </c>
      <c r="J21" s="6">
        <v>55025364</v>
      </c>
      <c r="K21" s="6" t="s">
        <v>2999</v>
      </c>
      <c r="L21" s="6" t="s">
        <v>3001</v>
      </c>
      <c r="M21" s="17">
        <v>139900</v>
      </c>
      <c r="N21" s="11" t="s">
        <v>19</v>
      </c>
      <c r="O21" s="12" t="s">
        <v>1579</v>
      </c>
      <c r="P21" s="6" t="s">
        <v>19</v>
      </c>
    </row>
    <row r="22" spans="1:16" x14ac:dyDescent="0.25">
      <c r="A22" s="6" t="s">
        <v>3476</v>
      </c>
      <c r="B22" s="7">
        <v>46121</v>
      </c>
      <c r="C22" s="7">
        <v>46127</v>
      </c>
      <c r="D22" s="6">
        <v>3271</v>
      </c>
      <c r="E22" s="6">
        <v>336</v>
      </c>
      <c r="F22" s="6">
        <v>4</v>
      </c>
      <c r="G22" s="6">
        <v>7</v>
      </c>
      <c r="H22" s="6">
        <v>81662</v>
      </c>
      <c r="I22" s="6" t="s">
        <v>543</v>
      </c>
      <c r="J22" s="6">
        <v>55025373</v>
      </c>
      <c r="K22" s="6" t="s">
        <v>2999</v>
      </c>
      <c r="L22" s="6" t="s">
        <v>3002</v>
      </c>
      <c r="M22" s="17">
        <v>139900</v>
      </c>
      <c r="N22" s="11" t="s">
        <v>19</v>
      </c>
      <c r="O22" s="12" t="s">
        <v>1579</v>
      </c>
      <c r="P22" s="6" t="s">
        <v>19</v>
      </c>
    </row>
    <row r="23" spans="1:16" x14ac:dyDescent="0.25">
      <c r="A23" s="6" t="s">
        <v>3476</v>
      </c>
      <c r="B23" s="7">
        <v>46121</v>
      </c>
      <c r="C23" s="7">
        <v>46127</v>
      </c>
      <c r="D23" s="6">
        <v>3271</v>
      </c>
      <c r="E23" s="6">
        <v>336</v>
      </c>
      <c r="F23" s="6">
        <v>4</v>
      </c>
      <c r="G23" s="6">
        <v>7</v>
      </c>
      <c r="H23" s="6">
        <v>81662</v>
      </c>
      <c r="I23" s="6" t="s">
        <v>543</v>
      </c>
      <c r="J23" s="6">
        <v>55025382</v>
      </c>
      <c r="K23" s="6" t="s">
        <v>2999</v>
      </c>
      <c r="L23" s="6" t="s">
        <v>3003</v>
      </c>
      <c r="M23" s="17">
        <v>139900</v>
      </c>
      <c r="N23" s="11" t="s">
        <v>19</v>
      </c>
      <c r="O23" s="12" t="s">
        <v>1579</v>
      </c>
      <c r="P23" s="6" t="s">
        <v>19</v>
      </c>
    </row>
    <row r="24" spans="1:16" x14ac:dyDescent="0.25">
      <c r="A24" s="6" t="s">
        <v>3476</v>
      </c>
      <c r="B24" s="7">
        <v>46121</v>
      </c>
      <c r="C24" s="7">
        <v>46127</v>
      </c>
      <c r="D24" s="6">
        <v>3271</v>
      </c>
      <c r="E24" s="6">
        <v>336</v>
      </c>
      <c r="F24" s="6">
        <v>4</v>
      </c>
      <c r="G24" s="6">
        <v>7</v>
      </c>
      <c r="H24" s="6">
        <v>81662</v>
      </c>
      <c r="I24" s="6" t="s">
        <v>543</v>
      </c>
      <c r="J24" s="6">
        <v>55025391</v>
      </c>
      <c r="K24" s="6" t="s">
        <v>2999</v>
      </c>
      <c r="L24" s="6" t="s">
        <v>3004</v>
      </c>
      <c r="M24" s="17">
        <v>139900</v>
      </c>
      <c r="N24" s="11" t="s">
        <v>19</v>
      </c>
      <c r="O24" s="12" t="s">
        <v>1579</v>
      </c>
      <c r="P24" s="6" t="s">
        <v>19</v>
      </c>
    </row>
    <row r="25" spans="1:16" x14ac:dyDescent="0.25">
      <c r="A25" s="6" t="s">
        <v>3476</v>
      </c>
      <c r="B25" s="7">
        <v>46121</v>
      </c>
      <c r="C25" s="7">
        <v>46127</v>
      </c>
      <c r="D25" s="6">
        <v>3271</v>
      </c>
      <c r="E25" s="6">
        <v>336</v>
      </c>
      <c r="F25" s="6">
        <v>4</v>
      </c>
      <c r="G25" s="6">
        <v>4</v>
      </c>
      <c r="H25" s="6">
        <v>81684</v>
      </c>
      <c r="I25" s="6" t="s">
        <v>543</v>
      </c>
      <c r="J25" s="6">
        <v>54484558</v>
      </c>
      <c r="K25" s="6" t="s">
        <v>3005</v>
      </c>
      <c r="L25" s="6" t="s">
        <v>3006</v>
      </c>
      <c r="M25" s="17">
        <v>99900</v>
      </c>
      <c r="N25" s="11" t="s">
        <v>19</v>
      </c>
      <c r="O25" s="12" t="s">
        <v>1579</v>
      </c>
      <c r="P25" s="6" t="s">
        <v>19</v>
      </c>
    </row>
    <row r="26" spans="1:16" x14ac:dyDescent="0.25">
      <c r="A26" s="6" t="s">
        <v>3476</v>
      </c>
      <c r="B26" s="7">
        <v>46121</v>
      </c>
      <c r="C26" s="7">
        <v>46127</v>
      </c>
      <c r="D26" s="6">
        <v>3271</v>
      </c>
      <c r="E26" s="6">
        <v>336</v>
      </c>
      <c r="F26" s="6">
        <v>4</v>
      </c>
      <c r="G26" s="6">
        <v>4</v>
      </c>
      <c r="H26" s="6">
        <v>81684</v>
      </c>
      <c r="I26" s="6" t="s">
        <v>543</v>
      </c>
      <c r="J26" s="6">
        <v>54484567</v>
      </c>
      <c r="K26" s="6" t="s">
        <v>3005</v>
      </c>
      <c r="L26" s="6" t="s">
        <v>3007</v>
      </c>
      <c r="M26" s="17">
        <v>99900</v>
      </c>
      <c r="N26" s="11" t="s">
        <v>19</v>
      </c>
      <c r="O26" s="12" t="s">
        <v>1579</v>
      </c>
      <c r="P26" s="6" t="s">
        <v>19</v>
      </c>
    </row>
    <row r="27" spans="1:16" x14ac:dyDescent="0.25">
      <c r="A27" s="6" t="s">
        <v>3476</v>
      </c>
      <c r="B27" s="7">
        <v>46121</v>
      </c>
      <c r="C27" s="7">
        <v>46127</v>
      </c>
      <c r="D27" s="6">
        <v>3271</v>
      </c>
      <c r="E27" s="6">
        <v>336</v>
      </c>
      <c r="F27" s="6">
        <v>4</v>
      </c>
      <c r="G27" s="6">
        <v>4</v>
      </c>
      <c r="H27" s="6">
        <v>81684</v>
      </c>
      <c r="I27" s="6" t="s">
        <v>543</v>
      </c>
      <c r="J27" s="6">
        <v>54484576</v>
      </c>
      <c r="K27" s="6" t="s">
        <v>3005</v>
      </c>
      <c r="L27" s="6" t="s">
        <v>3008</v>
      </c>
      <c r="M27" s="17">
        <v>99900</v>
      </c>
      <c r="N27" s="11" t="s">
        <v>19</v>
      </c>
      <c r="O27" s="12" t="s">
        <v>1579</v>
      </c>
      <c r="P27" s="6" t="s">
        <v>19</v>
      </c>
    </row>
    <row r="28" spans="1:16" x14ac:dyDescent="0.25">
      <c r="A28" s="6" t="s">
        <v>3476</v>
      </c>
      <c r="B28" s="7">
        <v>46121</v>
      </c>
      <c r="C28" s="7">
        <v>46127</v>
      </c>
      <c r="D28" s="6">
        <v>3271</v>
      </c>
      <c r="E28" s="6">
        <v>336</v>
      </c>
      <c r="F28" s="6">
        <v>4</v>
      </c>
      <c r="G28" s="6">
        <v>4</v>
      </c>
      <c r="H28" s="6">
        <v>81684</v>
      </c>
      <c r="I28" s="6" t="s">
        <v>543</v>
      </c>
      <c r="J28" s="6">
        <v>54484585</v>
      </c>
      <c r="K28" s="6" t="s">
        <v>3005</v>
      </c>
      <c r="L28" s="6" t="s">
        <v>3009</v>
      </c>
      <c r="M28" s="17">
        <v>99900</v>
      </c>
      <c r="N28" s="11" t="s">
        <v>19</v>
      </c>
      <c r="O28" s="12" t="s">
        <v>1579</v>
      </c>
      <c r="P28" s="6" t="s">
        <v>19</v>
      </c>
    </row>
    <row r="29" spans="1:16" x14ac:dyDescent="0.25">
      <c r="A29" s="6" t="s">
        <v>3476</v>
      </c>
      <c r="B29" s="7">
        <v>46121</v>
      </c>
      <c r="C29" s="7">
        <v>46127</v>
      </c>
      <c r="D29" s="6">
        <v>3271</v>
      </c>
      <c r="E29" s="6">
        <v>336</v>
      </c>
      <c r="F29" s="6">
        <v>4</v>
      </c>
      <c r="G29" s="6">
        <v>4</v>
      </c>
      <c r="H29" s="6">
        <v>81684</v>
      </c>
      <c r="I29" s="6" t="s">
        <v>543</v>
      </c>
      <c r="J29" s="6">
        <v>54484594</v>
      </c>
      <c r="K29" s="6" t="s">
        <v>3005</v>
      </c>
      <c r="L29" s="6" t="s">
        <v>3010</v>
      </c>
      <c r="M29" s="17">
        <v>99900</v>
      </c>
      <c r="N29" s="11" t="s">
        <v>19</v>
      </c>
      <c r="O29" s="12" t="s">
        <v>1579</v>
      </c>
      <c r="P29" s="6" t="s">
        <v>19</v>
      </c>
    </row>
    <row r="30" spans="1:16" x14ac:dyDescent="0.25">
      <c r="A30" s="6" t="s">
        <v>3476</v>
      </c>
      <c r="B30" s="7">
        <v>46121</v>
      </c>
      <c r="C30" s="7">
        <v>46127</v>
      </c>
      <c r="D30" s="6">
        <v>3271</v>
      </c>
      <c r="E30" s="6">
        <v>336</v>
      </c>
      <c r="F30" s="6">
        <v>4</v>
      </c>
      <c r="G30" s="6">
        <v>4</v>
      </c>
      <c r="H30" s="6">
        <v>81684</v>
      </c>
      <c r="I30" s="6" t="s">
        <v>543</v>
      </c>
      <c r="J30" s="6">
        <v>54484601</v>
      </c>
      <c r="K30" s="6" t="s">
        <v>3011</v>
      </c>
      <c r="L30" s="6" t="s">
        <v>3012</v>
      </c>
      <c r="M30" s="17">
        <v>99900</v>
      </c>
      <c r="N30" s="11" t="s">
        <v>19</v>
      </c>
      <c r="O30" s="12" t="s">
        <v>1579</v>
      </c>
      <c r="P30" s="6" t="s">
        <v>19</v>
      </c>
    </row>
    <row r="31" spans="1:16" x14ac:dyDescent="0.25">
      <c r="A31" s="6" t="s">
        <v>3476</v>
      </c>
      <c r="B31" s="7">
        <v>46121</v>
      </c>
      <c r="C31" s="7">
        <v>46127</v>
      </c>
      <c r="D31" s="6">
        <v>3271</v>
      </c>
      <c r="E31" s="6">
        <v>336</v>
      </c>
      <c r="F31" s="6">
        <v>4</v>
      </c>
      <c r="G31" s="6">
        <v>4</v>
      </c>
      <c r="H31" s="6">
        <v>81684</v>
      </c>
      <c r="I31" s="6" t="s">
        <v>543</v>
      </c>
      <c r="J31" s="6">
        <v>54484610</v>
      </c>
      <c r="K31" s="6" t="s">
        <v>3011</v>
      </c>
      <c r="L31" s="6" t="s">
        <v>3013</v>
      </c>
      <c r="M31" s="17">
        <v>99900</v>
      </c>
      <c r="N31" s="11" t="s">
        <v>19</v>
      </c>
      <c r="O31" s="12" t="s">
        <v>1579</v>
      </c>
      <c r="P31" s="6" t="s">
        <v>19</v>
      </c>
    </row>
    <row r="32" spans="1:16" x14ac:dyDescent="0.25">
      <c r="A32" s="6" t="s">
        <v>3476</v>
      </c>
      <c r="B32" s="7">
        <v>46121</v>
      </c>
      <c r="C32" s="7">
        <v>46127</v>
      </c>
      <c r="D32" s="6">
        <v>3271</v>
      </c>
      <c r="E32" s="6">
        <v>336</v>
      </c>
      <c r="F32" s="6">
        <v>4</v>
      </c>
      <c r="G32" s="6">
        <v>4</v>
      </c>
      <c r="H32" s="6">
        <v>81684</v>
      </c>
      <c r="I32" s="6" t="s">
        <v>543</v>
      </c>
      <c r="J32" s="6">
        <v>54484629</v>
      </c>
      <c r="K32" s="6" t="s">
        <v>3011</v>
      </c>
      <c r="L32" s="6" t="s">
        <v>3014</v>
      </c>
      <c r="M32" s="17">
        <v>99900</v>
      </c>
      <c r="N32" s="11" t="s">
        <v>19</v>
      </c>
      <c r="O32" s="12" t="s">
        <v>1579</v>
      </c>
      <c r="P32" s="6" t="s">
        <v>19</v>
      </c>
    </row>
    <row r="33" spans="1:16" x14ac:dyDescent="0.25">
      <c r="A33" s="6" t="s">
        <v>3476</v>
      </c>
      <c r="B33" s="7">
        <v>46121</v>
      </c>
      <c r="C33" s="7">
        <v>46127</v>
      </c>
      <c r="D33" s="6">
        <v>3271</v>
      </c>
      <c r="E33" s="6">
        <v>336</v>
      </c>
      <c r="F33" s="6">
        <v>4</v>
      </c>
      <c r="G33" s="6">
        <v>4</v>
      </c>
      <c r="H33" s="6">
        <v>81684</v>
      </c>
      <c r="I33" s="6" t="s">
        <v>543</v>
      </c>
      <c r="J33" s="6">
        <v>54484638</v>
      </c>
      <c r="K33" s="6" t="s">
        <v>3011</v>
      </c>
      <c r="L33" s="6" t="s">
        <v>3015</v>
      </c>
      <c r="M33" s="17">
        <v>99900</v>
      </c>
      <c r="N33" s="11" t="s">
        <v>19</v>
      </c>
      <c r="O33" s="12" t="s">
        <v>1579</v>
      </c>
      <c r="P33" s="6" t="s">
        <v>19</v>
      </c>
    </row>
    <row r="34" spans="1:16" x14ac:dyDescent="0.25">
      <c r="A34" s="6" t="s">
        <v>3476</v>
      </c>
      <c r="B34" s="7">
        <v>46121</v>
      </c>
      <c r="C34" s="7">
        <v>46127</v>
      </c>
      <c r="D34" s="6">
        <v>3271</v>
      </c>
      <c r="E34" s="6">
        <v>336</v>
      </c>
      <c r="F34" s="6">
        <v>4</v>
      </c>
      <c r="G34" s="6">
        <v>4</v>
      </c>
      <c r="H34" s="6">
        <v>81684</v>
      </c>
      <c r="I34" s="6" t="s">
        <v>543</v>
      </c>
      <c r="J34" s="6">
        <v>54484647</v>
      </c>
      <c r="K34" s="6" t="s">
        <v>3011</v>
      </c>
      <c r="L34" s="6" t="s">
        <v>3016</v>
      </c>
      <c r="M34" s="17">
        <v>99900</v>
      </c>
      <c r="N34" s="11" t="s">
        <v>19</v>
      </c>
      <c r="O34" s="12" t="s">
        <v>1579</v>
      </c>
      <c r="P34" s="6" t="s">
        <v>19</v>
      </c>
    </row>
    <row r="35" spans="1:16" x14ac:dyDescent="0.25">
      <c r="A35" s="6" t="s">
        <v>3476</v>
      </c>
      <c r="B35" s="7">
        <v>46121</v>
      </c>
      <c r="C35" s="7">
        <v>46127</v>
      </c>
      <c r="D35" s="6">
        <v>3271</v>
      </c>
      <c r="E35" s="6">
        <v>336</v>
      </c>
      <c r="F35" s="6">
        <v>4</v>
      </c>
      <c r="G35" s="6">
        <v>4</v>
      </c>
      <c r="H35" s="6">
        <v>81684</v>
      </c>
      <c r="I35" s="6" t="s">
        <v>543</v>
      </c>
      <c r="J35" s="6">
        <v>54484656</v>
      </c>
      <c r="K35" s="6" t="s">
        <v>3017</v>
      </c>
      <c r="L35" s="6" t="s">
        <v>3018</v>
      </c>
      <c r="M35" s="17">
        <v>99900</v>
      </c>
      <c r="N35" s="11" t="s">
        <v>19</v>
      </c>
      <c r="O35" s="12" t="s">
        <v>1579</v>
      </c>
      <c r="P35" s="6" t="s">
        <v>19</v>
      </c>
    </row>
    <row r="36" spans="1:16" x14ac:dyDescent="0.25">
      <c r="A36" s="6" t="s">
        <v>3476</v>
      </c>
      <c r="B36" s="7">
        <v>46121</v>
      </c>
      <c r="C36" s="7">
        <v>46127</v>
      </c>
      <c r="D36" s="6">
        <v>3271</v>
      </c>
      <c r="E36" s="6">
        <v>336</v>
      </c>
      <c r="F36" s="6">
        <v>4</v>
      </c>
      <c r="G36" s="6">
        <v>4</v>
      </c>
      <c r="H36" s="6">
        <v>81684</v>
      </c>
      <c r="I36" s="6" t="s">
        <v>543</v>
      </c>
      <c r="J36" s="6">
        <v>54484665</v>
      </c>
      <c r="K36" s="6" t="s">
        <v>3017</v>
      </c>
      <c r="L36" s="6" t="s">
        <v>3019</v>
      </c>
      <c r="M36" s="17">
        <v>99900</v>
      </c>
      <c r="N36" s="11" t="s">
        <v>19</v>
      </c>
      <c r="O36" s="12" t="s">
        <v>1579</v>
      </c>
      <c r="P36" s="6" t="s">
        <v>19</v>
      </c>
    </row>
    <row r="37" spans="1:16" x14ac:dyDescent="0.25">
      <c r="A37" s="6" t="s">
        <v>3476</v>
      </c>
      <c r="B37" s="7">
        <v>46121</v>
      </c>
      <c r="C37" s="7">
        <v>46127</v>
      </c>
      <c r="D37" s="6">
        <v>3271</v>
      </c>
      <c r="E37" s="6">
        <v>336</v>
      </c>
      <c r="F37" s="6">
        <v>4</v>
      </c>
      <c r="G37" s="6">
        <v>4</v>
      </c>
      <c r="H37" s="6">
        <v>81684</v>
      </c>
      <c r="I37" s="6" t="s">
        <v>543</v>
      </c>
      <c r="J37" s="6">
        <v>54484674</v>
      </c>
      <c r="K37" s="6" t="s">
        <v>3017</v>
      </c>
      <c r="L37" s="6" t="s">
        <v>3020</v>
      </c>
      <c r="M37" s="17">
        <v>99900</v>
      </c>
      <c r="N37" s="11" t="s">
        <v>19</v>
      </c>
      <c r="O37" s="12" t="s">
        <v>1579</v>
      </c>
      <c r="P37" s="6" t="s">
        <v>19</v>
      </c>
    </row>
    <row r="38" spans="1:16" x14ac:dyDescent="0.25">
      <c r="A38" s="6" t="s">
        <v>3476</v>
      </c>
      <c r="B38" s="7">
        <v>46121</v>
      </c>
      <c r="C38" s="7">
        <v>46127</v>
      </c>
      <c r="D38" s="6">
        <v>3271</v>
      </c>
      <c r="E38" s="6">
        <v>336</v>
      </c>
      <c r="F38" s="6">
        <v>4</v>
      </c>
      <c r="G38" s="6">
        <v>4</v>
      </c>
      <c r="H38" s="6">
        <v>81684</v>
      </c>
      <c r="I38" s="6" t="s">
        <v>543</v>
      </c>
      <c r="J38" s="6">
        <v>54484683</v>
      </c>
      <c r="K38" s="6" t="s">
        <v>3017</v>
      </c>
      <c r="L38" s="6" t="s">
        <v>3021</v>
      </c>
      <c r="M38" s="17">
        <v>99900</v>
      </c>
      <c r="N38" s="11" t="s">
        <v>19</v>
      </c>
      <c r="O38" s="12" t="s">
        <v>1579</v>
      </c>
      <c r="P38" s="6" t="s">
        <v>19</v>
      </c>
    </row>
    <row r="39" spans="1:16" x14ac:dyDescent="0.25">
      <c r="A39" s="6" t="s">
        <v>3476</v>
      </c>
      <c r="B39" s="7">
        <v>46121</v>
      </c>
      <c r="C39" s="7">
        <v>46127</v>
      </c>
      <c r="D39" s="6">
        <v>3271</v>
      </c>
      <c r="E39" s="6">
        <v>336</v>
      </c>
      <c r="F39" s="6">
        <v>4</v>
      </c>
      <c r="G39" s="6">
        <v>4</v>
      </c>
      <c r="H39" s="6">
        <v>81684</v>
      </c>
      <c r="I39" s="6" t="s">
        <v>543</v>
      </c>
      <c r="J39" s="6">
        <v>54484692</v>
      </c>
      <c r="K39" s="6" t="s">
        <v>3017</v>
      </c>
      <c r="L39" s="6" t="s">
        <v>3022</v>
      </c>
      <c r="M39" s="17">
        <v>99900</v>
      </c>
      <c r="N39" s="11" t="s">
        <v>19</v>
      </c>
      <c r="O39" s="12" t="s">
        <v>1579</v>
      </c>
      <c r="P39" s="6" t="s">
        <v>19</v>
      </c>
    </row>
    <row r="40" spans="1:16" x14ac:dyDescent="0.25">
      <c r="A40" s="6" t="s">
        <v>3476</v>
      </c>
      <c r="B40" s="7">
        <v>46121</v>
      </c>
      <c r="C40" s="7">
        <v>46127</v>
      </c>
      <c r="D40" s="6">
        <v>3271</v>
      </c>
      <c r="E40" s="6">
        <v>336</v>
      </c>
      <c r="F40" s="6">
        <v>4</v>
      </c>
      <c r="G40" s="6">
        <v>7</v>
      </c>
      <c r="H40" s="6">
        <v>81662</v>
      </c>
      <c r="I40" s="6" t="s">
        <v>543</v>
      </c>
      <c r="J40" s="6">
        <v>55025408</v>
      </c>
      <c r="K40" s="6" t="s">
        <v>3023</v>
      </c>
      <c r="L40" s="6" t="s">
        <v>3024</v>
      </c>
      <c r="M40" s="17">
        <v>139900</v>
      </c>
      <c r="N40" s="11" t="s">
        <v>19</v>
      </c>
      <c r="O40" s="12" t="s">
        <v>1579</v>
      </c>
      <c r="P40" s="6" t="s">
        <v>19</v>
      </c>
    </row>
    <row r="41" spans="1:16" x14ac:dyDescent="0.25">
      <c r="A41" s="6" t="s">
        <v>3476</v>
      </c>
      <c r="B41" s="7">
        <v>46121</v>
      </c>
      <c r="C41" s="7">
        <v>46127</v>
      </c>
      <c r="D41" s="6">
        <v>3271</v>
      </c>
      <c r="E41" s="6">
        <v>336</v>
      </c>
      <c r="F41" s="6">
        <v>4</v>
      </c>
      <c r="G41" s="6">
        <v>7</v>
      </c>
      <c r="H41" s="6">
        <v>81662</v>
      </c>
      <c r="I41" s="6" t="s">
        <v>543</v>
      </c>
      <c r="J41" s="6">
        <v>55025417</v>
      </c>
      <c r="K41" s="6" t="s">
        <v>3023</v>
      </c>
      <c r="L41" s="6" t="s">
        <v>3025</v>
      </c>
      <c r="M41" s="17">
        <v>139900</v>
      </c>
      <c r="N41" s="11" t="s">
        <v>19</v>
      </c>
      <c r="O41" s="12" t="s">
        <v>1579</v>
      </c>
      <c r="P41" s="6" t="s">
        <v>19</v>
      </c>
    </row>
    <row r="42" spans="1:16" x14ac:dyDescent="0.25">
      <c r="A42" s="6" t="s">
        <v>3476</v>
      </c>
      <c r="B42" s="7">
        <v>46121</v>
      </c>
      <c r="C42" s="7">
        <v>46127</v>
      </c>
      <c r="D42" s="6">
        <v>3271</v>
      </c>
      <c r="E42" s="6">
        <v>336</v>
      </c>
      <c r="F42" s="6">
        <v>4</v>
      </c>
      <c r="G42" s="6">
        <v>7</v>
      </c>
      <c r="H42" s="6">
        <v>81662</v>
      </c>
      <c r="I42" s="6" t="s">
        <v>543</v>
      </c>
      <c r="J42" s="6">
        <v>55025426</v>
      </c>
      <c r="K42" s="6" t="s">
        <v>3023</v>
      </c>
      <c r="L42" s="6" t="s">
        <v>3026</v>
      </c>
      <c r="M42" s="17">
        <v>139900</v>
      </c>
      <c r="N42" s="11" t="s">
        <v>19</v>
      </c>
      <c r="O42" s="12" t="s">
        <v>1579</v>
      </c>
      <c r="P42" s="6" t="s">
        <v>19</v>
      </c>
    </row>
    <row r="43" spans="1:16" x14ac:dyDescent="0.25">
      <c r="A43" s="6" t="s">
        <v>3476</v>
      </c>
      <c r="B43" s="7">
        <v>46121</v>
      </c>
      <c r="C43" s="7">
        <v>46127</v>
      </c>
      <c r="D43" s="6">
        <v>3271</v>
      </c>
      <c r="E43" s="6">
        <v>336</v>
      </c>
      <c r="F43" s="6">
        <v>4</v>
      </c>
      <c r="G43" s="6">
        <v>7</v>
      </c>
      <c r="H43" s="6">
        <v>81662</v>
      </c>
      <c r="I43" s="6" t="s">
        <v>543</v>
      </c>
      <c r="J43" s="6">
        <v>55025435</v>
      </c>
      <c r="K43" s="6" t="s">
        <v>3023</v>
      </c>
      <c r="L43" s="6" t="s">
        <v>3027</v>
      </c>
      <c r="M43" s="17">
        <v>139900</v>
      </c>
      <c r="N43" s="11" t="s">
        <v>19</v>
      </c>
      <c r="O43" s="12" t="s">
        <v>1579</v>
      </c>
      <c r="P43" s="6" t="s">
        <v>19</v>
      </c>
    </row>
    <row r="44" spans="1:16" x14ac:dyDescent="0.25">
      <c r="A44" s="6" t="s">
        <v>3476</v>
      </c>
      <c r="B44" s="7">
        <v>46121</v>
      </c>
      <c r="C44" s="7">
        <v>46127</v>
      </c>
      <c r="D44" s="6">
        <v>3271</v>
      </c>
      <c r="E44" s="6">
        <v>336</v>
      </c>
      <c r="F44" s="6">
        <v>4</v>
      </c>
      <c r="G44" s="6">
        <v>7</v>
      </c>
      <c r="H44" s="6">
        <v>81662</v>
      </c>
      <c r="I44" s="6" t="s">
        <v>543</v>
      </c>
      <c r="J44" s="6">
        <v>55025444</v>
      </c>
      <c r="K44" s="6" t="s">
        <v>3023</v>
      </c>
      <c r="L44" s="6" t="s">
        <v>3028</v>
      </c>
      <c r="M44" s="17">
        <v>139900</v>
      </c>
      <c r="N44" s="11" t="s">
        <v>19</v>
      </c>
      <c r="O44" s="12" t="s">
        <v>1579</v>
      </c>
      <c r="P44" s="6" t="s">
        <v>19</v>
      </c>
    </row>
    <row r="45" spans="1:16" x14ac:dyDescent="0.25">
      <c r="A45" s="6" t="s">
        <v>3476</v>
      </c>
      <c r="B45" s="7">
        <v>46121</v>
      </c>
      <c r="C45" s="7">
        <v>46127</v>
      </c>
      <c r="D45" s="6">
        <v>3271</v>
      </c>
      <c r="E45" s="6">
        <v>336</v>
      </c>
      <c r="F45" s="6">
        <v>4</v>
      </c>
      <c r="G45" s="6">
        <v>7</v>
      </c>
      <c r="H45" s="6">
        <v>81662</v>
      </c>
      <c r="I45" s="6" t="s">
        <v>543</v>
      </c>
      <c r="J45" s="6">
        <v>55025453</v>
      </c>
      <c r="K45" s="6" t="s">
        <v>3029</v>
      </c>
      <c r="L45" s="6" t="s">
        <v>3030</v>
      </c>
      <c r="M45" s="17">
        <v>139900</v>
      </c>
      <c r="N45" s="11" t="s">
        <v>19</v>
      </c>
      <c r="O45" s="12" t="s">
        <v>1579</v>
      </c>
      <c r="P45" s="6" t="s">
        <v>19</v>
      </c>
    </row>
    <row r="46" spans="1:16" x14ac:dyDescent="0.25">
      <c r="A46" s="6" t="s">
        <v>3476</v>
      </c>
      <c r="B46" s="7">
        <v>46121</v>
      </c>
      <c r="C46" s="7">
        <v>46127</v>
      </c>
      <c r="D46" s="6">
        <v>3271</v>
      </c>
      <c r="E46" s="6">
        <v>336</v>
      </c>
      <c r="F46" s="6">
        <v>4</v>
      </c>
      <c r="G46" s="6">
        <v>7</v>
      </c>
      <c r="H46" s="6">
        <v>81662</v>
      </c>
      <c r="I46" s="6" t="s">
        <v>543</v>
      </c>
      <c r="J46" s="6">
        <v>55025462</v>
      </c>
      <c r="K46" s="6" t="s">
        <v>3029</v>
      </c>
      <c r="L46" s="6" t="s">
        <v>3031</v>
      </c>
      <c r="M46" s="17">
        <v>139900</v>
      </c>
      <c r="N46" s="11" t="s">
        <v>19</v>
      </c>
      <c r="O46" s="12" t="s">
        <v>1579</v>
      </c>
      <c r="P46" s="6" t="s">
        <v>19</v>
      </c>
    </row>
    <row r="47" spans="1:16" x14ac:dyDescent="0.25">
      <c r="A47" s="6" t="s">
        <v>3476</v>
      </c>
      <c r="B47" s="7">
        <v>46121</v>
      </c>
      <c r="C47" s="7">
        <v>46127</v>
      </c>
      <c r="D47" s="6">
        <v>3271</v>
      </c>
      <c r="E47" s="6">
        <v>336</v>
      </c>
      <c r="F47" s="6">
        <v>4</v>
      </c>
      <c r="G47" s="6">
        <v>7</v>
      </c>
      <c r="H47" s="6">
        <v>81662</v>
      </c>
      <c r="I47" s="6" t="s">
        <v>543</v>
      </c>
      <c r="J47" s="6">
        <v>55025471</v>
      </c>
      <c r="K47" s="6" t="s">
        <v>3029</v>
      </c>
      <c r="L47" s="6" t="s">
        <v>3032</v>
      </c>
      <c r="M47" s="17">
        <v>139900</v>
      </c>
      <c r="N47" s="11" t="s">
        <v>19</v>
      </c>
      <c r="O47" s="12" t="s">
        <v>1579</v>
      </c>
      <c r="P47" s="6" t="s">
        <v>19</v>
      </c>
    </row>
    <row r="48" spans="1:16" x14ac:dyDescent="0.25">
      <c r="A48" s="6" t="s">
        <v>3476</v>
      </c>
      <c r="B48" s="7">
        <v>46121</v>
      </c>
      <c r="C48" s="7">
        <v>46127</v>
      </c>
      <c r="D48" s="6">
        <v>3271</v>
      </c>
      <c r="E48" s="6">
        <v>336</v>
      </c>
      <c r="F48" s="6">
        <v>4</v>
      </c>
      <c r="G48" s="6">
        <v>7</v>
      </c>
      <c r="H48" s="6">
        <v>81662</v>
      </c>
      <c r="I48" s="6" t="s">
        <v>543</v>
      </c>
      <c r="J48" s="6">
        <v>55025480</v>
      </c>
      <c r="K48" s="6" t="s">
        <v>3029</v>
      </c>
      <c r="L48" s="6" t="s">
        <v>3033</v>
      </c>
      <c r="M48" s="17">
        <v>139900</v>
      </c>
      <c r="N48" s="11" t="s">
        <v>19</v>
      </c>
      <c r="O48" s="12" t="s">
        <v>1579</v>
      </c>
      <c r="P48" s="6" t="s">
        <v>19</v>
      </c>
    </row>
    <row r="49" spans="1:16" x14ac:dyDescent="0.25">
      <c r="A49" s="6" t="s">
        <v>3476</v>
      </c>
      <c r="B49" s="7">
        <v>46121</v>
      </c>
      <c r="C49" s="7">
        <v>46127</v>
      </c>
      <c r="D49" s="6">
        <v>3271</v>
      </c>
      <c r="E49" s="6">
        <v>336</v>
      </c>
      <c r="F49" s="6">
        <v>4</v>
      </c>
      <c r="G49" s="6">
        <v>7</v>
      </c>
      <c r="H49" s="6">
        <v>81662</v>
      </c>
      <c r="I49" s="6" t="s">
        <v>543</v>
      </c>
      <c r="J49" s="6">
        <v>55025499</v>
      </c>
      <c r="K49" s="6" t="s">
        <v>3029</v>
      </c>
      <c r="L49" s="6" t="s">
        <v>3034</v>
      </c>
      <c r="M49" s="17">
        <v>139900</v>
      </c>
      <c r="N49" s="11" t="s">
        <v>19</v>
      </c>
      <c r="O49" s="12" t="s">
        <v>1579</v>
      </c>
      <c r="P49" s="6" t="s">
        <v>19</v>
      </c>
    </row>
    <row r="50" spans="1:16" x14ac:dyDescent="0.25">
      <c r="A50" s="6" t="s">
        <v>3476</v>
      </c>
      <c r="B50" s="7">
        <v>46121</v>
      </c>
      <c r="C50" s="7">
        <v>46127</v>
      </c>
      <c r="D50" s="6">
        <v>3271</v>
      </c>
      <c r="E50" s="6">
        <v>336</v>
      </c>
      <c r="F50" s="6">
        <v>4</v>
      </c>
      <c r="G50" s="6">
        <v>7</v>
      </c>
      <c r="H50" s="6">
        <v>81662</v>
      </c>
      <c r="I50" s="6" t="s">
        <v>543</v>
      </c>
      <c r="J50" s="6">
        <v>55025506</v>
      </c>
      <c r="K50" s="6" t="s">
        <v>3035</v>
      </c>
      <c r="L50" s="6" t="s">
        <v>3036</v>
      </c>
      <c r="M50" s="17">
        <v>139900</v>
      </c>
      <c r="N50" s="11" t="s">
        <v>19</v>
      </c>
      <c r="O50" s="12" t="s">
        <v>1579</v>
      </c>
      <c r="P50" s="6" t="s">
        <v>19</v>
      </c>
    </row>
    <row r="51" spans="1:16" x14ac:dyDescent="0.25">
      <c r="A51" s="6" t="s">
        <v>3476</v>
      </c>
      <c r="B51" s="7">
        <v>46121</v>
      </c>
      <c r="C51" s="7">
        <v>46127</v>
      </c>
      <c r="D51" s="6">
        <v>3271</v>
      </c>
      <c r="E51" s="6">
        <v>336</v>
      </c>
      <c r="F51" s="6">
        <v>4</v>
      </c>
      <c r="G51" s="6">
        <v>7</v>
      </c>
      <c r="H51" s="6">
        <v>81662</v>
      </c>
      <c r="I51" s="6" t="s">
        <v>543</v>
      </c>
      <c r="J51" s="6">
        <v>55025515</v>
      </c>
      <c r="K51" s="6" t="s">
        <v>3035</v>
      </c>
      <c r="L51" s="6" t="s">
        <v>3037</v>
      </c>
      <c r="M51" s="17">
        <v>139900</v>
      </c>
      <c r="N51" s="11" t="s">
        <v>19</v>
      </c>
      <c r="O51" s="12" t="s">
        <v>1579</v>
      </c>
      <c r="P51" s="6" t="s">
        <v>19</v>
      </c>
    </row>
    <row r="52" spans="1:16" x14ac:dyDescent="0.25">
      <c r="A52" s="6" t="s">
        <v>3476</v>
      </c>
      <c r="B52" s="7">
        <v>46121</v>
      </c>
      <c r="C52" s="7">
        <v>46127</v>
      </c>
      <c r="D52" s="6">
        <v>3271</v>
      </c>
      <c r="E52" s="6">
        <v>336</v>
      </c>
      <c r="F52" s="6">
        <v>4</v>
      </c>
      <c r="G52" s="6">
        <v>7</v>
      </c>
      <c r="H52" s="6">
        <v>81662</v>
      </c>
      <c r="I52" s="6" t="s">
        <v>543</v>
      </c>
      <c r="J52" s="6">
        <v>55025524</v>
      </c>
      <c r="K52" s="6" t="s">
        <v>3035</v>
      </c>
      <c r="L52" s="6" t="s">
        <v>3038</v>
      </c>
      <c r="M52" s="17">
        <v>139900</v>
      </c>
      <c r="N52" s="11" t="s">
        <v>19</v>
      </c>
      <c r="O52" s="12" t="s">
        <v>1579</v>
      </c>
      <c r="P52" s="6" t="s">
        <v>19</v>
      </c>
    </row>
    <row r="53" spans="1:16" x14ac:dyDescent="0.25">
      <c r="A53" s="6" t="s">
        <v>3476</v>
      </c>
      <c r="B53" s="7">
        <v>46121</v>
      </c>
      <c r="C53" s="7">
        <v>46127</v>
      </c>
      <c r="D53" s="6">
        <v>3271</v>
      </c>
      <c r="E53" s="6">
        <v>336</v>
      </c>
      <c r="F53" s="6">
        <v>4</v>
      </c>
      <c r="G53" s="6">
        <v>7</v>
      </c>
      <c r="H53" s="6">
        <v>81662</v>
      </c>
      <c r="I53" s="6" t="s">
        <v>543</v>
      </c>
      <c r="J53" s="6">
        <v>55025533</v>
      </c>
      <c r="K53" s="6" t="s">
        <v>3035</v>
      </c>
      <c r="L53" s="6" t="s">
        <v>3039</v>
      </c>
      <c r="M53" s="17">
        <v>139900</v>
      </c>
      <c r="N53" s="11" t="s">
        <v>19</v>
      </c>
      <c r="O53" s="12" t="s">
        <v>1579</v>
      </c>
      <c r="P53" s="6" t="s">
        <v>19</v>
      </c>
    </row>
    <row r="54" spans="1:16" x14ac:dyDescent="0.25">
      <c r="A54" s="6" t="s">
        <v>3476</v>
      </c>
      <c r="B54" s="7">
        <v>46121</v>
      </c>
      <c r="C54" s="7">
        <v>46127</v>
      </c>
      <c r="D54" s="6">
        <v>3271</v>
      </c>
      <c r="E54" s="6">
        <v>336</v>
      </c>
      <c r="F54" s="6">
        <v>4</v>
      </c>
      <c r="G54" s="6">
        <v>7</v>
      </c>
      <c r="H54" s="6">
        <v>81662</v>
      </c>
      <c r="I54" s="6" t="s">
        <v>543</v>
      </c>
      <c r="J54" s="6">
        <v>55025542</v>
      </c>
      <c r="K54" s="6" t="s">
        <v>3035</v>
      </c>
      <c r="L54" s="6" t="s">
        <v>3040</v>
      </c>
      <c r="M54" s="17">
        <v>139900</v>
      </c>
      <c r="N54" s="11" t="s">
        <v>19</v>
      </c>
      <c r="O54" s="12" t="s">
        <v>1579</v>
      </c>
      <c r="P54" s="6" t="s">
        <v>19</v>
      </c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F40B2-A4A0-45E3-9C12-F6ABC26F8B56}">
  <dimension ref="A1:P52"/>
  <sheetViews>
    <sheetView workbookViewId="0">
      <selection activeCell="A9" sqref="A9"/>
    </sheetView>
  </sheetViews>
  <sheetFormatPr defaultRowHeight="15" x14ac:dyDescent="0.25"/>
  <cols>
    <col min="1" max="1" width="34.85546875" bestFit="1" customWidth="1"/>
    <col min="2" max="2" width="10.42578125" bestFit="1" customWidth="1"/>
    <col min="3" max="3" width="10.1406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7109375" bestFit="1" customWidth="1"/>
    <col min="12" max="12" width="74.42578125" bestFit="1" customWidth="1"/>
    <col min="13" max="13" width="15.5703125" bestFit="1" customWidth="1"/>
    <col min="14" max="14" width="7.42578125" bestFit="1" customWidth="1"/>
    <col min="15" max="15" width="13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3511</v>
      </c>
      <c r="B2" s="7">
        <v>46121</v>
      </c>
      <c r="C2" s="7">
        <v>46127</v>
      </c>
      <c r="D2" s="6">
        <v>3271</v>
      </c>
      <c r="E2" s="6">
        <v>336</v>
      </c>
      <c r="F2" s="6">
        <v>4</v>
      </c>
      <c r="G2" s="6">
        <v>6</v>
      </c>
      <c r="H2" s="6">
        <v>81328</v>
      </c>
      <c r="I2" s="6" t="s">
        <v>543</v>
      </c>
      <c r="J2" s="6">
        <v>55025006</v>
      </c>
      <c r="K2" s="6" t="s">
        <v>2915</v>
      </c>
      <c r="L2" s="6" t="s">
        <v>2916</v>
      </c>
      <c r="M2" s="17">
        <v>59900</v>
      </c>
      <c r="N2" s="11" t="s">
        <v>19</v>
      </c>
      <c r="O2" s="12" t="s">
        <v>1579</v>
      </c>
      <c r="P2" s="6" t="s">
        <v>19</v>
      </c>
    </row>
    <row r="3" spans="1:16" x14ac:dyDescent="0.25">
      <c r="A3" s="6" t="s">
        <v>3511</v>
      </c>
      <c r="B3" s="7">
        <v>46121</v>
      </c>
      <c r="C3" s="7">
        <v>46127</v>
      </c>
      <c r="D3" s="6">
        <v>3271</v>
      </c>
      <c r="E3" s="6">
        <v>336</v>
      </c>
      <c r="F3" s="6">
        <v>4</v>
      </c>
      <c r="G3" s="6">
        <v>6</v>
      </c>
      <c r="H3" s="6">
        <v>81328</v>
      </c>
      <c r="I3" s="6" t="s">
        <v>543</v>
      </c>
      <c r="J3" s="6">
        <v>55025015</v>
      </c>
      <c r="K3" s="6" t="s">
        <v>2915</v>
      </c>
      <c r="L3" s="6" t="s">
        <v>2917</v>
      </c>
      <c r="M3" s="17">
        <v>59900</v>
      </c>
      <c r="N3" s="11" t="s">
        <v>19</v>
      </c>
      <c r="O3" s="12" t="s">
        <v>1579</v>
      </c>
      <c r="P3" s="6" t="s">
        <v>19</v>
      </c>
    </row>
    <row r="4" spans="1:16" x14ac:dyDescent="0.25">
      <c r="A4" s="6" t="s">
        <v>3511</v>
      </c>
      <c r="B4" s="7">
        <v>46121</v>
      </c>
      <c r="C4" s="7">
        <v>46127</v>
      </c>
      <c r="D4" s="6">
        <v>3271</v>
      </c>
      <c r="E4" s="6">
        <v>336</v>
      </c>
      <c r="F4" s="6">
        <v>4</v>
      </c>
      <c r="G4" s="6">
        <v>6</v>
      </c>
      <c r="H4" s="6">
        <v>81328</v>
      </c>
      <c r="I4" s="6" t="s">
        <v>543</v>
      </c>
      <c r="J4" s="6">
        <v>55025024</v>
      </c>
      <c r="K4" s="6" t="s">
        <v>2915</v>
      </c>
      <c r="L4" s="6" t="s">
        <v>2918</v>
      </c>
      <c r="M4" s="17">
        <v>59900</v>
      </c>
      <c r="N4" s="11" t="s">
        <v>19</v>
      </c>
      <c r="O4" s="12" t="s">
        <v>1579</v>
      </c>
      <c r="P4" s="6" t="s">
        <v>19</v>
      </c>
    </row>
    <row r="5" spans="1:16" x14ac:dyDescent="0.25">
      <c r="A5" s="6" t="s">
        <v>3511</v>
      </c>
      <c r="B5" s="7">
        <v>46121</v>
      </c>
      <c r="C5" s="7">
        <v>46127</v>
      </c>
      <c r="D5" s="6">
        <v>3271</v>
      </c>
      <c r="E5" s="6">
        <v>336</v>
      </c>
      <c r="F5" s="6">
        <v>4</v>
      </c>
      <c r="G5" s="6">
        <v>6</v>
      </c>
      <c r="H5" s="6">
        <v>81328</v>
      </c>
      <c r="I5" s="6" t="s">
        <v>543</v>
      </c>
      <c r="J5" s="6">
        <v>55025033</v>
      </c>
      <c r="K5" s="6" t="s">
        <v>2915</v>
      </c>
      <c r="L5" s="6" t="s">
        <v>2919</v>
      </c>
      <c r="M5" s="17">
        <v>59900</v>
      </c>
      <c r="N5" s="11" t="s">
        <v>19</v>
      </c>
      <c r="O5" s="12" t="s">
        <v>1579</v>
      </c>
      <c r="P5" s="6" t="s">
        <v>19</v>
      </c>
    </row>
    <row r="6" spans="1:16" x14ac:dyDescent="0.25">
      <c r="A6" s="6" t="s">
        <v>3511</v>
      </c>
      <c r="B6" s="7">
        <v>46121</v>
      </c>
      <c r="C6" s="7">
        <v>46127</v>
      </c>
      <c r="D6" s="6">
        <v>3271</v>
      </c>
      <c r="E6" s="6">
        <v>336</v>
      </c>
      <c r="F6" s="6">
        <v>4</v>
      </c>
      <c r="G6" s="6">
        <v>6</v>
      </c>
      <c r="H6" s="6">
        <v>81328</v>
      </c>
      <c r="I6" s="6" t="s">
        <v>543</v>
      </c>
      <c r="J6" s="6">
        <v>55025042</v>
      </c>
      <c r="K6" s="6" t="s">
        <v>2915</v>
      </c>
      <c r="L6" s="6" t="s">
        <v>2920</v>
      </c>
      <c r="M6" s="17">
        <v>59900</v>
      </c>
      <c r="N6" s="11" t="s">
        <v>19</v>
      </c>
      <c r="O6" s="12" t="s">
        <v>1579</v>
      </c>
      <c r="P6" s="6" t="s">
        <v>19</v>
      </c>
    </row>
    <row r="7" spans="1:16" x14ac:dyDescent="0.25">
      <c r="A7" s="6" t="s">
        <v>3511</v>
      </c>
      <c r="B7" s="7">
        <v>46121</v>
      </c>
      <c r="C7" s="7">
        <v>46127</v>
      </c>
      <c r="D7" s="6">
        <v>3271</v>
      </c>
      <c r="E7" s="6">
        <v>336</v>
      </c>
      <c r="F7" s="6">
        <v>4</v>
      </c>
      <c r="G7" s="6">
        <v>6</v>
      </c>
      <c r="H7" s="6">
        <v>81328</v>
      </c>
      <c r="I7" s="6" t="s">
        <v>543</v>
      </c>
      <c r="J7" s="6">
        <v>55025051</v>
      </c>
      <c r="K7" s="6" t="s">
        <v>2921</v>
      </c>
      <c r="L7" s="6" t="s">
        <v>2922</v>
      </c>
      <c r="M7" s="17">
        <v>59900</v>
      </c>
      <c r="N7" s="11" t="s">
        <v>19</v>
      </c>
      <c r="O7" s="12" t="s">
        <v>1579</v>
      </c>
      <c r="P7" s="6" t="s">
        <v>19</v>
      </c>
    </row>
    <row r="8" spans="1:16" x14ac:dyDescent="0.25">
      <c r="A8" s="6" t="s">
        <v>3511</v>
      </c>
      <c r="B8" s="7">
        <v>46121</v>
      </c>
      <c r="C8" s="7">
        <v>46127</v>
      </c>
      <c r="D8" s="6">
        <v>3271</v>
      </c>
      <c r="E8" s="6">
        <v>336</v>
      </c>
      <c r="F8" s="6">
        <v>4</v>
      </c>
      <c r="G8" s="6">
        <v>6</v>
      </c>
      <c r="H8" s="6">
        <v>81328</v>
      </c>
      <c r="I8" s="6" t="s">
        <v>543</v>
      </c>
      <c r="J8" s="6">
        <v>55025060</v>
      </c>
      <c r="K8" s="6" t="s">
        <v>2921</v>
      </c>
      <c r="L8" s="6" t="s">
        <v>2923</v>
      </c>
      <c r="M8" s="17">
        <v>59900</v>
      </c>
      <c r="N8" s="11" t="s">
        <v>19</v>
      </c>
      <c r="O8" s="12" t="s">
        <v>1579</v>
      </c>
      <c r="P8" s="6" t="s">
        <v>19</v>
      </c>
    </row>
    <row r="9" spans="1:16" x14ac:dyDescent="0.25">
      <c r="A9" s="6" t="s">
        <v>3511</v>
      </c>
      <c r="B9" s="7">
        <v>46121</v>
      </c>
      <c r="C9" s="7">
        <v>46127</v>
      </c>
      <c r="D9" s="6">
        <v>3271</v>
      </c>
      <c r="E9" s="6">
        <v>336</v>
      </c>
      <c r="F9" s="6">
        <v>4</v>
      </c>
      <c r="G9" s="6">
        <v>6</v>
      </c>
      <c r="H9" s="6">
        <v>81328</v>
      </c>
      <c r="I9" s="6" t="s">
        <v>543</v>
      </c>
      <c r="J9" s="6">
        <v>55025079</v>
      </c>
      <c r="K9" s="6" t="s">
        <v>2921</v>
      </c>
      <c r="L9" s="6" t="s">
        <v>2924</v>
      </c>
      <c r="M9" s="17">
        <v>59900</v>
      </c>
      <c r="N9" s="11" t="s">
        <v>19</v>
      </c>
      <c r="O9" s="12" t="s">
        <v>1579</v>
      </c>
      <c r="P9" s="6" t="s">
        <v>19</v>
      </c>
    </row>
    <row r="10" spans="1:16" x14ac:dyDescent="0.25">
      <c r="A10" s="6" t="s">
        <v>3511</v>
      </c>
      <c r="B10" s="7">
        <v>46121</v>
      </c>
      <c r="C10" s="7">
        <v>46127</v>
      </c>
      <c r="D10" s="6">
        <v>3271</v>
      </c>
      <c r="E10" s="6">
        <v>336</v>
      </c>
      <c r="F10" s="6">
        <v>4</v>
      </c>
      <c r="G10" s="6">
        <v>6</v>
      </c>
      <c r="H10" s="6">
        <v>81328</v>
      </c>
      <c r="I10" s="6" t="s">
        <v>543</v>
      </c>
      <c r="J10" s="6">
        <v>55025088</v>
      </c>
      <c r="K10" s="6" t="s">
        <v>2921</v>
      </c>
      <c r="L10" s="6" t="s">
        <v>2925</v>
      </c>
      <c r="M10" s="17">
        <v>59900</v>
      </c>
      <c r="N10" s="11" t="s">
        <v>19</v>
      </c>
      <c r="O10" s="12" t="s">
        <v>1579</v>
      </c>
      <c r="P10" s="6" t="s">
        <v>19</v>
      </c>
    </row>
    <row r="11" spans="1:16" x14ac:dyDescent="0.25">
      <c r="A11" s="6" t="s">
        <v>3511</v>
      </c>
      <c r="B11" s="7">
        <v>46121</v>
      </c>
      <c r="C11" s="7">
        <v>46127</v>
      </c>
      <c r="D11" s="6">
        <v>3271</v>
      </c>
      <c r="E11" s="6">
        <v>336</v>
      </c>
      <c r="F11" s="6">
        <v>4</v>
      </c>
      <c r="G11" s="6">
        <v>6</v>
      </c>
      <c r="H11" s="6">
        <v>81328</v>
      </c>
      <c r="I11" s="6" t="s">
        <v>543</v>
      </c>
      <c r="J11" s="6">
        <v>55025097</v>
      </c>
      <c r="K11" s="6" t="s">
        <v>2921</v>
      </c>
      <c r="L11" s="6" t="s">
        <v>2926</v>
      </c>
      <c r="M11" s="17">
        <v>59900</v>
      </c>
      <c r="N11" s="11" t="s">
        <v>19</v>
      </c>
      <c r="O11" s="12" t="s">
        <v>1579</v>
      </c>
      <c r="P11" s="6" t="s">
        <v>19</v>
      </c>
    </row>
    <row r="12" spans="1:16" x14ac:dyDescent="0.25">
      <c r="A12" s="6" t="s">
        <v>3511</v>
      </c>
      <c r="B12" s="7">
        <v>46121</v>
      </c>
      <c r="C12" s="7">
        <v>46127</v>
      </c>
      <c r="D12" s="6">
        <v>3271</v>
      </c>
      <c r="E12" s="6">
        <v>336</v>
      </c>
      <c r="F12" s="6">
        <v>4</v>
      </c>
      <c r="G12" s="6">
        <v>6</v>
      </c>
      <c r="H12" s="6">
        <v>81328</v>
      </c>
      <c r="I12" s="6" t="s">
        <v>543</v>
      </c>
      <c r="J12" s="6">
        <v>55025104</v>
      </c>
      <c r="K12" s="6" t="s">
        <v>2927</v>
      </c>
      <c r="L12" s="6" t="s">
        <v>2928</v>
      </c>
      <c r="M12" s="17">
        <v>59900</v>
      </c>
      <c r="N12" s="11" t="s">
        <v>19</v>
      </c>
      <c r="O12" s="12" t="s">
        <v>1579</v>
      </c>
      <c r="P12" s="6" t="s">
        <v>19</v>
      </c>
    </row>
    <row r="13" spans="1:16" x14ac:dyDescent="0.25">
      <c r="A13" s="6" t="s">
        <v>3511</v>
      </c>
      <c r="B13" s="7">
        <v>46121</v>
      </c>
      <c r="C13" s="7">
        <v>46127</v>
      </c>
      <c r="D13" s="6">
        <v>3271</v>
      </c>
      <c r="E13" s="6">
        <v>336</v>
      </c>
      <c r="F13" s="6">
        <v>4</v>
      </c>
      <c r="G13" s="6">
        <v>6</v>
      </c>
      <c r="H13" s="6">
        <v>81328</v>
      </c>
      <c r="I13" s="6" t="s">
        <v>543</v>
      </c>
      <c r="J13" s="6">
        <v>55025113</v>
      </c>
      <c r="K13" s="6" t="s">
        <v>2927</v>
      </c>
      <c r="L13" s="6" t="s">
        <v>2929</v>
      </c>
      <c r="M13" s="17">
        <v>59900</v>
      </c>
      <c r="N13" s="11" t="s">
        <v>19</v>
      </c>
      <c r="O13" s="12" t="s">
        <v>1579</v>
      </c>
      <c r="P13" s="6" t="s">
        <v>19</v>
      </c>
    </row>
    <row r="14" spans="1:16" x14ac:dyDescent="0.25">
      <c r="A14" s="6" t="s">
        <v>3511</v>
      </c>
      <c r="B14" s="7">
        <v>46121</v>
      </c>
      <c r="C14" s="7">
        <v>46127</v>
      </c>
      <c r="D14" s="6">
        <v>3271</v>
      </c>
      <c r="E14" s="6">
        <v>336</v>
      </c>
      <c r="F14" s="6">
        <v>4</v>
      </c>
      <c r="G14" s="6">
        <v>6</v>
      </c>
      <c r="H14" s="6">
        <v>81328</v>
      </c>
      <c r="I14" s="6" t="s">
        <v>543</v>
      </c>
      <c r="J14" s="6">
        <v>55025122</v>
      </c>
      <c r="K14" s="6" t="s">
        <v>2927</v>
      </c>
      <c r="L14" s="6" t="s">
        <v>2930</v>
      </c>
      <c r="M14" s="17">
        <v>59900</v>
      </c>
      <c r="N14" s="11" t="s">
        <v>19</v>
      </c>
      <c r="O14" s="12" t="s">
        <v>1579</v>
      </c>
      <c r="P14" s="6" t="s">
        <v>19</v>
      </c>
    </row>
    <row r="15" spans="1:16" x14ac:dyDescent="0.25">
      <c r="A15" s="6" t="s">
        <v>3511</v>
      </c>
      <c r="B15" s="7">
        <v>46121</v>
      </c>
      <c r="C15" s="7">
        <v>46127</v>
      </c>
      <c r="D15" s="6">
        <v>3271</v>
      </c>
      <c r="E15" s="6">
        <v>336</v>
      </c>
      <c r="F15" s="6">
        <v>4</v>
      </c>
      <c r="G15" s="6">
        <v>6</v>
      </c>
      <c r="H15" s="6">
        <v>81328</v>
      </c>
      <c r="I15" s="6" t="s">
        <v>543</v>
      </c>
      <c r="J15" s="6">
        <v>55025131</v>
      </c>
      <c r="K15" s="6" t="s">
        <v>2927</v>
      </c>
      <c r="L15" s="6" t="s">
        <v>2931</v>
      </c>
      <c r="M15" s="17">
        <v>59900</v>
      </c>
      <c r="N15" s="11" t="s">
        <v>19</v>
      </c>
      <c r="O15" s="12" t="s">
        <v>1579</v>
      </c>
      <c r="P15" s="6" t="s">
        <v>19</v>
      </c>
    </row>
    <row r="16" spans="1:16" x14ac:dyDescent="0.25">
      <c r="A16" s="6" t="s">
        <v>3511</v>
      </c>
      <c r="B16" s="7">
        <v>46121</v>
      </c>
      <c r="C16" s="7">
        <v>46127</v>
      </c>
      <c r="D16" s="6">
        <v>3271</v>
      </c>
      <c r="E16" s="6">
        <v>336</v>
      </c>
      <c r="F16" s="6">
        <v>4</v>
      </c>
      <c r="G16" s="6">
        <v>6</v>
      </c>
      <c r="H16" s="6">
        <v>81328</v>
      </c>
      <c r="I16" s="6" t="s">
        <v>543</v>
      </c>
      <c r="J16" s="6">
        <v>55025140</v>
      </c>
      <c r="K16" s="6" t="s">
        <v>2927</v>
      </c>
      <c r="L16" s="6" t="s">
        <v>2932</v>
      </c>
      <c r="M16" s="17">
        <v>59900</v>
      </c>
      <c r="N16" s="11" t="s">
        <v>19</v>
      </c>
      <c r="O16" s="12" t="s">
        <v>1579</v>
      </c>
      <c r="P16" s="6" t="s">
        <v>19</v>
      </c>
    </row>
    <row r="17" spans="1:16" x14ac:dyDescent="0.25">
      <c r="A17" s="6" t="s">
        <v>3511</v>
      </c>
      <c r="B17" s="7">
        <v>46121</v>
      </c>
      <c r="C17" s="7">
        <v>46127</v>
      </c>
      <c r="D17" s="6">
        <v>3271</v>
      </c>
      <c r="E17" s="6">
        <v>336</v>
      </c>
      <c r="F17" s="6">
        <v>4</v>
      </c>
      <c r="G17" s="6">
        <v>6</v>
      </c>
      <c r="H17" s="6">
        <v>81328</v>
      </c>
      <c r="I17" s="6" t="s">
        <v>543</v>
      </c>
      <c r="J17" s="6">
        <v>55025159</v>
      </c>
      <c r="K17" s="6" t="s">
        <v>2933</v>
      </c>
      <c r="L17" s="6" t="s">
        <v>2934</v>
      </c>
      <c r="M17" s="17">
        <v>59900</v>
      </c>
      <c r="N17" s="11" t="s">
        <v>19</v>
      </c>
      <c r="O17" s="12" t="s">
        <v>1579</v>
      </c>
      <c r="P17" s="6" t="s">
        <v>19</v>
      </c>
    </row>
    <row r="18" spans="1:16" x14ac:dyDescent="0.25">
      <c r="A18" s="6" t="s">
        <v>3511</v>
      </c>
      <c r="B18" s="7">
        <v>46121</v>
      </c>
      <c r="C18" s="7">
        <v>46127</v>
      </c>
      <c r="D18" s="6">
        <v>3271</v>
      </c>
      <c r="E18" s="6">
        <v>336</v>
      </c>
      <c r="F18" s="6">
        <v>4</v>
      </c>
      <c r="G18" s="6">
        <v>6</v>
      </c>
      <c r="H18" s="6">
        <v>81328</v>
      </c>
      <c r="I18" s="6" t="s">
        <v>543</v>
      </c>
      <c r="J18" s="6">
        <v>55025168</v>
      </c>
      <c r="K18" s="6" t="s">
        <v>2933</v>
      </c>
      <c r="L18" s="6" t="s">
        <v>2935</v>
      </c>
      <c r="M18" s="17">
        <v>59900</v>
      </c>
      <c r="N18" s="11" t="s">
        <v>19</v>
      </c>
      <c r="O18" s="12" t="s">
        <v>1579</v>
      </c>
      <c r="P18" s="6" t="s">
        <v>19</v>
      </c>
    </row>
    <row r="19" spans="1:16" x14ac:dyDescent="0.25">
      <c r="A19" s="6" t="s">
        <v>3511</v>
      </c>
      <c r="B19" s="7">
        <v>46121</v>
      </c>
      <c r="C19" s="7">
        <v>46127</v>
      </c>
      <c r="D19" s="6">
        <v>3271</v>
      </c>
      <c r="E19" s="6">
        <v>336</v>
      </c>
      <c r="F19" s="6">
        <v>4</v>
      </c>
      <c r="G19" s="6">
        <v>6</v>
      </c>
      <c r="H19" s="6">
        <v>81328</v>
      </c>
      <c r="I19" s="6" t="s">
        <v>543</v>
      </c>
      <c r="J19" s="6">
        <v>55025177</v>
      </c>
      <c r="K19" s="6" t="s">
        <v>2933</v>
      </c>
      <c r="L19" s="6" t="s">
        <v>2936</v>
      </c>
      <c r="M19" s="17">
        <v>59900</v>
      </c>
      <c r="N19" s="11" t="s">
        <v>19</v>
      </c>
      <c r="O19" s="12" t="s">
        <v>1579</v>
      </c>
      <c r="P19" s="6" t="s">
        <v>19</v>
      </c>
    </row>
    <row r="20" spans="1:16" x14ac:dyDescent="0.25">
      <c r="A20" s="6" t="s">
        <v>3511</v>
      </c>
      <c r="B20" s="7">
        <v>46121</v>
      </c>
      <c r="C20" s="7">
        <v>46127</v>
      </c>
      <c r="D20" s="6">
        <v>3271</v>
      </c>
      <c r="E20" s="6">
        <v>336</v>
      </c>
      <c r="F20" s="6">
        <v>4</v>
      </c>
      <c r="G20" s="6">
        <v>6</v>
      </c>
      <c r="H20" s="6">
        <v>81328</v>
      </c>
      <c r="I20" s="6" t="s">
        <v>543</v>
      </c>
      <c r="J20" s="6">
        <v>55025186</v>
      </c>
      <c r="K20" s="6" t="s">
        <v>2933</v>
      </c>
      <c r="L20" s="6" t="s">
        <v>2937</v>
      </c>
      <c r="M20" s="17">
        <v>59900</v>
      </c>
      <c r="N20" s="11" t="s">
        <v>19</v>
      </c>
      <c r="O20" s="12" t="s">
        <v>1579</v>
      </c>
      <c r="P20" s="6" t="s">
        <v>19</v>
      </c>
    </row>
    <row r="21" spans="1:16" x14ac:dyDescent="0.25">
      <c r="A21" s="6" t="s">
        <v>3511</v>
      </c>
      <c r="B21" s="7">
        <v>46121</v>
      </c>
      <c r="C21" s="7">
        <v>46127</v>
      </c>
      <c r="D21" s="6">
        <v>3271</v>
      </c>
      <c r="E21" s="6">
        <v>336</v>
      </c>
      <c r="F21" s="6">
        <v>4</v>
      </c>
      <c r="G21" s="6">
        <v>6</v>
      </c>
      <c r="H21" s="6">
        <v>81328</v>
      </c>
      <c r="I21" s="6" t="s">
        <v>543</v>
      </c>
      <c r="J21" s="6">
        <v>55025195</v>
      </c>
      <c r="K21" s="6" t="s">
        <v>2933</v>
      </c>
      <c r="L21" s="6" t="s">
        <v>2938</v>
      </c>
      <c r="M21" s="17">
        <v>59900</v>
      </c>
      <c r="N21" s="11" t="s">
        <v>19</v>
      </c>
      <c r="O21" s="12" t="s">
        <v>1579</v>
      </c>
      <c r="P21" s="6" t="s">
        <v>19</v>
      </c>
    </row>
    <row r="22" spans="1:16" x14ac:dyDescent="0.25">
      <c r="A22" s="6" t="s">
        <v>3511</v>
      </c>
      <c r="B22" s="7">
        <v>46121</v>
      </c>
      <c r="C22" s="7">
        <v>46127</v>
      </c>
      <c r="D22" s="6">
        <v>3271</v>
      </c>
      <c r="E22" s="6">
        <v>336</v>
      </c>
      <c r="F22" s="6">
        <v>4</v>
      </c>
      <c r="G22" s="6">
        <v>6</v>
      </c>
      <c r="H22" s="6">
        <v>81328</v>
      </c>
      <c r="I22" s="6" t="s">
        <v>543</v>
      </c>
      <c r="J22" s="6">
        <v>55025202</v>
      </c>
      <c r="K22" s="6" t="s">
        <v>2939</v>
      </c>
      <c r="L22" s="6" t="s">
        <v>2940</v>
      </c>
      <c r="M22" s="17">
        <v>59900</v>
      </c>
      <c r="N22" s="11" t="s">
        <v>19</v>
      </c>
      <c r="O22" s="12" t="s">
        <v>1579</v>
      </c>
      <c r="P22" s="6" t="s">
        <v>19</v>
      </c>
    </row>
    <row r="23" spans="1:16" x14ac:dyDescent="0.25">
      <c r="A23" s="6" t="s">
        <v>3511</v>
      </c>
      <c r="B23" s="7">
        <v>46121</v>
      </c>
      <c r="C23" s="7">
        <v>46127</v>
      </c>
      <c r="D23" s="6">
        <v>3271</v>
      </c>
      <c r="E23" s="6">
        <v>336</v>
      </c>
      <c r="F23" s="6">
        <v>4</v>
      </c>
      <c r="G23" s="6">
        <v>6</v>
      </c>
      <c r="H23" s="6">
        <v>81328</v>
      </c>
      <c r="I23" s="6" t="s">
        <v>543</v>
      </c>
      <c r="J23" s="6">
        <v>55025211</v>
      </c>
      <c r="K23" s="6" t="s">
        <v>2939</v>
      </c>
      <c r="L23" s="6" t="s">
        <v>2941</v>
      </c>
      <c r="M23" s="17">
        <v>59900</v>
      </c>
      <c r="N23" s="11" t="s">
        <v>19</v>
      </c>
      <c r="O23" s="12" t="s">
        <v>1579</v>
      </c>
      <c r="P23" s="6" t="s">
        <v>19</v>
      </c>
    </row>
    <row r="24" spans="1:16" x14ac:dyDescent="0.25">
      <c r="A24" s="6" t="s">
        <v>3511</v>
      </c>
      <c r="B24" s="7">
        <v>46121</v>
      </c>
      <c r="C24" s="7">
        <v>46127</v>
      </c>
      <c r="D24" s="6">
        <v>3271</v>
      </c>
      <c r="E24" s="6">
        <v>336</v>
      </c>
      <c r="F24" s="6">
        <v>4</v>
      </c>
      <c r="G24" s="6">
        <v>6</v>
      </c>
      <c r="H24" s="6">
        <v>81328</v>
      </c>
      <c r="I24" s="6" t="s">
        <v>543</v>
      </c>
      <c r="J24" s="6">
        <v>55025220</v>
      </c>
      <c r="K24" s="6" t="s">
        <v>2939</v>
      </c>
      <c r="L24" s="6" t="s">
        <v>2942</v>
      </c>
      <c r="M24" s="17">
        <v>59900</v>
      </c>
      <c r="N24" s="11" t="s">
        <v>19</v>
      </c>
      <c r="O24" s="12" t="s">
        <v>1579</v>
      </c>
      <c r="P24" s="6" t="s">
        <v>19</v>
      </c>
    </row>
    <row r="25" spans="1:16" x14ac:dyDescent="0.25">
      <c r="A25" s="6" t="s">
        <v>3511</v>
      </c>
      <c r="B25" s="7">
        <v>46121</v>
      </c>
      <c r="C25" s="7">
        <v>46127</v>
      </c>
      <c r="D25" s="6">
        <v>3271</v>
      </c>
      <c r="E25" s="6">
        <v>336</v>
      </c>
      <c r="F25" s="6">
        <v>4</v>
      </c>
      <c r="G25" s="6">
        <v>6</v>
      </c>
      <c r="H25" s="6">
        <v>81328</v>
      </c>
      <c r="I25" s="6" t="s">
        <v>543</v>
      </c>
      <c r="J25" s="6">
        <v>55025239</v>
      </c>
      <c r="K25" s="6" t="s">
        <v>2939</v>
      </c>
      <c r="L25" s="6" t="s">
        <v>2943</v>
      </c>
      <c r="M25" s="17">
        <v>59900</v>
      </c>
      <c r="N25" s="11" t="s">
        <v>19</v>
      </c>
      <c r="O25" s="12" t="s">
        <v>1579</v>
      </c>
      <c r="P25" s="6" t="s">
        <v>19</v>
      </c>
    </row>
    <row r="26" spans="1:16" x14ac:dyDescent="0.25">
      <c r="A26" s="6" t="s">
        <v>3511</v>
      </c>
      <c r="B26" s="7">
        <v>46121</v>
      </c>
      <c r="C26" s="7">
        <v>46127</v>
      </c>
      <c r="D26" s="6">
        <v>3271</v>
      </c>
      <c r="E26" s="6">
        <v>336</v>
      </c>
      <c r="F26" s="6">
        <v>4</v>
      </c>
      <c r="G26" s="6">
        <v>6</v>
      </c>
      <c r="H26" s="6">
        <v>81328</v>
      </c>
      <c r="I26" s="6" t="s">
        <v>543</v>
      </c>
      <c r="J26" s="6">
        <v>55025248</v>
      </c>
      <c r="K26" s="6" t="s">
        <v>2939</v>
      </c>
      <c r="L26" s="6" t="s">
        <v>2944</v>
      </c>
      <c r="M26" s="17">
        <v>59900</v>
      </c>
      <c r="N26" s="11" t="s">
        <v>19</v>
      </c>
      <c r="O26" s="12" t="s">
        <v>1579</v>
      </c>
      <c r="P26" s="6" t="s">
        <v>19</v>
      </c>
    </row>
    <row r="27" spans="1:16" x14ac:dyDescent="0.25">
      <c r="A27" s="6" t="s">
        <v>3511</v>
      </c>
      <c r="B27" s="7">
        <v>46121</v>
      </c>
      <c r="C27" s="7">
        <v>46127</v>
      </c>
      <c r="D27" s="6">
        <v>3271</v>
      </c>
      <c r="E27" s="6">
        <v>336</v>
      </c>
      <c r="F27" s="6">
        <v>4</v>
      </c>
      <c r="G27" s="6">
        <v>6</v>
      </c>
      <c r="H27" s="6">
        <v>81328</v>
      </c>
      <c r="I27" s="6" t="s">
        <v>543</v>
      </c>
      <c r="J27" s="6">
        <v>55108168</v>
      </c>
      <c r="K27" s="6" t="s">
        <v>2945</v>
      </c>
      <c r="L27" s="6" t="s">
        <v>2946</v>
      </c>
      <c r="M27" s="17">
        <v>59900</v>
      </c>
      <c r="N27" s="11" t="s">
        <v>19</v>
      </c>
      <c r="O27" s="12" t="s">
        <v>1579</v>
      </c>
      <c r="P27" s="6" t="s">
        <v>19</v>
      </c>
    </row>
    <row r="28" spans="1:16" x14ac:dyDescent="0.25">
      <c r="A28" s="6" t="s">
        <v>3511</v>
      </c>
      <c r="B28" s="7">
        <v>46121</v>
      </c>
      <c r="C28" s="7">
        <v>46127</v>
      </c>
      <c r="D28" s="6">
        <v>3271</v>
      </c>
      <c r="E28" s="6">
        <v>336</v>
      </c>
      <c r="F28" s="6">
        <v>4</v>
      </c>
      <c r="G28" s="6">
        <v>6</v>
      </c>
      <c r="H28" s="6">
        <v>81328</v>
      </c>
      <c r="I28" s="6" t="s">
        <v>543</v>
      </c>
      <c r="J28" s="6">
        <v>55108177</v>
      </c>
      <c r="K28" s="6" t="s">
        <v>2945</v>
      </c>
      <c r="L28" s="6" t="s">
        <v>2947</v>
      </c>
      <c r="M28" s="17">
        <v>59900</v>
      </c>
      <c r="N28" s="11" t="s">
        <v>19</v>
      </c>
      <c r="O28" s="12" t="s">
        <v>1579</v>
      </c>
      <c r="P28" s="6" t="s">
        <v>19</v>
      </c>
    </row>
    <row r="29" spans="1:16" x14ac:dyDescent="0.25">
      <c r="A29" s="6" t="s">
        <v>3511</v>
      </c>
      <c r="B29" s="7">
        <v>46121</v>
      </c>
      <c r="C29" s="7">
        <v>46127</v>
      </c>
      <c r="D29" s="6">
        <v>3271</v>
      </c>
      <c r="E29" s="6">
        <v>336</v>
      </c>
      <c r="F29" s="6">
        <v>4</v>
      </c>
      <c r="G29" s="6">
        <v>6</v>
      </c>
      <c r="H29" s="6">
        <v>81328</v>
      </c>
      <c r="I29" s="6" t="s">
        <v>543</v>
      </c>
      <c r="J29" s="6">
        <v>55108186</v>
      </c>
      <c r="K29" s="6" t="s">
        <v>2945</v>
      </c>
      <c r="L29" s="6" t="s">
        <v>2948</v>
      </c>
      <c r="M29" s="17">
        <v>59900</v>
      </c>
      <c r="N29" s="11" t="s">
        <v>19</v>
      </c>
      <c r="O29" s="12" t="s">
        <v>1579</v>
      </c>
      <c r="P29" s="6" t="s">
        <v>19</v>
      </c>
    </row>
    <row r="30" spans="1:16" x14ac:dyDescent="0.25">
      <c r="A30" s="6" t="s">
        <v>3511</v>
      </c>
      <c r="B30" s="7">
        <v>46121</v>
      </c>
      <c r="C30" s="7">
        <v>46127</v>
      </c>
      <c r="D30" s="6">
        <v>3271</v>
      </c>
      <c r="E30" s="6">
        <v>336</v>
      </c>
      <c r="F30" s="6">
        <v>4</v>
      </c>
      <c r="G30" s="6">
        <v>6</v>
      </c>
      <c r="H30" s="6">
        <v>81328</v>
      </c>
      <c r="I30" s="6" t="s">
        <v>543</v>
      </c>
      <c r="J30" s="6">
        <v>55108195</v>
      </c>
      <c r="K30" s="6" t="s">
        <v>2945</v>
      </c>
      <c r="L30" s="6" t="s">
        <v>2949</v>
      </c>
      <c r="M30" s="17">
        <v>59900</v>
      </c>
      <c r="N30" s="11" t="s">
        <v>19</v>
      </c>
      <c r="O30" s="12" t="s">
        <v>1579</v>
      </c>
      <c r="P30" s="6" t="s">
        <v>19</v>
      </c>
    </row>
    <row r="31" spans="1:16" x14ac:dyDescent="0.25">
      <c r="A31" s="6" t="s">
        <v>3511</v>
      </c>
      <c r="B31" s="7">
        <v>46121</v>
      </c>
      <c r="C31" s="7">
        <v>46127</v>
      </c>
      <c r="D31" s="6">
        <v>3271</v>
      </c>
      <c r="E31" s="6">
        <v>336</v>
      </c>
      <c r="F31" s="6">
        <v>4</v>
      </c>
      <c r="G31" s="6">
        <v>6</v>
      </c>
      <c r="H31" s="6">
        <v>81328</v>
      </c>
      <c r="I31" s="6" t="s">
        <v>543</v>
      </c>
      <c r="J31" s="6">
        <v>55108202</v>
      </c>
      <c r="K31" s="6" t="s">
        <v>2950</v>
      </c>
      <c r="L31" s="6" t="s">
        <v>2951</v>
      </c>
      <c r="M31" s="17">
        <v>59900</v>
      </c>
      <c r="N31" s="11" t="s">
        <v>19</v>
      </c>
      <c r="O31" s="12" t="s">
        <v>1579</v>
      </c>
      <c r="P31" s="6" t="s">
        <v>19</v>
      </c>
    </row>
    <row r="32" spans="1:16" x14ac:dyDescent="0.25">
      <c r="A32" s="6" t="s">
        <v>3511</v>
      </c>
      <c r="B32" s="7">
        <v>46121</v>
      </c>
      <c r="C32" s="7">
        <v>46127</v>
      </c>
      <c r="D32" s="6">
        <v>3271</v>
      </c>
      <c r="E32" s="6">
        <v>336</v>
      </c>
      <c r="F32" s="6">
        <v>4</v>
      </c>
      <c r="G32" s="6">
        <v>6</v>
      </c>
      <c r="H32" s="6">
        <v>81328</v>
      </c>
      <c r="I32" s="6" t="s">
        <v>543</v>
      </c>
      <c r="J32" s="6">
        <v>55108211</v>
      </c>
      <c r="K32" s="6" t="s">
        <v>2950</v>
      </c>
      <c r="L32" s="6" t="s">
        <v>2952</v>
      </c>
      <c r="M32" s="17">
        <v>59900</v>
      </c>
      <c r="N32" s="11" t="s">
        <v>19</v>
      </c>
      <c r="O32" s="12" t="s">
        <v>1579</v>
      </c>
      <c r="P32" s="6" t="s">
        <v>19</v>
      </c>
    </row>
    <row r="33" spans="1:16" x14ac:dyDescent="0.25">
      <c r="A33" s="6" t="s">
        <v>3511</v>
      </c>
      <c r="B33" s="7">
        <v>46121</v>
      </c>
      <c r="C33" s="7">
        <v>46127</v>
      </c>
      <c r="D33" s="6">
        <v>3271</v>
      </c>
      <c r="E33" s="6">
        <v>336</v>
      </c>
      <c r="F33" s="6">
        <v>4</v>
      </c>
      <c r="G33" s="6">
        <v>6</v>
      </c>
      <c r="H33" s="6">
        <v>81328</v>
      </c>
      <c r="I33" s="6" t="s">
        <v>543</v>
      </c>
      <c r="J33" s="6">
        <v>55108220</v>
      </c>
      <c r="K33" s="6" t="s">
        <v>2950</v>
      </c>
      <c r="L33" s="6" t="s">
        <v>2953</v>
      </c>
      <c r="M33" s="17">
        <v>59900</v>
      </c>
      <c r="N33" s="11" t="s">
        <v>19</v>
      </c>
      <c r="O33" s="12" t="s">
        <v>1579</v>
      </c>
      <c r="P33" s="6" t="s">
        <v>19</v>
      </c>
    </row>
    <row r="34" spans="1:16" x14ac:dyDescent="0.25">
      <c r="A34" s="6" t="s">
        <v>3511</v>
      </c>
      <c r="B34" s="7">
        <v>46121</v>
      </c>
      <c r="C34" s="7">
        <v>46127</v>
      </c>
      <c r="D34" s="6">
        <v>3271</v>
      </c>
      <c r="E34" s="6">
        <v>336</v>
      </c>
      <c r="F34" s="6">
        <v>4</v>
      </c>
      <c r="G34" s="6">
        <v>6</v>
      </c>
      <c r="H34" s="6">
        <v>81328</v>
      </c>
      <c r="I34" s="6" t="s">
        <v>543</v>
      </c>
      <c r="J34" s="6">
        <v>55108239</v>
      </c>
      <c r="K34" s="6" t="s">
        <v>2950</v>
      </c>
      <c r="L34" s="6" t="s">
        <v>2954</v>
      </c>
      <c r="M34" s="17">
        <v>59900</v>
      </c>
      <c r="N34" s="11" t="s">
        <v>19</v>
      </c>
      <c r="O34" s="12" t="s">
        <v>1579</v>
      </c>
      <c r="P34" s="6" t="s">
        <v>19</v>
      </c>
    </row>
    <row r="35" spans="1:16" x14ac:dyDescent="0.25">
      <c r="A35" s="6" t="s">
        <v>3511</v>
      </c>
      <c r="B35" s="7">
        <v>46121</v>
      </c>
      <c r="C35" s="7">
        <v>46127</v>
      </c>
      <c r="D35" s="6">
        <v>3271</v>
      </c>
      <c r="E35" s="6">
        <v>336</v>
      </c>
      <c r="F35" s="6">
        <v>4</v>
      </c>
      <c r="G35" s="6">
        <v>6</v>
      </c>
      <c r="H35" s="6">
        <v>81328</v>
      </c>
      <c r="I35" s="6" t="s">
        <v>543</v>
      </c>
      <c r="J35" s="6">
        <v>55108248</v>
      </c>
      <c r="K35" s="6" t="s">
        <v>2955</v>
      </c>
      <c r="L35" s="6" t="s">
        <v>2956</v>
      </c>
      <c r="M35" s="17">
        <v>59900</v>
      </c>
      <c r="N35" s="11" t="s">
        <v>19</v>
      </c>
      <c r="O35" s="12" t="s">
        <v>1579</v>
      </c>
      <c r="P35" s="6" t="s">
        <v>19</v>
      </c>
    </row>
    <row r="36" spans="1:16" x14ac:dyDescent="0.25">
      <c r="A36" s="6" t="s">
        <v>3511</v>
      </c>
      <c r="B36" s="7">
        <v>46121</v>
      </c>
      <c r="C36" s="7">
        <v>46127</v>
      </c>
      <c r="D36" s="6">
        <v>3271</v>
      </c>
      <c r="E36" s="6">
        <v>336</v>
      </c>
      <c r="F36" s="6">
        <v>4</v>
      </c>
      <c r="G36" s="6">
        <v>6</v>
      </c>
      <c r="H36" s="6">
        <v>81328</v>
      </c>
      <c r="I36" s="6" t="s">
        <v>543</v>
      </c>
      <c r="J36" s="6">
        <v>55108257</v>
      </c>
      <c r="K36" s="6" t="s">
        <v>2955</v>
      </c>
      <c r="L36" s="6" t="s">
        <v>2957</v>
      </c>
      <c r="M36" s="17">
        <v>59900</v>
      </c>
      <c r="N36" s="11" t="s">
        <v>19</v>
      </c>
      <c r="O36" s="12" t="s">
        <v>1579</v>
      </c>
      <c r="P36" s="6" t="s">
        <v>19</v>
      </c>
    </row>
    <row r="37" spans="1:16" x14ac:dyDescent="0.25">
      <c r="A37" s="6" t="s">
        <v>3511</v>
      </c>
      <c r="B37" s="7">
        <v>46121</v>
      </c>
      <c r="C37" s="7">
        <v>46127</v>
      </c>
      <c r="D37" s="6">
        <v>3271</v>
      </c>
      <c r="E37" s="6">
        <v>336</v>
      </c>
      <c r="F37" s="6">
        <v>4</v>
      </c>
      <c r="G37" s="6">
        <v>6</v>
      </c>
      <c r="H37" s="6">
        <v>81328</v>
      </c>
      <c r="I37" s="6" t="s">
        <v>543</v>
      </c>
      <c r="J37" s="6">
        <v>55108266</v>
      </c>
      <c r="K37" s="6" t="s">
        <v>2955</v>
      </c>
      <c r="L37" s="6" t="s">
        <v>2958</v>
      </c>
      <c r="M37" s="17">
        <v>59900</v>
      </c>
      <c r="N37" s="11" t="s">
        <v>19</v>
      </c>
      <c r="O37" s="12" t="s">
        <v>1579</v>
      </c>
      <c r="P37" s="6" t="s">
        <v>19</v>
      </c>
    </row>
    <row r="38" spans="1:16" x14ac:dyDescent="0.25">
      <c r="A38" s="6" t="s">
        <v>3511</v>
      </c>
      <c r="B38" s="7">
        <v>46121</v>
      </c>
      <c r="C38" s="7">
        <v>46127</v>
      </c>
      <c r="D38" s="6">
        <v>3271</v>
      </c>
      <c r="E38" s="6">
        <v>336</v>
      </c>
      <c r="F38" s="6">
        <v>4</v>
      </c>
      <c r="G38" s="6">
        <v>6</v>
      </c>
      <c r="H38" s="6">
        <v>81328</v>
      </c>
      <c r="I38" s="6" t="s">
        <v>543</v>
      </c>
      <c r="J38" s="6">
        <v>55108275</v>
      </c>
      <c r="K38" s="6" t="s">
        <v>2955</v>
      </c>
      <c r="L38" s="6" t="s">
        <v>2959</v>
      </c>
      <c r="M38" s="17">
        <v>59900</v>
      </c>
      <c r="N38" s="11" t="s">
        <v>19</v>
      </c>
      <c r="O38" s="12" t="s">
        <v>1579</v>
      </c>
      <c r="P38" s="6" t="s">
        <v>19</v>
      </c>
    </row>
    <row r="39" spans="1:16" x14ac:dyDescent="0.25">
      <c r="A39" s="6" t="s">
        <v>3511</v>
      </c>
      <c r="B39" s="7">
        <v>46121</v>
      </c>
      <c r="C39" s="7">
        <v>46127</v>
      </c>
      <c r="D39" s="6">
        <v>3271</v>
      </c>
      <c r="E39" s="6">
        <v>336</v>
      </c>
      <c r="F39" s="6">
        <v>4</v>
      </c>
      <c r="G39" s="6">
        <v>6</v>
      </c>
      <c r="H39" s="6">
        <v>81328</v>
      </c>
      <c r="I39" s="6" t="s">
        <v>543</v>
      </c>
      <c r="J39" s="6">
        <v>55108284</v>
      </c>
      <c r="K39" s="6" t="s">
        <v>2960</v>
      </c>
      <c r="L39" s="6" t="s">
        <v>2961</v>
      </c>
      <c r="M39" s="17">
        <v>59900</v>
      </c>
      <c r="N39" s="11" t="s">
        <v>19</v>
      </c>
      <c r="O39" s="12" t="s">
        <v>1579</v>
      </c>
      <c r="P39" s="6" t="s">
        <v>19</v>
      </c>
    </row>
    <row r="40" spans="1:16" x14ac:dyDescent="0.25">
      <c r="A40" s="6" t="s">
        <v>3511</v>
      </c>
      <c r="B40" s="7">
        <v>46121</v>
      </c>
      <c r="C40" s="7">
        <v>46127</v>
      </c>
      <c r="D40" s="6">
        <v>3271</v>
      </c>
      <c r="E40" s="6">
        <v>336</v>
      </c>
      <c r="F40" s="6">
        <v>4</v>
      </c>
      <c r="G40" s="6">
        <v>6</v>
      </c>
      <c r="H40" s="6">
        <v>81328</v>
      </c>
      <c r="I40" s="6" t="s">
        <v>543</v>
      </c>
      <c r="J40" s="6">
        <v>55108293</v>
      </c>
      <c r="K40" s="6" t="s">
        <v>2960</v>
      </c>
      <c r="L40" s="6" t="s">
        <v>2962</v>
      </c>
      <c r="M40" s="17">
        <v>59900</v>
      </c>
      <c r="N40" s="11" t="s">
        <v>19</v>
      </c>
      <c r="O40" s="12" t="s">
        <v>1579</v>
      </c>
      <c r="P40" s="6" t="s">
        <v>19</v>
      </c>
    </row>
    <row r="41" spans="1:16" x14ac:dyDescent="0.25">
      <c r="A41" s="6" t="s">
        <v>3511</v>
      </c>
      <c r="B41" s="7">
        <v>46121</v>
      </c>
      <c r="C41" s="7">
        <v>46127</v>
      </c>
      <c r="D41" s="6">
        <v>3271</v>
      </c>
      <c r="E41" s="6">
        <v>336</v>
      </c>
      <c r="F41" s="6">
        <v>4</v>
      </c>
      <c r="G41" s="6">
        <v>6</v>
      </c>
      <c r="H41" s="6">
        <v>81328</v>
      </c>
      <c r="I41" s="6" t="s">
        <v>543</v>
      </c>
      <c r="J41" s="6">
        <v>55108300</v>
      </c>
      <c r="K41" s="6" t="s">
        <v>2960</v>
      </c>
      <c r="L41" s="6" t="s">
        <v>2963</v>
      </c>
      <c r="M41" s="17">
        <v>59900</v>
      </c>
      <c r="N41" s="11" t="s">
        <v>19</v>
      </c>
      <c r="O41" s="12" t="s">
        <v>1579</v>
      </c>
      <c r="P41" s="6" t="s">
        <v>19</v>
      </c>
    </row>
    <row r="42" spans="1:16" x14ac:dyDescent="0.25">
      <c r="A42" s="6" t="s">
        <v>3511</v>
      </c>
      <c r="B42" s="7">
        <v>46121</v>
      </c>
      <c r="C42" s="7">
        <v>46127</v>
      </c>
      <c r="D42" s="6">
        <v>3271</v>
      </c>
      <c r="E42" s="6">
        <v>336</v>
      </c>
      <c r="F42" s="6">
        <v>4</v>
      </c>
      <c r="G42" s="6">
        <v>6</v>
      </c>
      <c r="H42" s="6">
        <v>81328</v>
      </c>
      <c r="I42" s="6" t="s">
        <v>543</v>
      </c>
      <c r="J42" s="6">
        <v>55108319</v>
      </c>
      <c r="K42" s="6" t="s">
        <v>2960</v>
      </c>
      <c r="L42" s="6" t="s">
        <v>2964</v>
      </c>
      <c r="M42" s="17">
        <v>59900</v>
      </c>
      <c r="N42" s="11" t="s">
        <v>19</v>
      </c>
      <c r="O42" s="12" t="s">
        <v>1579</v>
      </c>
      <c r="P42" s="6" t="s">
        <v>19</v>
      </c>
    </row>
    <row r="43" spans="1:16" x14ac:dyDescent="0.25">
      <c r="A43" s="6" t="s">
        <v>3511</v>
      </c>
      <c r="B43" s="7">
        <v>46121</v>
      </c>
      <c r="C43" s="7">
        <v>46127</v>
      </c>
      <c r="D43" s="6">
        <v>3271</v>
      </c>
      <c r="E43" s="6">
        <v>336</v>
      </c>
      <c r="F43" s="6">
        <v>4</v>
      </c>
      <c r="G43" s="6">
        <v>6</v>
      </c>
      <c r="H43" s="49">
        <v>81328</v>
      </c>
      <c r="I43" s="49" t="s">
        <v>543</v>
      </c>
      <c r="J43" s="49">
        <v>55108328</v>
      </c>
      <c r="K43" s="49" t="s">
        <v>2965</v>
      </c>
      <c r="L43" s="49" t="s">
        <v>2966</v>
      </c>
      <c r="M43" s="50">
        <v>59900</v>
      </c>
      <c r="N43" s="11" t="s">
        <v>19</v>
      </c>
      <c r="O43" s="12" t="s">
        <v>1579</v>
      </c>
      <c r="P43" s="6" t="s">
        <v>19</v>
      </c>
    </row>
    <row r="44" spans="1:16" x14ac:dyDescent="0.25">
      <c r="A44" s="6" t="s">
        <v>3511</v>
      </c>
      <c r="B44" s="7">
        <v>46121</v>
      </c>
      <c r="C44" s="7">
        <v>46127</v>
      </c>
      <c r="D44" s="6">
        <v>3271</v>
      </c>
      <c r="E44" s="6">
        <v>336</v>
      </c>
      <c r="F44" s="6">
        <v>4</v>
      </c>
      <c r="G44" s="6">
        <v>6</v>
      </c>
      <c r="H44" s="49">
        <v>81328</v>
      </c>
      <c r="I44" s="49" t="s">
        <v>543</v>
      </c>
      <c r="J44" s="49">
        <v>55108337</v>
      </c>
      <c r="K44" s="49" t="s">
        <v>2965</v>
      </c>
      <c r="L44" s="49" t="s">
        <v>2967</v>
      </c>
      <c r="M44" s="50">
        <v>59900</v>
      </c>
      <c r="N44" s="11" t="s">
        <v>19</v>
      </c>
      <c r="O44" s="12" t="s">
        <v>1579</v>
      </c>
      <c r="P44" s="6" t="s">
        <v>19</v>
      </c>
    </row>
    <row r="45" spans="1:16" x14ac:dyDescent="0.25">
      <c r="A45" s="6" t="s">
        <v>3511</v>
      </c>
      <c r="B45" s="7">
        <v>46121</v>
      </c>
      <c r="C45" s="7">
        <v>46127</v>
      </c>
      <c r="D45" s="6">
        <v>3271</v>
      </c>
      <c r="E45" s="6">
        <v>336</v>
      </c>
      <c r="F45" s="6">
        <v>4</v>
      </c>
      <c r="G45" s="6">
        <v>6</v>
      </c>
      <c r="H45" s="49">
        <v>81328</v>
      </c>
      <c r="I45" s="49" t="s">
        <v>543</v>
      </c>
      <c r="J45" s="49">
        <v>55108346</v>
      </c>
      <c r="K45" s="49" t="s">
        <v>2965</v>
      </c>
      <c r="L45" s="49" t="s">
        <v>2968</v>
      </c>
      <c r="M45" s="50">
        <v>59900</v>
      </c>
      <c r="N45" s="11" t="s">
        <v>19</v>
      </c>
      <c r="O45" s="12" t="s">
        <v>1579</v>
      </c>
      <c r="P45" s="6" t="s">
        <v>19</v>
      </c>
    </row>
    <row r="46" spans="1:16" x14ac:dyDescent="0.25">
      <c r="A46" s="6" t="s">
        <v>3511</v>
      </c>
      <c r="B46" s="7">
        <v>46121</v>
      </c>
      <c r="C46" s="7">
        <v>46127</v>
      </c>
      <c r="D46" s="6">
        <v>3271</v>
      </c>
      <c r="E46" s="6">
        <v>336</v>
      </c>
      <c r="F46" s="6">
        <v>4</v>
      </c>
      <c r="G46" s="6">
        <v>6</v>
      </c>
      <c r="H46" s="49">
        <v>81328</v>
      </c>
      <c r="I46" s="49" t="s">
        <v>543</v>
      </c>
      <c r="J46" s="49">
        <v>55108355</v>
      </c>
      <c r="K46" s="49" t="s">
        <v>2965</v>
      </c>
      <c r="L46" s="49" t="s">
        <v>2969</v>
      </c>
      <c r="M46" s="50">
        <v>59900</v>
      </c>
      <c r="N46" s="11" t="s">
        <v>19</v>
      </c>
      <c r="O46" s="12" t="s">
        <v>1579</v>
      </c>
      <c r="P46" s="6" t="s">
        <v>19</v>
      </c>
    </row>
    <row r="47" spans="1:16" x14ac:dyDescent="0.25">
      <c r="A47" s="6" t="s">
        <v>3511</v>
      </c>
      <c r="B47" s="7">
        <v>46121</v>
      </c>
      <c r="C47" s="7">
        <v>46127</v>
      </c>
      <c r="D47" s="6">
        <v>3271</v>
      </c>
      <c r="E47" s="6">
        <v>336</v>
      </c>
      <c r="F47" s="6">
        <v>4</v>
      </c>
      <c r="G47" s="6">
        <v>6</v>
      </c>
      <c r="H47" s="49">
        <v>81328</v>
      </c>
      <c r="I47" s="49" t="s">
        <v>543</v>
      </c>
      <c r="J47" s="49">
        <v>55108364</v>
      </c>
      <c r="K47" s="49" t="s">
        <v>2965</v>
      </c>
      <c r="L47" s="49" t="s">
        <v>2970</v>
      </c>
      <c r="M47" s="50">
        <v>59900</v>
      </c>
      <c r="N47" s="11" t="s">
        <v>19</v>
      </c>
      <c r="O47" s="12" t="s">
        <v>1579</v>
      </c>
      <c r="P47" s="6" t="s">
        <v>19</v>
      </c>
    </row>
    <row r="48" spans="1:16" x14ac:dyDescent="0.25">
      <c r="A48" s="6" t="s">
        <v>3511</v>
      </c>
      <c r="B48" s="7">
        <v>46121</v>
      </c>
      <c r="C48" s="7">
        <v>46127</v>
      </c>
      <c r="D48" s="6">
        <v>3271</v>
      </c>
      <c r="E48" s="6">
        <v>336</v>
      </c>
      <c r="F48" s="6">
        <v>4</v>
      </c>
      <c r="G48" s="6">
        <v>6</v>
      </c>
      <c r="H48" s="49">
        <v>81328</v>
      </c>
      <c r="I48" s="49" t="s">
        <v>543</v>
      </c>
      <c r="J48" s="49">
        <v>55108373</v>
      </c>
      <c r="K48" s="49" t="s">
        <v>2971</v>
      </c>
      <c r="L48" s="49" t="s">
        <v>2972</v>
      </c>
      <c r="M48" s="50">
        <v>59900</v>
      </c>
      <c r="N48" s="11" t="s">
        <v>19</v>
      </c>
      <c r="O48" s="12" t="s">
        <v>1579</v>
      </c>
      <c r="P48" s="6" t="s">
        <v>19</v>
      </c>
    </row>
    <row r="49" spans="1:16" x14ac:dyDescent="0.25">
      <c r="A49" s="6" t="s">
        <v>3511</v>
      </c>
      <c r="B49" s="7">
        <v>46121</v>
      </c>
      <c r="C49" s="7">
        <v>46127</v>
      </c>
      <c r="D49" s="6">
        <v>3271</v>
      </c>
      <c r="E49" s="6">
        <v>336</v>
      </c>
      <c r="F49" s="6">
        <v>4</v>
      </c>
      <c r="G49" s="6">
        <v>6</v>
      </c>
      <c r="H49" s="49">
        <v>81328</v>
      </c>
      <c r="I49" s="49" t="s">
        <v>543</v>
      </c>
      <c r="J49" s="49">
        <v>55108382</v>
      </c>
      <c r="K49" s="49" t="s">
        <v>2971</v>
      </c>
      <c r="L49" s="49" t="s">
        <v>2973</v>
      </c>
      <c r="M49" s="50">
        <v>59900</v>
      </c>
      <c r="N49" s="11" t="s">
        <v>19</v>
      </c>
      <c r="O49" s="12" t="s">
        <v>1579</v>
      </c>
      <c r="P49" s="6" t="s">
        <v>19</v>
      </c>
    </row>
    <row r="50" spans="1:16" x14ac:dyDescent="0.25">
      <c r="A50" s="6" t="s">
        <v>3511</v>
      </c>
      <c r="B50" s="7">
        <v>46121</v>
      </c>
      <c r="C50" s="7">
        <v>46127</v>
      </c>
      <c r="D50" s="6">
        <v>3271</v>
      </c>
      <c r="E50" s="6">
        <v>336</v>
      </c>
      <c r="F50" s="6">
        <v>4</v>
      </c>
      <c r="G50" s="6">
        <v>6</v>
      </c>
      <c r="H50" s="49">
        <v>81328</v>
      </c>
      <c r="I50" s="49" t="s">
        <v>543</v>
      </c>
      <c r="J50" s="49">
        <v>55108391</v>
      </c>
      <c r="K50" s="49" t="s">
        <v>2971</v>
      </c>
      <c r="L50" s="49" t="s">
        <v>2974</v>
      </c>
      <c r="M50" s="50">
        <v>59900</v>
      </c>
      <c r="N50" s="11" t="s">
        <v>19</v>
      </c>
      <c r="O50" s="12" t="s">
        <v>1579</v>
      </c>
      <c r="P50" s="6" t="s">
        <v>19</v>
      </c>
    </row>
    <row r="51" spans="1:16" x14ac:dyDescent="0.25">
      <c r="A51" s="6" t="s">
        <v>3511</v>
      </c>
      <c r="B51" s="7">
        <v>46121</v>
      </c>
      <c r="C51" s="7">
        <v>46127</v>
      </c>
      <c r="D51" s="6">
        <v>3271</v>
      </c>
      <c r="E51" s="6">
        <v>336</v>
      </c>
      <c r="F51" s="6">
        <v>4</v>
      </c>
      <c r="G51" s="6">
        <v>6</v>
      </c>
      <c r="H51" s="49">
        <v>81328</v>
      </c>
      <c r="I51" s="49" t="s">
        <v>543</v>
      </c>
      <c r="J51" s="49">
        <v>55108408</v>
      </c>
      <c r="K51" s="49" t="s">
        <v>2971</v>
      </c>
      <c r="L51" s="49" t="s">
        <v>2975</v>
      </c>
      <c r="M51" s="50">
        <v>59900</v>
      </c>
      <c r="N51" s="11" t="s">
        <v>19</v>
      </c>
      <c r="O51" s="12" t="s">
        <v>1579</v>
      </c>
      <c r="P51" s="6" t="s">
        <v>19</v>
      </c>
    </row>
    <row r="52" spans="1:16" x14ac:dyDescent="0.25">
      <c r="A52" s="6" t="s">
        <v>3511</v>
      </c>
      <c r="B52" s="7">
        <v>46121</v>
      </c>
      <c r="C52" s="7">
        <v>46127</v>
      </c>
      <c r="D52" s="6">
        <v>3271</v>
      </c>
      <c r="E52" s="6">
        <v>336</v>
      </c>
      <c r="F52" s="6">
        <v>4</v>
      </c>
      <c r="G52" s="6">
        <v>6</v>
      </c>
      <c r="H52" s="49">
        <v>81328</v>
      </c>
      <c r="I52" s="49" t="s">
        <v>543</v>
      </c>
      <c r="J52" s="49">
        <v>55108417</v>
      </c>
      <c r="K52" s="49" t="s">
        <v>2971</v>
      </c>
      <c r="L52" s="49" t="s">
        <v>2976</v>
      </c>
      <c r="M52" s="50">
        <v>59900</v>
      </c>
      <c r="N52" s="11" t="s">
        <v>19</v>
      </c>
      <c r="O52" s="12" t="s">
        <v>1579</v>
      </c>
      <c r="P52" s="6" t="s">
        <v>19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2EEF-F89E-4898-970D-27C33A32830F}">
  <sheetPr>
    <tabColor rgb="FF00B050"/>
  </sheetPr>
  <dimension ref="A1:P69"/>
  <sheetViews>
    <sheetView topLeftCell="D1" workbookViewId="0">
      <selection activeCell="N2" sqref="N2:P2"/>
    </sheetView>
  </sheetViews>
  <sheetFormatPr defaultRowHeight="15" x14ac:dyDescent="0.25"/>
  <cols>
    <col min="1" max="1" width="42" customWidth="1"/>
    <col min="2" max="2" width="13" customWidth="1"/>
    <col min="3" max="3" width="10.42578125" bestFit="1" customWidth="1"/>
    <col min="4" max="4" width="5.1406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" bestFit="1" customWidth="1"/>
    <col min="15" max="15" width="23.710937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3512</v>
      </c>
      <c r="B2" s="54">
        <v>46121</v>
      </c>
      <c r="C2" s="7">
        <v>46127</v>
      </c>
      <c r="D2" s="6">
        <v>3271</v>
      </c>
      <c r="E2" s="6">
        <v>336</v>
      </c>
      <c r="F2" s="6">
        <v>4</v>
      </c>
      <c r="G2" s="15">
        <v>4</v>
      </c>
      <c r="H2" s="15">
        <v>81683</v>
      </c>
      <c r="I2" s="15" t="s">
        <v>543</v>
      </c>
      <c r="J2" s="15">
        <v>61277581</v>
      </c>
      <c r="K2" s="15" t="s">
        <v>3041</v>
      </c>
      <c r="L2" s="15" t="s">
        <v>3042</v>
      </c>
      <c r="M2" s="20">
        <v>179900</v>
      </c>
      <c r="N2" s="62">
        <v>0.3</v>
      </c>
      <c r="O2" s="12">
        <f>M2-((30*M2)/100)</f>
        <v>125930</v>
      </c>
      <c r="P2" s="6" t="s">
        <v>3499</v>
      </c>
    </row>
    <row r="3" spans="1:16" x14ac:dyDescent="0.25">
      <c r="A3" s="6" t="s">
        <v>3512</v>
      </c>
      <c r="B3" s="54">
        <v>46121</v>
      </c>
      <c r="C3" s="7">
        <v>46127</v>
      </c>
      <c r="D3" s="6">
        <v>3271</v>
      </c>
      <c r="E3" s="6">
        <v>336</v>
      </c>
      <c r="F3" s="6">
        <v>4</v>
      </c>
      <c r="G3" s="15">
        <v>4</v>
      </c>
      <c r="H3" s="15">
        <v>81683</v>
      </c>
      <c r="I3" s="15" t="s">
        <v>543</v>
      </c>
      <c r="J3" s="15">
        <v>61277590</v>
      </c>
      <c r="K3" s="15" t="s">
        <v>3041</v>
      </c>
      <c r="L3" s="15" t="s">
        <v>3043</v>
      </c>
      <c r="M3" s="20">
        <v>179900</v>
      </c>
      <c r="N3" s="62">
        <v>0.3</v>
      </c>
      <c r="O3" s="12">
        <f t="shared" ref="O3:O66" si="0">M3-((30*M3)/100)</f>
        <v>125930</v>
      </c>
      <c r="P3" s="6" t="s">
        <v>3499</v>
      </c>
    </row>
    <row r="4" spans="1:16" x14ac:dyDescent="0.25">
      <c r="A4" s="6" t="s">
        <v>3512</v>
      </c>
      <c r="B4" s="54">
        <v>46121</v>
      </c>
      <c r="C4" s="7">
        <v>46127</v>
      </c>
      <c r="D4" s="6">
        <v>3271</v>
      </c>
      <c r="E4" s="6">
        <v>336</v>
      </c>
      <c r="F4" s="6">
        <v>4</v>
      </c>
      <c r="G4" s="15">
        <v>4</v>
      </c>
      <c r="H4" s="15">
        <v>81683</v>
      </c>
      <c r="I4" s="15" t="s">
        <v>543</v>
      </c>
      <c r="J4" s="15">
        <v>61277607</v>
      </c>
      <c r="K4" s="15" t="s">
        <v>3041</v>
      </c>
      <c r="L4" s="15" t="s">
        <v>3044</v>
      </c>
      <c r="M4" s="20">
        <v>179900</v>
      </c>
      <c r="N4" s="62">
        <v>0.3</v>
      </c>
      <c r="O4" s="12">
        <f t="shared" si="0"/>
        <v>125930</v>
      </c>
      <c r="P4" s="6" t="s">
        <v>3499</v>
      </c>
    </row>
    <row r="5" spans="1:16" x14ac:dyDescent="0.25">
      <c r="A5" s="6" t="s">
        <v>3512</v>
      </c>
      <c r="B5" s="54">
        <v>46121</v>
      </c>
      <c r="C5" s="7">
        <v>46127</v>
      </c>
      <c r="D5" s="6">
        <v>3271</v>
      </c>
      <c r="E5" s="6">
        <v>336</v>
      </c>
      <c r="F5" s="6">
        <v>4</v>
      </c>
      <c r="G5" s="15">
        <v>4</v>
      </c>
      <c r="H5" s="15">
        <v>81683</v>
      </c>
      <c r="I5" s="15" t="s">
        <v>543</v>
      </c>
      <c r="J5" s="15">
        <v>61277616</v>
      </c>
      <c r="K5" s="15" t="s">
        <v>3041</v>
      </c>
      <c r="L5" s="15" t="s">
        <v>3045</v>
      </c>
      <c r="M5" s="20">
        <v>179900</v>
      </c>
      <c r="N5" s="62">
        <v>0.3</v>
      </c>
      <c r="O5" s="12">
        <f t="shared" si="0"/>
        <v>125930</v>
      </c>
      <c r="P5" s="6" t="s">
        <v>3499</v>
      </c>
    </row>
    <row r="6" spans="1:16" x14ac:dyDescent="0.25">
      <c r="A6" s="6" t="s">
        <v>3512</v>
      </c>
      <c r="B6" s="54">
        <v>46121</v>
      </c>
      <c r="C6" s="7">
        <v>46127</v>
      </c>
      <c r="D6" s="6">
        <v>3271</v>
      </c>
      <c r="E6" s="6">
        <v>336</v>
      </c>
      <c r="F6" s="6">
        <v>4</v>
      </c>
      <c r="G6" s="15">
        <v>4</v>
      </c>
      <c r="H6" s="15">
        <v>81683</v>
      </c>
      <c r="I6" s="15" t="s">
        <v>543</v>
      </c>
      <c r="J6" s="15">
        <v>61277625</v>
      </c>
      <c r="K6" s="15" t="s">
        <v>3041</v>
      </c>
      <c r="L6" s="15" t="s">
        <v>3046</v>
      </c>
      <c r="M6" s="20">
        <v>179900</v>
      </c>
      <c r="N6" s="62">
        <v>0.3</v>
      </c>
      <c r="O6" s="12">
        <f t="shared" si="0"/>
        <v>125930</v>
      </c>
      <c r="P6" s="6" t="s">
        <v>3499</v>
      </c>
    </row>
    <row r="7" spans="1:16" x14ac:dyDescent="0.25">
      <c r="A7" s="6" t="s">
        <v>3512</v>
      </c>
      <c r="B7" s="54">
        <v>46121</v>
      </c>
      <c r="C7" s="7">
        <v>46127</v>
      </c>
      <c r="D7" s="6">
        <v>3271</v>
      </c>
      <c r="E7" s="6">
        <v>336</v>
      </c>
      <c r="F7" s="6">
        <v>4</v>
      </c>
      <c r="G7" s="15">
        <v>4</v>
      </c>
      <c r="H7" s="15">
        <v>81683</v>
      </c>
      <c r="I7" s="15" t="s">
        <v>543</v>
      </c>
      <c r="J7" s="15">
        <v>61277634</v>
      </c>
      <c r="K7" s="15" t="s">
        <v>3041</v>
      </c>
      <c r="L7" s="15" t="s">
        <v>3047</v>
      </c>
      <c r="M7" s="20">
        <v>179900</v>
      </c>
      <c r="N7" s="62">
        <v>0.3</v>
      </c>
      <c r="O7" s="12">
        <f t="shared" si="0"/>
        <v>125930</v>
      </c>
      <c r="P7" s="6" t="s">
        <v>3499</v>
      </c>
    </row>
    <row r="8" spans="1:16" x14ac:dyDescent="0.25">
      <c r="A8" s="6" t="s">
        <v>3512</v>
      </c>
      <c r="B8" s="54">
        <v>46121</v>
      </c>
      <c r="C8" s="7">
        <v>46127</v>
      </c>
      <c r="D8" s="6">
        <v>3271</v>
      </c>
      <c r="E8" s="6">
        <v>336</v>
      </c>
      <c r="F8" s="6">
        <v>4</v>
      </c>
      <c r="G8" s="15">
        <v>4</v>
      </c>
      <c r="H8" s="15">
        <v>81683</v>
      </c>
      <c r="I8" s="15" t="s">
        <v>543</v>
      </c>
      <c r="J8" s="15">
        <v>61277643</v>
      </c>
      <c r="K8" s="15" t="s">
        <v>3041</v>
      </c>
      <c r="L8" s="15" t="s">
        <v>3048</v>
      </c>
      <c r="M8" s="20">
        <v>179900</v>
      </c>
      <c r="N8" s="62">
        <v>0.3</v>
      </c>
      <c r="O8" s="12">
        <f t="shared" si="0"/>
        <v>125930</v>
      </c>
      <c r="P8" s="6" t="s">
        <v>3499</v>
      </c>
    </row>
    <row r="9" spans="1:16" x14ac:dyDescent="0.25">
      <c r="A9" s="6" t="s">
        <v>3512</v>
      </c>
      <c r="B9" s="54">
        <v>46121</v>
      </c>
      <c r="C9" s="7">
        <v>46127</v>
      </c>
      <c r="D9" s="6">
        <v>3271</v>
      </c>
      <c r="E9" s="6">
        <v>336</v>
      </c>
      <c r="F9" s="6">
        <v>4</v>
      </c>
      <c r="G9" s="15">
        <v>4</v>
      </c>
      <c r="H9" s="15">
        <v>81683</v>
      </c>
      <c r="I9" s="15" t="s">
        <v>543</v>
      </c>
      <c r="J9" s="15">
        <v>61277652</v>
      </c>
      <c r="K9" s="15" t="s">
        <v>3041</v>
      </c>
      <c r="L9" s="15" t="s">
        <v>3049</v>
      </c>
      <c r="M9" s="20">
        <v>179900</v>
      </c>
      <c r="N9" s="62">
        <v>0.3</v>
      </c>
      <c r="O9" s="12">
        <f t="shared" si="0"/>
        <v>125930</v>
      </c>
      <c r="P9" s="6" t="s">
        <v>3499</v>
      </c>
    </row>
    <row r="10" spans="1:16" x14ac:dyDescent="0.25">
      <c r="A10" s="6" t="s">
        <v>3512</v>
      </c>
      <c r="B10" s="54">
        <v>46121</v>
      </c>
      <c r="C10" s="7">
        <v>46127</v>
      </c>
      <c r="D10" s="6">
        <v>3271</v>
      </c>
      <c r="E10" s="6">
        <v>336</v>
      </c>
      <c r="F10" s="6">
        <v>4</v>
      </c>
      <c r="G10" s="15">
        <v>4</v>
      </c>
      <c r="H10" s="15">
        <v>81683</v>
      </c>
      <c r="I10" s="15" t="s">
        <v>543</v>
      </c>
      <c r="J10" s="15">
        <v>61277661</v>
      </c>
      <c r="K10" s="15" t="s">
        <v>3041</v>
      </c>
      <c r="L10" s="15" t="s">
        <v>3050</v>
      </c>
      <c r="M10" s="20">
        <v>179900</v>
      </c>
      <c r="N10" s="62">
        <v>0.3</v>
      </c>
      <c r="O10" s="12">
        <f t="shared" si="0"/>
        <v>125930</v>
      </c>
      <c r="P10" s="6" t="s">
        <v>3499</v>
      </c>
    </row>
    <row r="11" spans="1:16" x14ac:dyDescent="0.25">
      <c r="A11" s="6" t="s">
        <v>3512</v>
      </c>
      <c r="B11" s="54">
        <v>46121</v>
      </c>
      <c r="C11" s="7">
        <v>46127</v>
      </c>
      <c r="D11" s="6">
        <v>3271</v>
      </c>
      <c r="E11" s="6">
        <v>336</v>
      </c>
      <c r="F11" s="6">
        <v>4</v>
      </c>
      <c r="G11" s="15">
        <v>4</v>
      </c>
      <c r="H11" s="15">
        <v>81683</v>
      </c>
      <c r="I11" s="15" t="s">
        <v>543</v>
      </c>
      <c r="J11" s="15">
        <v>61277670</v>
      </c>
      <c r="K11" s="15" t="s">
        <v>3041</v>
      </c>
      <c r="L11" s="15" t="s">
        <v>3051</v>
      </c>
      <c r="M11" s="20">
        <v>179900</v>
      </c>
      <c r="N11" s="62">
        <v>0.3</v>
      </c>
      <c r="O11" s="12">
        <f t="shared" si="0"/>
        <v>125930</v>
      </c>
      <c r="P11" s="6" t="s">
        <v>3499</v>
      </c>
    </row>
    <row r="12" spans="1:16" x14ac:dyDescent="0.25">
      <c r="A12" s="6" t="s">
        <v>3512</v>
      </c>
      <c r="B12" s="54">
        <v>46121</v>
      </c>
      <c r="C12" s="7">
        <v>46127</v>
      </c>
      <c r="D12" s="6">
        <v>3271</v>
      </c>
      <c r="E12" s="6">
        <v>336</v>
      </c>
      <c r="F12" s="6">
        <v>4</v>
      </c>
      <c r="G12" s="15">
        <v>4</v>
      </c>
      <c r="H12" s="15">
        <v>81683</v>
      </c>
      <c r="I12" s="15" t="s">
        <v>543</v>
      </c>
      <c r="J12" s="15">
        <v>61277689</v>
      </c>
      <c r="K12" s="15" t="s">
        <v>3052</v>
      </c>
      <c r="L12" s="15" t="s">
        <v>3053</v>
      </c>
      <c r="M12" s="20">
        <v>179900</v>
      </c>
      <c r="N12" s="62">
        <v>0.3</v>
      </c>
      <c r="O12" s="12">
        <f t="shared" si="0"/>
        <v>125930</v>
      </c>
      <c r="P12" s="6" t="s">
        <v>3499</v>
      </c>
    </row>
    <row r="13" spans="1:16" x14ac:dyDescent="0.25">
      <c r="A13" s="6" t="s">
        <v>3512</v>
      </c>
      <c r="B13" s="54">
        <v>46121</v>
      </c>
      <c r="C13" s="7">
        <v>46127</v>
      </c>
      <c r="D13" s="6">
        <v>3271</v>
      </c>
      <c r="E13" s="6">
        <v>336</v>
      </c>
      <c r="F13" s="6">
        <v>4</v>
      </c>
      <c r="G13" s="15">
        <v>4</v>
      </c>
      <c r="H13" s="15">
        <v>81683</v>
      </c>
      <c r="I13" s="15" t="s">
        <v>543</v>
      </c>
      <c r="J13" s="15">
        <v>61277698</v>
      </c>
      <c r="K13" s="15" t="s">
        <v>3052</v>
      </c>
      <c r="L13" s="15" t="s">
        <v>3054</v>
      </c>
      <c r="M13" s="20">
        <v>179900</v>
      </c>
      <c r="N13" s="62">
        <v>0.3</v>
      </c>
      <c r="O13" s="12">
        <f t="shared" si="0"/>
        <v>125930</v>
      </c>
      <c r="P13" s="6" t="s">
        <v>3499</v>
      </c>
    </row>
    <row r="14" spans="1:16" x14ac:dyDescent="0.25">
      <c r="A14" s="6" t="s">
        <v>3512</v>
      </c>
      <c r="B14" s="54">
        <v>46121</v>
      </c>
      <c r="C14" s="7">
        <v>46127</v>
      </c>
      <c r="D14" s="6">
        <v>3271</v>
      </c>
      <c r="E14" s="6">
        <v>336</v>
      </c>
      <c r="F14" s="6">
        <v>4</v>
      </c>
      <c r="G14" s="15">
        <v>4</v>
      </c>
      <c r="H14" s="15">
        <v>81683</v>
      </c>
      <c r="I14" s="15" t="s">
        <v>543</v>
      </c>
      <c r="J14" s="15">
        <v>61277705</v>
      </c>
      <c r="K14" s="15" t="s">
        <v>3052</v>
      </c>
      <c r="L14" s="15" t="s">
        <v>3055</v>
      </c>
      <c r="M14" s="20">
        <v>179900</v>
      </c>
      <c r="N14" s="62">
        <v>0.3</v>
      </c>
      <c r="O14" s="12">
        <f t="shared" si="0"/>
        <v>125930</v>
      </c>
      <c r="P14" s="6" t="s">
        <v>3499</v>
      </c>
    </row>
    <row r="15" spans="1:16" x14ac:dyDescent="0.25">
      <c r="A15" s="6" t="s">
        <v>3512</v>
      </c>
      <c r="B15" s="54">
        <v>46121</v>
      </c>
      <c r="C15" s="7">
        <v>46127</v>
      </c>
      <c r="D15" s="6">
        <v>3271</v>
      </c>
      <c r="E15" s="6">
        <v>336</v>
      </c>
      <c r="F15" s="6">
        <v>4</v>
      </c>
      <c r="G15" s="15">
        <v>4</v>
      </c>
      <c r="H15" s="15">
        <v>81683</v>
      </c>
      <c r="I15" s="15" t="s">
        <v>543</v>
      </c>
      <c r="J15" s="15">
        <v>61277714</v>
      </c>
      <c r="K15" s="15" t="s">
        <v>3052</v>
      </c>
      <c r="L15" s="15" t="s">
        <v>3056</v>
      </c>
      <c r="M15" s="20">
        <v>179900</v>
      </c>
      <c r="N15" s="62">
        <v>0.3</v>
      </c>
      <c r="O15" s="12">
        <f t="shared" si="0"/>
        <v>125930</v>
      </c>
      <c r="P15" s="6" t="s">
        <v>3499</v>
      </c>
    </row>
    <row r="16" spans="1:16" x14ac:dyDescent="0.25">
      <c r="A16" s="6" t="s">
        <v>3512</v>
      </c>
      <c r="B16" s="54">
        <v>46121</v>
      </c>
      <c r="C16" s="7">
        <v>46127</v>
      </c>
      <c r="D16" s="6">
        <v>3271</v>
      </c>
      <c r="E16" s="6">
        <v>336</v>
      </c>
      <c r="F16" s="6">
        <v>4</v>
      </c>
      <c r="G16" s="15">
        <v>4</v>
      </c>
      <c r="H16" s="15">
        <v>81683</v>
      </c>
      <c r="I16" s="15" t="s">
        <v>543</v>
      </c>
      <c r="J16" s="15">
        <v>61277723</v>
      </c>
      <c r="K16" s="15" t="s">
        <v>3052</v>
      </c>
      <c r="L16" s="15" t="s">
        <v>3057</v>
      </c>
      <c r="M16" s="20">
        <v>179900</v>
      </c>
      <c r="N16" s="62">
        <v>0.3</v>
      </c>
      <c r="O16" s="12">
        <f t="shared" si="0"/>
        <v>125930</v>
      </c>
      <c r="P16" s="6" t="s">
        <v>3499</v>
      </c>
    </row>
    <row r="17" spans="1:16" x14ac:dyDescent="0.25">
      <c r="A17" s="6" t="s">
        <v>3512</v>
      </c>
      <c r="B17" s="54">
        <v>46121</v>
      </c>
      <c r="C17" s="7">
        <v>46127</v>
      </c>
      <c r="D17" s="6">
        <v>3271</v>
      </c>
      <c r="E17" s="6">
        <v>336</v>
      </c>
      <c r="F17" s="6">
        <v>4</v>
      </c>
      <c r="G17" s="15">
        <v>4</v>
      </c>
      <c r="H17" s="15">
        <v>81683</v>
      </c>
      <c r="I17" s="15" t="s">
        <v>543</v>
      </c>
      <c r="J17" s="15">
        <v>61277732</v>
      </c>
      <c r="K17" s="15" t="s">
        <v>3052</v>
      </c>
      <c r="L17" s="15" t="s">
        <v>3058</v>
      </c>
      <c r="M17" s="20">
        <v>179900</v>
      </c>
      <c r="N17" s="62">
        <v>0.3</v>
      </c>
      <c r="O17" s="12">
        <f t="shared" si="0"/>
        <v>125930</v>
      </c>
      <c r="P17" s="6" t="s">
        <v>3499</v>
      </c>
    </row>
    <row r="18" spans="1:16" x14ac:dyDescent="0.25">
      <c r="A18" s="6" t="s">
        <v>3512</v>
      </c>
      <c r="B18" s="54">
        <v>46121</v>
      </c>
      <c r="C18" s="7">
        <v>46127</v>
      </c>
      <c r="D18" s="6">
        <v>3271</v>
      </c>
      <c r="E18" s="6">
        <v>336</v>
      </c>
      <c r="F18" s="6">
        <v>4</v>
      </c>
      <c r="G18" s="15">
        <v>4</v>
      </c>
      <c r="H18" s="15">
        <v>81683</v>
      </c>
      <c r="I18" s="15" t="s">
        <v>543</v>
      </c>
      <c r="J18" s="15">
        <v>61277741</v>
      </c>
      <c r="K18" s="15" t="s">
        <v>3052</v>
      </c>
      <c r="L18" s="15" t="s">
        <v>3059</v>
      </c>
      <c r="M18" s="20">
        <v>179900</v>
      </c>
      <c r="N18" s="62">
        <v>0.3</v>
      </c>
      <c r="O18" s="12">
        <f t="shared" si="0"/>
        <v>125930</v>
      </c>
      <c r="P18" s="6" t="s">
        <v>3499</v>
      </c>
    </row>
    <row r="19" spans="1:16" x14ac:dyDescent="0.25">
      <c r="A19" s="6" t="s">
        <v>3512</v>
      </c>
      <c r="B19" s="54">
        <v>46121</v>
      </c>
      <c r="C19" s="7">
        <v>46127</v>
      </c>
      <c r="D19" s="6">
        <v>3271</v>
      </c>
      <c r="E19" s="6">
        <v>336</v>
      </c>
      <c r="F19" s="6">
        <v>4</v>
      </c>
      <c r="G19" s="15">
        <v>4</v>
      </c>
      <c r="H19" s="15">
        <v>81683</v>
      </c>
      <c r="I19" s="15" t="s">
        <v>543</v>
      </c>
      <c r="J19" s="15">
        <v>61277750</v>
      </c>
      <c r="K19" s="15" t="s">
        <v>3052</v>
      </c>
      <c r="L19" s="15" t="s">
        <v>3060</v>
      </c>
      <c r="M19" s="20">
        <v>179900</v>
      </c>
      <c r="N19" s="62">
        <v>0.3</v>
      </c>
      <c r="O19" s="12">
        <f t="shared" si="0"/>
        <v>125930</v>
      </c>
      <c r="P19" s="6" t="s">
        <v>3499</v>
      </c>
    </row>
    <row r="20" spans="1:16" x14ac:dyDescent="0.25">
      <c r="A20" s="6" t="s">
        <v>3512</v>
      </c>
      <c r="B20" s="54">
        <v>46121</v>
      </c>
      <c r="C20" s="7">
        <v>46127</v>
      </c>
      <c r="D20" s="6">
        <v>3271</v>
      </c>
      <c r="E20" s="6">
        <v>336</v>
      </c>
      <c r="F20" s="6">
        <v>4</v>
      </c>
      <c r="G20" s="15">
        <v>4</v>
      </c>
      <c r="H20" s="15">
        <v>81683</v>
      </c>
      <c r="I20" s="15" t="s">
        <v>543</v>
      </c>
      <c r="J20" s="15">
        <v>61277769</v>
      </c>
      <c r="K20" s="15" t="s">
        <v>3052</v>
      </c>
      <c r="L20" s="15" t="s">
        <v>3061</v>
      </c>
      <c r="M20" s="20">
        <v>179900</v>
      </c>
      <c r="N20" s="62">
        <v>0.3</v>
      </c>
      <c r="O20" s="12">
        <f t="shared" si="0"/>
        <v>125930</v>
      </c>
      <c r="P20" s="6" t="s">
        <v>3499</v>
      </c>
    </row>
    <row r="21" spans="1:16" x14ac:dyDescent="0.25">
      <c r="A21" s="6" t="s">
        <v>3512</v>
      </c>
      <c r="B21" s="54">
        <v>46121</v>
      </c>
      <c r="C21" s="7">
        <v>46127</v>
      </c>
      <c r="D21" s="6">
        <v>3271</v>
      </c>
      <c r="E21" s="6">
        <v>336</v>
      </c>
      <c r="F21" s="6">
        <v>4</v>
      </c>
      <c r="G21" s="15">
        <v>4</v>
      </c>
      <c r="H21" s="15">
        <v>81683</v>
      </c>
      <c r="I21" s="15" t="s">
        <v>543</v>
      </c>
      <c r="J21" s="15">
        <v>61277778</v>
      </c>
      <c r="K21" s="15" t="s">
        <v>3052</v>
      </c>
      <c r="L21" s="15" t="s">
        <v>3062</v>
      </c>
      <c r="M21" s="20">
        <v>179900</v>
      </c>
      <c r="N21" s="62">
        <v>0.3</v>
      </c>
      <c r="O21" s="12">
        <f t="shared" si="0"/>
        <v>125930</v>
      </c>
      <c r="P21" s="6" t="s">
        <v>3499</v>
      </c>
    </row>
    <row r="22" spans="1:16" x14ac:dyDescent="0.25">
      <c r="A22" s="6" t="s">
        <v>3512</v>
      </c>
      <c r="B22" s="54">
        <v>46121</v>
      </c>
      <c r="C22" s="7">
        <v>46127</v>
      </c>
      <c r="D22" s="6">
        <v>3271</v>
      </c>
      <c r="E22" s="6">
        <v>336</v>
      </c>
      <c r="F22" s="6">
        <v>4</v>
      </c>
      <c r="G22" s="15">
        <v>4</v>
      </c>
      <c r="H22" s="15">
        <v>81683</v>
      </c>
      <c r="I22" s="15" t="s">
        <v>543</v>
      </c>
      <c r="J22" s="15">
        <v>61277787</v>
      </c>
      <c r="K22" s="15" t="s">
        <v>3063</v>
      </c>
      <c r="L22" s="15" t="s">
        <v>3064</v>
      </c>
      <c r="M22" s="20">
        <v>179900</v>
      </c>
      <c r="N22" s="62">
        <v>0.3</v>
      </c>
      <c r="O22" s="12">
        <f t="shared" si="0"/>
        <v>125930</v>
      </c>
      <c r="P22" s="6" t="s">
        <v>3499</v>
      </c>
    </row>
    <row r="23" spans="1:16" x14ac:dyDescent="0.25">
      <c r="A23" s="6" t="s">
        <v>3512</v>
      </c>
      <c r="B23" s="54">
        <v>46121</v>
      </c>
      <c r="C23" s="7">
        <v>46127</v>
      </c>
      <c r="D23" s="6">
        <v>3271</v>
      </c>
      <c r="E23" s="6">
        <v>336</v>
      </c>
      <c r="F23" s="6">
        <v>4</v>
      </c>
      <c r="G23" s="15">
        <v>4</v>
      </c>
      <c r="H23" s="15">
        <v>81683</v>
      </c>
      <c r="I23" s="15" t="s">
        <v>543</v>
      </c>
      <c r="J23" s="15">
        <v>61277796</v>
      </c>
      <c r="K23" s="15" t="s">
        <v>3063</v>
      </c>
      <c r="L23" s="15" t="s">
        <v>3065</v>
      </c>
      <c r="M23" s="20">
        <v>179900</v>
      </c>
      <c r="N23" s="62">
        <v>0.3</v>
      </c>
      <c r="O23" s="12">
        <f t="shared" si="0"/>
        <v>125930</v>
      </c>
      <c r="P23" s="6" t="s">
        <v>3499</v>
      </c>
    </row>
    <row r="24" spans="1:16" x14ac:dyDescent="0.25">
      <c r="A24" s="6" t="s">
        <v>3512</v>
      </c>
      <c r="B24" s="54">
        <v>46121</v>
      </c>
      <c r="C24" s="7">
        <v>46127</v>
      </c>
      <c r="D24" s="6">
        <v>3271</v>
      </c>
      <c r="E24" s="6">
        <v>336</v>
      </c>
      <c r="F24" s="6">
        <v>4</v>
      </c>
      <c r="G24" s="15">
        <v>4</v>
      </c>
      <c r="H24" s="15">
        <v>81683</v>
      </c>
      <c r="I24" s="15" t="s">
        <v>543</v>
      </c>
      <c r="J24" s="15">
        <v>61277803</v>
      </c>
      <c r="K24" s="15" t="s">
        <v>3063</v>
      </c>
      <c r="L24" s="15" t="s">
        <v>3066</v>
      </c>
      <c r="M24" s="20">
        <v>179900</v>
      </c>
      <c r="N24" s="62">
        <v>0.3</v>
      </c>
      <c r="O24" s="12">
        <f t="shared" si="0"/>
        <v>125930</v>
      </c>
      <c r="P24" s="6" t="s">
        <v>3499</v>
      </c>
    </row>
    <row r="25" spans="1:16" x14ac:dyDescent="0.25">
      <c r="A25" s="6" t="s">
        <v>3512</v>
      </c>
      <c r="B25" s="54">
        <v>46121</v>
      </c>
      <c r="C25" s="7">
        <v>46127</v>
      </c>
      <c r="D25" s="6">
        <v>3271</v>
      </c>
      <c r="E25" s="6">
        <v>336</v>
      </c>
      <c r="F25" s="6">
        <v>4</v>
      </c>
      <c r="G25" s="15">
        <v>4</v>
      </c>
      <c r="H25" s="15">
        <v>81683</v>
      </c>
      <c r="I25" s="15" t="s">
        <v>543</v>
      </c>
      <c r="J25" s="15">
        <v>61277812</v>
      </c>
      <c r="K25" s="15" t="s">
        <v>3063</v>
      </c>
      <c r="L25" s="15" t="s">
        <v>3067</v>
      </c>
      <c r="M25" s="20">
        <v>179900</v>
      </c>
      <c r="N25" s="62">
        <v>0.3</v>
      </c>
      <c r="O25" s="12">
        <f t="shared" si="0"/>
        <v>125930</v>
      </c>
      <c r="P25" s="6" t="s">
        <v>3499</v>
      </c>
    </row>
    <row r="26" spans="1:16" x14ac:dyDescent="0.25">
      <c r="A26" s="6" t="s">
        <v>3512</v>
      </c>
      <c r="B26" s="54">
        <v>46121</v>
      </c>
      <c r="C26" s="7">
        <v>46127</v>
      </c>
      <c r="D26" s="6">
        <v>3271</v>
      </c>
      <c r="E26" s="6">
        <v>336</v>
      </c>
      <c r="F26" s="6">
        <v>4</v>
      </c>
      <c r="G26" s="15">
        <v>4</v>
      </c>
      <c r="H26" s="15">
        <v>81683</v>
      </c>
      <c r="I26" s="15" t="s">
        <v>543</v>
      </c>
      <c r="J26" s="15">
        <v>61277830</v>
      </c>
      <c r="K26" s="15" t="s">
        <v>3063</v>
      </c>
      <c r="L26" s="15" t="s">
        <v>3068</v>
      </c>
      <c r="M26" s="20">
        <v>179900</v>
      </c>
      <c r="N26" s="62">
        <v>0.3</v>
      </c>
      <c r="O26" s="12">
        <f t="shared" si="0"/>
        <v>125930</v>
      </c>
      <c r="P26" s="6" t="s">
        <v>3499</v>
      </c>
    </row>
    <row r="27" spans="1:16" x14ac:dyDescent="0.25">
      <c r="A27" s="6" t="s">
        <v>3512</v>
      </c>
      <c r="B27" s="54">
        <v>46121</v>
      </c>
      <c r="C27" s="7">
        <v>46127</v>
      </c>
      <c r="D27" s="6">
        <v>3271</v>
      </c>
      <c r="E27" s="6">
        <v>336</v>
      </c>
      <c r="F27" s="6">
        <v>4</v>
      </c>
      <c r="G27" s="15">
        <v>4</v>
      </c>
      <c r="H27" s="15">
        <v>81683</v>
      </c>
      <c r="I27" s="15" t="s">
        <v>543</v>
      </c>
      <c r="J27" s="15">
        <v>61277849</v>
      </c>
      <c r="K27" s="15" t="s">
        <v>3063</v>
      </c>
      <c r="L27" s="15" t="s">
        <v>3069</v>
      </c>
      <c r="M27" s="20">
        <v>179900</v>
      </c>
      <c r="N27" s="62">
        <v>0.3</v>
      </c>
      <c r="O27" s="12">
        <f t="shared" si="0"/>
        <v>125930</v>
      </c>
      <c r="P27" s="6" t="s">
        <v>3499</v>
      </c>
    </row>
    <row r="28" spans="1:16" x14ac:dyDescent="0.25">
      <c r="A28" s="6" t="s">
        <v>3512</v>
      </c>
      <c r="B28" s="54">
        <v>46121</v>
      </c>
      <c r="C28" s="7">
        <v>46127</v>
      </c>
      <c r="D28" s="6">
        <v>3271</v>
      </c>
      <c r="E28" s="6">
        <v>336</v>
      </c>
      <c r="F28" s="6">
        <v>4</v>
      </c>
      <c r="G28" s="15">
        <v>4</v>
      </c>
      <c r="H28" s="15">
        <v>81683</v>
      </c>
      <c r="I28" s="15" t="s">
        <v>543</v>
      </c>
      <c r="J28" s="15">
        <v>61277858</v>
      </c>
      <c r="K28" s="15" t="s">
        <v>3063</v>
      </c>
      <c r="L28" s="15" t="s">
        <v>3070</v>
      </c>
      <c r="M28" s="20">
        <v>179900</v>
      </c>
      <c r="N28" s="62">
        <v>0.3</v>
      </c>
      <c r="O28" s="12">
        <f t="shared" si="0"/>
        <v>125930</v>
      </c>
      <c r="P28" s="6" t="s">
        <v>3499</v>
      </c>
    </row>
    <row r="29" spans="1:16" x14ac:dyDescent="0.25">
      <c r="A29" s="6" t="s">
        <v>3512</v>
      </c>
      <c r="B29" s="54">
        <v>46121</v>
      </c>
      <c r="C29" s="7">
        <v>46127</v>
      </c>
      <c r="D29" s="6">
        <v>3271</v>
      </c>
      <c r="E29" s="6">
        <v>336</v>
      </c>
      <c r="F29" s="6">
        <v>4</v>
      </c>
      <c r="G29" s="15">
        <v>4</v>
      </c>
      <c r="H29" s="15">
        <v>81683</v>
      </c>
      <c r="I29" s="15" t="s">
        <v>543</v>
      </c>
      <c r="J29" s="15">
        <v>61277867</v>
      </c>
      <c r="K29" s="15" t="s">
        <v>3063</v>
      </c>
      <c r="L29" s="15" t="s">
        <v>3071</v>
      </c>
      <c r="M29" s="20">
        <v>179900</v>
      </c>
      <c r="N29" s="62">
        <v>0.3</v>
      </c>
      <c r="O29" s="12">
        <f t="shared" si="0"/>
        <v>125930</v>
      </c>
      <c r="P29" s="6" t="s">
        <v>3499</v>
      </c>
    </row>
    <row r="30" spans="1:16" x14ac:dyDescent="0.25">
      <c r="A30" s="6" t="s">
        <v>3512</v>
      </c>
      <c r="B30" s="54">
        <v>46121</v>
      </c>
      <c r="C30" s="7">
        <v>46127</v>
      </c>
      <c r="D30" s="6">
        <v>3271</v>
      </c>
      <c r="E30" s="6">
        <v>336</v>
      </c>
      <c r="F30" s="6">
        <v>4</v>
      </c>
      <c r="G30" s="15">
        <v>4</v>
      </c>
      <c r="H30" s="15">
        <v>4953</v>
      </c>
      <c r="I30" s="15" t="s">
        <v>543</v>
      </c>
      <c r="J30" s="15">
        <v>59325658</v>
      </c>
      <c r="K30" s="15" t="s">
        <v>3072</v>
      </c>
      <c r="L30" s="15" t="s">
        <v>3073</v>
      </c>
      <c r="M30" s="20">
        <v>99900</v>
      </c>
      <c r="N30" s="62">
        <v>0.3</v>
      </c>
      <c r="O30" s="12">
        <f t="shared" si="0"/>
        <v>69930</v>
      </c>
      <c r="P30" s="6" t="s">
        <v>3499</v>
      </c>
    </row>
    <row r="31" spans="1:16" x14ac:dyDescent="0.25">
      <c r="A31" s="6" t="s">
        <v>3512</v>
      </c>
      <c r="B31" s="54">
        <v>46121</v>
      </c>
      <c r="C31" s="7">
        <v>46127</v>
      </c>
      <c r="D31" s="6">
        <v>3271</v>
      </c>
      <c r="E31" s="6">
        <v>336</v>
      </c>
      <c r="F31" s="6">
        <v>4</v>
      </c>
      <c r="G31" s="15">
        <v>4</v>
      </c>
      <c r="H31" s="15">
        <v>4953</v>
      </c>
      <c r="I31" s="15" t="s">
        <v>543</v>
      </c>
      <c r="J31" s="15">
        <v>59325667</v>
      </c>
      <c r="K31" s="15" t="s">
        <v>3072</v>
      </c>
      <c r="L31" s="15" t="s">
        <v>3074</v>
      </c>
      <c r="M31" s="20">
        <v>99900</v>
      </c>
      <c r="N31" s="62">
        <v>0.3</v>
      </c>
      <c r="O31" s="12">
        <f t="shared" si="0"/>
        <v>69930</v>
      </c>
      <c r="P31" s="6" t="s">
        <v>3499</v>
      </c>
    </row>
    <row r="32" spans="1:16" x14ac:dyDescent="0.25">
      <c r="A32" s="6" t="s">
        <v>3512</v>
      </c>
      <c r="B32" s="54">
        <v>46121</v>
      </c>
      <c r="C32" s="7">
        <v>46127</v>
      </c>
      <c r="D32" s="6">
        <v>3271</v>
      </c>
      <c r="E32" s="6">
        <v>336</v>
      </c>
      <c r="F32" s="6">
        <v>4</v>
      </c>
      <c r="G32" s="15">
        <v>4</v>
      </c>
      <c r="H32" s="15">
        <v>4953</v>
      </c>
      <c r="I32" s="15" t="s">
        <v>543</v>
      </c>
      <c r="J32" s="15">
        <v>59325676</v>
      </c>
      <c r="K32" s="15" t="s">
        <v>3072</v>
      </c>
      <c r="L32" s="15" t="s">
        <v>3075</v>
      </c>
      <c r="M32" s="20">
        <v>99900</v>
      </c>
      <c r="N32" s="62">
        <v>0.3</v>
      </c>
      <c r="O32" s="12">
        <f t="shared" si="0"/>
        <v>69930</v>
      </c>
      <c r="P32" s="6" t="s">
        <v>3499</v>
      </c>
    </row>
    <row r="33" spans="1:16" x14ac:dyDescent="0.25">
      <c r="A33" s="6" t="s">
        <v>3512</v>
      </c>
      <c r="B33" s="54">
        <v>46121</v>
      </c>
      <c r="C33" s="7">
        <v>46127</v>
      </c>
      <c r="D33" s="6">
        <v>3271</v>
      </c>
      <c r="E33" s="6">
        <v>336</v>
      </c>
      <c r="F33" s="6">
        <v>4</v>
      </c>
      <c r="G33" s="15">
        <v>4</v>
      </c>
      <c r="H33" s="15">
        <v>4953</v>
      </c>
      <c r="I33" s="15" t="s">
        <v>543</v>
      </c>
      <c r="J33" s="15">
        <v>59325685</v>
      </c>
      <c r="K33" s="15" t="s">
        <v>3072</v>
      </c>
      <c r="L33" s="15" t="s">
        <v>3076</v>
      </c>
      <c r="M33" s="20">
        <v>99900</v>
      </c>
      <c r="N33" s="62">
        <v>0.3</v>
      </c>
      <c r="O33" s="12">
        <f t="shared" si="0"/>
        <v>69930</v>
      </c>
      <c r="P33" s="6" t="s">
        <v>3499</v>
      </c>
    </row>
    <row r="34" spans="1:16" x14ac:dyDescent="0.25">
      <c r="A34" s="6" t="s">
        <v>3512</v>
      </c>
      <c r="B34" s="54">
        <v>46121</v>
      </c>
      <c r="C34" s="7">
        <v>46127</v>
      </c>
      <c r="D34" s="6">
        <v>3271</v>
      </c>
      <c r="E34" s="6">
        <v>336</v>
      </c>
      <c r="F34" s="6">
        <v>4</v>
      </c>
      <c r="G34" s="15">
        <v>4</v>
      </c>
      <c r="H34" s="15">
        <v>4953</v>
      </c>
      <c r="I34" s="15" t="s">
        <v>543</v>
      </c>
      <c r="J34" s="15">
        <v>59325694</v>
      </c>
      <c r="K34" s="15" t="s">
        <v>3072</v>
      </c>
      <c r="L34" s="15" t="s">
        <v>3077</v>
      </c>
      <c r="M34" s="20">
        <v>99900</v>
      </c>
      <c r="N34" s="62">
        <v>0.3</v>
      </c>
      <c r="O34" s="12">
        <f t="shared" si="0"/>
        <v>69930</v>
      </c>
      <c r="P34" s="6" t="s">
        <v>3499</v>
      </c>
    </row>
    <row r="35" spans="1:16" x14ac:dyDescent="0.25">
      <c r="A35" s="6" t="s">
        <v>3512</v>
      </c>
      <c r="B35" s="54">
        <v>46121</v>
      </c>
      <c r="C35" s="7">
        <v>46127</v>
      </c>
      <c r="D35" s="6">
        <v>3271</v>
      </c>
      <c r="E35" s="6">
        <v>336</v>
      </c>
      <c r="F35" s="6">
        <v>4</v>
      </c>
      <c r="G35" s="15">
        <v>4</v>
      </c>
      <c r="H35" s="15">
        <v>4953</v>
      </c>
      <c r="I35" s="15" t="s">
        <v>543</v>
      </c>
      <c r="J35" s="15">
        <v>59325701</v>
      </c>
      <c r="K35" s="15" t="s">
        <v>3072</v>
      </c>
      <c r="L35" s="15" t="s">
        <v>3078</v>
      </c>
      <c r="M35" s="20">
        <v>99900</v>
      </c>
      <c r="N35" s="62">
        <v>0.3</v>
      </c>
      <c r="O35" s="12">
        <f t="shared" si="0"/>
        <v>69930</v>
      </c>
      <c r="P35" s="6" t="s">
        <v>3499</v>
      </c>
    </row>
    <row r="36" spans="1:16" x14ac:dyDescent="0.25">
      <c r="A36" s="6" t="s">
        <v>3512</v>
      </c>
      <c r="B36" s="54">
        <v>46121</v>
      </c>
      <c r="C36" s="7">
        <v>46127</v>
      </c>
      <c r="D36" s="6">
        <v>3271</v>
      </c>
      <c r="E36" s="6">
        <v>336</v>
      </c>
      <c r="F36" s="6">
        <v>4</v>
      </c>
      <c r="G36" s="15">
        <v>4</v>
      </c>
      <c r="H36" s="15">
        <v>4953</v>
      </c>
      <c r="I36" s="15" t="s">
        <v>543</v>
      </c>
      <c r="J36" s="15">
        <v>59325710</v>
      </c>
      <c r="K36" s="15" t="s">
        <v>3079</v>
      </c>
      <c r="L36" s="15" t="s">
        <v>3080</v>
      </c>
      <c r="M36" s="20">
        <v>99900</v>
      </c>
      <c r="N36" s="62">
        <v>0.3</v>
      </c>
      <c r="O36" s="12">
        <f t="shared" si="0"/>
        <v>69930</v>
      </c>
      <c r="P36" s="6" t="s">
        <v>3499</v>
      </c>
    </row>
    <row r="37" spans="1:16" x14ac:dyDescent="0.25">
      <c r="A37" s="6" t="s">
        <v>3512</v>
      </c>
      <c r="B37" s="54">
        <v>46121</v>
      </c>
      <c r="C37" s="7">
        <v>46127</v>
      </c>
      <c r="D37" s="6">
        <v>3271</v>
      </c>
      <c r="E37" s="6">
        <v>336</v>
      </c>
      <c r="F37" s="6">
        <v>4</v>
      </c>
      <c r="G37" s="15">
        <v>4</v>
      </c>
      <c r="H37" s="15">
        <v>4953</v>
      </c>
      <c r="I37" s="15" t="s">
        <v>543</v>
      </c>
      <c r="J37" s="15">
        <v>59325729</v>
      </c>
      <c r="K37" s="15" t="s">
        <v>3079</v>
      </c>
      <c r="L37" s="15" t="s">
        <v>3081</v>
      </c>
      <c r="M37" s="20">
        <v>99900</v>
      </c>
      <c r="N37" s="62">
        <v>0.3</v>
      </c>
      <c r="O37" s="12">
        <f t="shared" si="0"/>
        <v>69930</v>
      </c>
      <c r="P37" s="6" t="s">
        <v>3499</v>
      </c>
    </row>
    <row r="38" spans="1:16" x14ac:dyDescent="0.25">
      <c r="A38" s="6" t="s">
        <v>3512</v>
      </c>
      <c r="B38" s="54">
        <v>46121</v>
      </c>
      <c r="C38" s="7">
        <v>46127</v>
      </c>
      <c r="D38" s="6">
        <v>3271</v>
      </c>
      <c r="E38" s="6">
        <v>336</v>
      </c>
      <c r="F38" s="6">
        <v>4</v>
      </c>
      <c r="G38" s="15">
        <v>4</v>
      </c>
      <c r="H38" s="15">
        <v>4953</v>
      </c>
      <c r="I38" s="15" t="s">
        <v>543</v>
      </c>
      <c r="J38" s="15">
        <v>59325738</v>
      </c>
      <c r="K38" s="15" t="s">
        <v>3079</v>
      </c>
      <c r="L38" s="15" t="s">
        <v>3082</v>
      </c>
      <c r="M38" s="20">
        <v>99900</v>
      </c>
      <c r="N38" s="62">
        <v>0.3</v>
      </c>
      <c r="O38" s="12">
        <f t="shared" si="0"/>
        <v>69930</v>
      </c>
      <c r="P38" s="6" t="s">
        <v>3499</v>
      </c>
    </row>
    <row r="39" spans="1:16" x14ac:dyDescent="0.25">
      <c r="A39" s="6" t="s">
        <v>3512</v>
      </c>
      <c r="B39" s="54">
        <v>46121</v>
      </c>
      <c r="C39" s="7">
        <v>46127</v>
      </c>
      <c r="D39" s="6">
        <v>3271</v>
      </c>
      <c r="E39" s="6">
        <v>336</v>
      </c>
      <c r="F39" s="6">
        <v>4</v>
      </c>
      <c r="G39" s="15">
        <v>4</v>
      </c>
      <c r="H39" s="15">
        <v>4953</v>
      </c>
      <c r="I39" s="15" t="s">
        <v>543</v>
      </c>
      <c r="J39" s="15">
        <v>59325747</v>
      </c>
      <c r="K39" s="15" t="s">
        <v>3079</v>
      </c>
      <c r="L39" s="15" t="s">
        <v>3083</v>
      </c>
      <c r="M39" s="20">
        <v>99900</v>
      </c>
      <c r="N39" s="62">
        <v>0.3</v>
      </c>
      <c r="O39" s="12">
        <f t="shared" si="0"/>
        <v>69930</v>
      </c>
      <c r="P39" s="6" t="s">
        <v>3499</v>
      </c>
    </row>
    <row r="40" spans="1:16" x14ac:dyDescent="0.25">
      <c r="A40" s="6" t="s">
        <v>3512</v>
      </c>
      <c r="B40" s="54">
        <v>46121</v>
      </c>
      <c r="C40" s="7">
        <v>46127</v>
      </c>
      <c r="D40" s="6">
        <v>3271</v>
      </c>
      <c r="E40" s="6">
        <v>336</v>
      </c>
      <c r="F40" s="6">
        <v>4</v>
      </c>
      <c r="G40" s="15">
        <v>4</v>
      </c>
      <c r="H40" s="15">
        <v>4953</v>
      </c>
      <c r="I40" s="15" t="s">
        <v>543</v>
      </c>
      <c r="J40" s="15">
        <v>59325756</v>
      </c>
      <c r="K40" s="15" t="s">
        <v>3079</v>
      </c>
      <c r="L40" s="15" t="s">
        <v>3084</v>
      </c>
      <c r="M40" s="20">
        <v>99900</v>
      </c>
      <c r="N40" s="62">
        <v>0.3</v>
      </c>
      <c r="O40" s="12">
        <f t="shared" si="0"/>
        <v>69930</v>
      </c>
      <c r="P40" s="6" t="s">
        <v>3499</v>
      </c>
    </row>
    <row r="41" spans="1:16" x14ac:dyDescent="0.25">
      <c r="A41" s="6" t="s">
        <v>3512</v>
      </c>
      <c r="B41" s="54">
        <v>46121</v>
      </c>
      <c r="C41" s="7">
        <v>46127</v>
      </c>
      <c r="D41" s="6">
        <v>3271</v>
      </c>
      <c r="E41" s="6">
        <v>336</v>
      </c>
      <c r="F41" s="6">
        <v>4</v>
      </c>
      <c r="G41" s="15">
        <v>4</v>
      </c>
      <c r="H41" s="15">
        <v>4953</v>
      </c>
      <c r="I41" s="15" t="s">
        <v>543</v>
      </c>
      <c r="J41" s="15">
        <v>59325765</v>
      </c>
      <c r="K41" s="15" t="s">
        <v>3079</v>
      </c>
      <c r="L41" s="15" t="s">
        <v>3085</v>
      </c>
      <c r="M41" s="20">
        <v>99900</v>
      </c>
      <c r="N41" s="62">
        <v>0.3</v>
      </c>
      <c r="O41" s="12">
        <f t="shared" si="0"/>
        <v>69930</v>
      </c>
      <c r="P41" s="6" t="s">
        <v>3499</v>
      </c>
    </row>
    <row r="42" spans="1:16" x14ac:dyDescent="0.25">
      <c r="A42" s="6" t="s">
        <v>3512</v>
      </c>
      <c r="B42" s="54">
        <v>46121</v>
      </c>
      <c r="C42" s="7">
        <v>46127</v>
      </c>
      <c r="D42" s="6">
        <v>3271</v>
      </c>
      <c r="E42" s="6">
        <v>336</v>
      </c>
      <c r="F42" s="6">
        <v>4</v>
      </c>
      <c r="G42" s="15">
        <v>4</v>
      </c>
      <c r="H42" s="15">
        <v>4953</v>
      </c>
      <c r="I42" s="15" t="s">
        <v>543</v>
      </c>
      <c r="J42" s="15">
        <v>59325774</v>
      </c>
      <c r="K42" s="15" t="s">
        <v>3086</v>
      </c>
      <c r="L42" s="15" t="s">
        <v>3087</v>
      </c>
      <c r="M42" s="20">
        <v>99900</v>
      </c>
      <c r="N42" s="62">
        <v>0.3</v>
      </c>
      <c r="O42" s="12">
        <f t="shared" si="0"/>
        <v>69930</v>
      </c>
      <c r="P42" s="6" t="s">
        <v>3499</v>
      </c>
    </row>
    <row r="43" spans="1:16" x14ac:dyDescent="0.25">
      <c r="A43" s="6" t="s">
        <v>3512</v>
      </c>
      <c r="B43" s="54">
        <v>46121</v>
      </c>
      <c r="C43" s="7">
        <v>46127</v>
      </c>
      <c r="D43" s="6">
        <v>3271</v>
      </c>
      <c r="E43" s="6">
        <v>336</v>
      </c>
      <c r="F43" s="6">
        <v>4</v>
      </c>
      <c r="G43" s="15">
        <v>4</v>
      </c>
      <c r="H43" s="15">
        <v>4953</v>
      </c>
      <c r="I43" s="15" t="s">
        <v>543</v>
      </c>
      <c r="J43" s="15">
        <v>59325783</v>
      </c>
      <c r="K43" s="15" t="s">
        <v>3086</v>
      </c>
      <c r="L43" s="15" t="s">
        <v>3088</v>
      </c>
      <c r="M43" s="20">
        <v>99900</v>
      </c>
      <c r="N43" s="62">
        <v>0.3</v>
      </c>
      <c r="O43" s="12">
        <f t="shared" si="0"/>
        <v>69930</v>
      </c>
      <c r="P43" s="6" t="s">
        <v>3499</v>
      </c>
    </row>
    <row r="44" spans="1:16" x14ac:dyDescent="0.25">
      <c r="A44" s="6" t="s">
        <v>3512</v>
      </c>
      <c r="B44" s="54">
        <v>46121</v>
      </c>
      <c r="C44" s="7">
        <v>46127</v>
      </c>
      <c r="D44" s="6">
        <v>3271</v>
      </c>
      <c r="E44" s="6">
        <v>336</v>
      </c>
      <c r="F44" s="6">
        <v>4</v>
      </c>
      <c r="G44" s="15">
        <v>4</v>
      </c>
      <c r="H44" s="15">
        <v>4953</v>
      </c>
      <c r="I44" s="15" t="s">
        <v>543</v>
      </c>
      <c r="J44" s="15">
        <v>59325792</v>
      </c>
      <c r="K44" s="15" t="s">
        <v>3086</v>
      </c>
      <c r="L44" s="15" t="s">
        <v>3089</v>
      </c>
      <c r="M44" s="20">
        <v>99900</v>
      </c>
      <c r="N44" s="62">
        <v>0.3</v>
      </c>
      <c r="O44" s="12">
        <f t="shared" si="0"/>
        <v>69930</v>
      </c>
      <c r="P44" s="6" t="s">
        <v>3499</v>
      </c>
    </row>
    <row r="45" spans="1:16" x14ac:dyDescent="0.25">
      <c r="A45" s="6" t="s">
        <v>3512</v>
      </c>
      <c r="B45" s="54">
        <v>46121</v>
      </c>
      <c r="C45" s="7">
        <v>46127</v>
      </c>
      <c r="D45" s="6">
        <v>3271</v>
      </c>
      <c r="E45" s="6">
        <v>336</v>
      </c>
      <c r="F45" s="6">
        <v>4</v>
      </c>
      <c r="G45" s="15">
        <v>4</v>
      </c>
      <c r="H45" s="15">
        <v>4953</v>
      </c>
      <c r="I45" s="15" t="s">
        <v>543</v>
      </c>
      <c r="J45" s="15">
        <v>59325809</v>
      </c>
      <c r="K45" s="15" t="s">
        <v>3086</v>
      </c>
      <c r="L45" s="15" t="s">
        <v>3090</v>
      </c>
      <c r="M45" s="20">
        <v>99900</v>
      </c>
      <c r="N45" s="62">
        <v>0.3</v>
      </c>
      <c r="O45" s="12">
        <f t="shared" si="0"/>
        <v>69930</v>
      </c>
      <c r="P45" s="6" t="s">
        <v>3499</v>
      </c>
    </row>
    <row r="46" spans="1:16" x14ac:dyDescent="0.25">
      <c r="A46" s="6" t="s">
        <v>3512</v>
      </c>
      <c r="B46" s="54">
        <v>46121</v>
      </c>
      <c r="C46" s="7">
        <v>46127</v>
      </c>
      <c r="D46" s="6">
        <v>3271</v>
      </c>
      <c r="E46" s="6">
        <v>336</v>
      </c>
      <c r="F46" s="6">
        <v>4</v>
      </c>
      <c r="G46" s="15">
        <v>4</v>
      </c>
      <c r="H46" s="15">
        <v>4953</v>
      </c>
      <c r="I46" s="15" t="s">
        <v>543</v>
      </c>
      <c r="J46" s="15">
        <v>59325818</v>
      </c>
      <c r="K46" s="15" t="s">
        <v>3086</v>
      </c>
      <c r="L46" s="15" t="s">
        <v>3091</v>
      </c>
      <c r="M46" s="20">
        <v>99900</v>
      </c>
      <c r="N46" s="62">
        <v>0.3</v>
      </c>
      <c r="O46" s="12">
        <f t="shared" si="0"/>
        <v>69930</v>
      </c>
      <c r="P46" s="6" t="s">
        <v>3499</v>
      </c>
    </row>
    <row r="47" spans="1:16" x14ac:dyDescent="0.25">
      <c r="A47" s="6" t="s">
        <v>3512</v>
      </c>
      <c r="B47" s="54">
        <v>46121</v>
      </c>
      <c r="C47" s="7">
        <v>46127</v>
      </c>
      <c r="D47" s="6">
        <v>3271</v>
      </c>
      <c r="E47" s="6">
        <v>336</v>
      </c>
      <c r="F47" s="6">
        <v>4</v>
      </c>
      <c r="G47" s="15">
        <v>4</v>
      </c>
      <c r="H47" s="15">
        <v>4953</v>
      </c>
      <c r="I47" s="15" t="s">
        <v>543</v>
      </c>
      <c r="J47" s="15">
        <v>59325827</v>
      </c>
      <c r="K47" s="15" t="s">
        <v>3086</v>
      </c>
      <c r="L47" s="15" t="s">
        <v>3092</v>
      </c>
      <c r="M47" s="20">
        <v>99900</v>
      </c>
      <c r="N47" s="62">
        <v>0.3</v>
      </c>
      <c r="O47" s="12">
        <f t="shared" si="0"/>
        <v>69930</v>
      </c>
      <c r="P47" s="6" t="s">
        <v>3499</v>
      </c>
    </row>
    <row r="48" spans="1:16" x14ac:dyDescent="0.25">
      <c r="A48" s="6" t="s">
        <v>3512</v>
      </c>
      <c r="B48" s="54">
        <v>46121</v>
      </c>
      <c r="C48" s="7">
        <v>46127</v>
      </c>
      <c r="D48" s="6">
        <v>3271</v>
      </c>
      <c r="E48" s="6">
        <v>336</v>
      </c>
      <c r="F48" s="6">
        <v>4</v>
      </c>
      <c r="G48" s="15">
        <v>4</v>
      </c>
      <c r="H48" s="15">
        <v>4953</v>
      </c>
      <c r="I48" s="15" t="s">
        <v>543</v>
      </c>
      <c r="J48" s="15">
        <v>59325836</v>
      </c>
      <c r="K48" s="15" t="s">
        <v>3093</v>
      </c>
      <c r="L48" s="15" t="s">
        <v>3094</v>
      </c>
      <c r="M48" s="20">
        <v>99900</v>
      </c>
      <c r="N48" s="62">
        <v>0.3</v>
      </c>
      <c r="O48" s="12">
        <f t="shared" si="0"/>
        <v>69930</v>
      </c>
      <c r="P48" s="6" t="s">
        <v>3499</v>
      </c>
    </row>
    <row r="49" spans="1:16" x14ac:dyDescent="0.25">
      <c r="A49" s="6" t="s">
        <v>3512</v>
      </c>
      <c r="B49" s="54">
        <v>46121</v>
      </c>
      <c r="C49" s="7">
        <v>46127</v>
      </c>
      <c r="D49" s="6">
        <v>3271</v>
      </c>
      <c r="E49" s="6">
        <v>336</v>
      </c>
      <c r="F49" s="6">
        <v>4</v>
      </c>
      <c r="G49" s="15">
        <v>4</v>
      </c>
      <c r="H49" s="15">
        <v>4953</v>
      </c>
      <c r="I49" s="15" t="s">
        <v>543</v>
      </c>
      <c r="J49" s="15">
        <v>59325845</v>
      </c>
      <c r="K49" s="15" t="s">
        <v>3093</v>
      </c>
      <c r="L49" s="15" t="s">
        <v>3095</v>
      </c>
      <c r="M49" s="20">
        <v>99900</v>
      </c>
      <c r="N49" s="62">
        <v>0.3</v>
      </c>
      <c r="O49" s="12">
        <f t="shared" si="0"/>
        <v>69930</v>
      </c>
      <c r="P49" s="6" t="s">
        <v>3499</v>
      </c>
    </row>
    <row r="50" spans="1:16" x14ac:dyDescent="0.25">
      <c r="A50" s="6" t="s">
        <v>3512</v>
      </c>
      <c r="B50" s="54">
        <v>46121</v>
      </c>
      <c r="C50" s="7">
        <v>46127</v>
      </c>
      <c r="D50" s="6">
        <v>3271</v>
      </c>
      <c r="E50" s="6">
        <v>336</v>
      </c>
      <c r="F50" s="6">
        <v>4</v>
      </c>
      <c r="G50" s="15">
        <v>4</v>
      </c>
      <c r="H50" s="15">
        <v>4953</v>
      </c>
      <c r="I50" s="15" t="s">
        <v>543</v>
      </c>
      <c r="J50" s="15">
        <v>59325854</v>
      </c>
      <c r="K50" s="15" t="s">
        <v>3093</v>
      </c>
      <c r="L50" s="15" t="s">
        <v>3096</v>
      </c>
      <c r="M50" s="20">
        <v>99900</v>
      </c>
      <c r="N50" s="62">
        <v>0.3</v>
      </c>
      <c r="O50" s="12">
        <f t="shared" si="0"/>
        <v>69930</v>
      </c>
      <c r="P50" s="6" t="s">
        <v>3499</v>
      </c>
    </row>
    <row r="51" spans="1:16" x14ac:dyDescent="0.25">
      <c r="A51" s="6" t="s">
        <v>3512</v>
      </c>
      <c r="B51" s="54">
        <v>46121</v>
      </c>
      <c r="C51" s="7">
        <v>46127</v>
      </c>
      <c r="D51" s="6">
        <v>3271</v>
      </c>
      <c r="E51" s="6">
        <v>336</v>
      </c>
      <c r="F51" s="6">
        <v>4</v>
      </c>
      <c r="G51" s="15">
        <v>4</v>
      </c>
      <c r="H51" s="15">
        <v>4953</v>
      </c>
      <c r="I51" s="15" t="s">
        <v>543</v>
      </c>
      <c r="J51" s="15">
        <v>59325863</v>
      </c>
      <c r="K51" s="15" t="s">
        <v>3093</v>
      </c>
      <c r="L51" s="15" t="s">
        <v>3097</v>
      </c>
      <c r="M51" s="20">
        <v>99900</v>
      </c>
      <c r="N51" s="62">
        <v>0.3</v>
      </c>
      <c r="O51" s="12">
        <f t="shared" si="0"/>
        <v>69930</v>
      </c>
      <c r="P51" s="6" t="s">
        <v>3499</v>
      </c>
    </row>
    <row r="52" spans="1:16" x14ac:dyDescent="0.25">
      <c r="A52" s="6" t="s">
        <v>3512</v>
      </c>
      <c r="B52" s="54">
        <v>46121</v>
      </c>
      <c r="C52" s="7">
        <v>46127</v>
      </c>
      <c r="D52" s="6">
        <v>3271</v>
      </c>
      <c r="E52" s="6">
        <v>336</v>
      </c>
      <c r="F52" s="6">
        <v>4</v>
      </c>
      <c r="G52" s="15">
        <v>4</v>
      </c>
      <c r="H52" s="15">
        <v>4953</v>
      </c>
      <c r="I52" s="15" t="s">
        <v>543</v>
      </c>
      <c r="J52" s="15">
        <v>59325872</v>
      </c>
      <c r="K52" s="15" t="s">
        <v>3093</v>
      </c>
      <c r="L52" s="15" t="s">
        <v>3098</v>
      </c>
      <c r="M52" s="20">
        <v>99900</v>
      </c>
      <c r="N52" s="62">
        <v>0.3</v>
      </c>
      <c r="O52" s="12">
        <f t="shared" si="0"/>
        <v>69930</v>
      </c>
      <c r="P52" s="6" t="s">
        <v>3499</v>
      </c>
    </row>
    <row r="53" spans="1:16" x14ac:dyDescent="0.25">
      <c r="A53" s="6" t="s">
        <v>3512</v>
      </c>
      <c r="B53" s="54">
        <v>46121</v>
      </c>
      <c r="C53" s="7">
        <v>46127</v>
      </c>
      <c r="D53" s="6">
        <v>3271</v>
      </c>
      <c r="E53" s="6">
        <v>336</v>
      </c>
      <c r="F53" s="6">
        <v>4</v>
      </c>
      <c r="G53" s="15">
        <v>4</v>
      </c>
      <c r="H53" s="15">
        <v>4953</v>
      </c>
      <c r="I53" s="15" t="s">
        <v>543</v>
      </c>
      <c r="J53" s="15">
        <v>59325881</v>
      </c>
      <c r="K53" s="15" t="s">
        <v>3093</v>
      </c>
      <c r="L53" s="15" t="s">
        <v>3099</v>
      </c>
      <c r="M53" s="20">
        <v>99900</v>
      </c>
      <c r="N53" s="62">
        <v>0.3</v>
      </c>
      <c r="O53" s="12">
        <f t="shared" si="0"/>
        <v>69930</v>
      </c>
      <c r="P53" s="6" t="s">
        <v>3499</v>
      </c>
    </row>
    <row r="54" spans="1:16" x14ac:dyDescent="0.25">
      <c r="A54" s="6" t="s">
        <v>3512</v>
      </c>
      <c r="B54" s="54">
        <v>46121</v>
      </c>
      <c r="C54" s="7">
        <v>46127</v>
      </c>
      <c r="D54" s="6">
        <v>3271</v>
      </c>
      <c r="E54" s="6">
        <v>336</v>
      </c>
      <c r="F54" s="6">
        <v>4</v>
      </c>
      <c r="G54" s="15">
        <v>4</v>
      </c>
      <c r="H54" s="15">
        <v>80928</v>
      </c>
      <c r="I54" s="15" t="s">
        <v>543</v>
      </c>
      <c r="J54" s="15">
        <v>53719314</v>
      </c>
      <c r="K54" s="15" t="s">
        <v>3100</v>
      </c>
      <c r="L54" s="15" t="s">
        <v>3101</v>
      </c>
      <c r="M54" s="20">
        <v>99900</v>
      </c>
      <c r="N54" s="62">
        <v>0.3</v>
      </c>
      <c r="O54" s="12">
        <f t="shared" si="0"/>
        <v>69930</v>
      </c>
      <c r="P54" s="6" t="s">
        <v>3499</v>
      </c>
    </row>
    <row r="55" spans="1:16" x14ac:dyDescent="0.25">
      <c r="A55" s="6" t="s">
        <v>3512</v>
      </c>
      <c r="B55" s="54">
        <v>46121</v>
      </c>
      <c r="C55" s="7">
        <v>46127</v>
      </c>
      <c r="D55" s="6">
        <v>3271</v>
      </c>
      <c r="E55" s="6">
        <v>336</v>
      </c>
      <c r="F55" s="6">
        <v>4</v>
      </c>
      <c r="G55" s="15">
        <v>4</v>
      </c>
      <c r="H55" s="15">
        <v>80928</v>
      </c>
      <c r="I55" s="15" t="s">
        <v>543</v>
      </c>
      <c r="J55" s="15">
        <v>53719323</v>
      </c>
      <c r="K55" s="15" t="s">
        <v>3100</v>
      </c>
      <c r="L55" s="15" t="s">
        <v>3102</v>
      </c>
      <c r="M55" s="20">
        <v>99900</v>
      </c>
      <c r="N55" s="62">
        <v>0.3</v>
      </c>
      <c r="O55" s="12">
        <f t="shared" si="0"/>
        <v>69930</v>
      </c>
      <c r="P55" s="6" t="s">
        <v>3499</v>
      </c>
    </row>
    <row r="56" spans="1:16" x14ac:dyDescent="0.25">
      <c r="A56" s="6" t="s">
        <v>3512</v>
      </c>
      <c r="B56" s="54">
        <v>46121</v>
      </c>
      <c r="C56" s="7">
        <v>46127</v>
      </c>
      <c r="D56" s="6">
        <v>3271</v>
      </c>
      <c r="E56" s="6">
        <v>336</v>
      </c>
      <c r="F56" s="6">
        <v>4</v>
      </c>
      <c r="G56" s="15">
        <v>4</v>
      </c>
      <c r="H56" s="15">
        <v>80928</v>
      </c>
      <c r="I56" s="15" t="s">
        <v>543</v>
      </c>
      <c r="J56" s="15">
        <v>53719332</v>
      </c>
      <c r="K56" s="15" t="s">
        <v>3100</v>
      </c>
      <c r="L56" s="15" t="s">
        <v>3103</v>
      </c>
      <c r="M56" s="20">
        <v>99900</v>
      </c>
      <c r="N56" s="62">
        <v>0.3</v>
      </c>
      <c r="O56" s="12">
        <f t="shared" si="0"/>
        <v>69930</v>
      </c>
      <c r="P56" s="6" t="s">
        <v>3499</v>
      </c>
    </row>
    <row r="57" spans="1:16" x14ac:dyDescent="0.25">
      <c r="A57" s="6" t="s">
        <v>3512</v>
      </c>
      <c r="B57" s="54">
        <v>46121</v>
      </c>
      <c r="C57" s="7">
        <v>46127</v>
      </c>
      <c r="D57" s="6">
        <v>3271</v>
      </c>
      <c r="E57" s="6">
        <v>336</v>
      </c>
      <c r="F57" s="6">
        <v>4</v>
      </c>
      <c r="G57" s="15">
        <v>4</v>
      </c>
      <c r="H57" s="15">
        <v>80928</v>
      </c>
      <c r="I57" s="15" t="s">
        <v>543</v>
      </c>
      <c r="J57" s="15">
        <v>53719341</v>
      </c>
      <c r="K57" s="15" t="s">
        <v>3100</v>
      </c>
      <c r="L57" s="15" t="s">
        <v>3104</v>
      </c>
      <c r="M57" s="20">
        <v>99900</v>
      </c>
      <c r="N57" s="62">
        <v>0.3</v>
      </c>
      <c r="O57" s="12">
        <f t="shared" si="0"/>
        <v>69930</v>
      </c>
      <c r="P57" s="6" t="s">
        <v>3499</v>
      </c>
    </row>
    <row r="58" spans="1:16" x14ac:dyDescent="0.25">
      <c r="A58" s="6" t="s">
        <v>3512</v>
      </c>
      <c r="B58" s="54">
        <v>46121</v>
      </c>
      <c r="C58" s="7">
        <v>46127</v>
      </c>
      <c r="D58" s="6">
        <v>3271</v>
      </c>
      <c r="E58" s="6">
        <v>336</v>
      </c>
      <c r="F58" s="6">
        <v>4</v>
      </c>
      <c r="G58" s="15">
        <v>4</v>
      </c>
      <c r="H58" s="15">
        <v>80928</v>
      </c>
      <c r="I58" s="15" t="s">
        <v>543</v>
      </c>
      <c r="J58" s="15">
        <v>53719350</v>
      </c>
      <c r="K58" s="15" t="s">
        <v>3105</v>
      </c>
      <c r="L58" s="15" t="s">
        <v>3106</v>
      </c>
      <c r="M58" s="20">
        <v>99900</v>
      </c>
      <c r="N58" s="62">
        <v>0.3</v>
      </c>
      <c r="O58" s="12">
        <f t="shared" si="0"/>
        <v>69930</v>
      </c>
      <c r="P58" s="6" t="s">
        <v>3499</v>
      </c>
    </row>
    <row r="59" spans="1:16" x14ac:dyDescent="0.25">
      <c r="A59" s="6" t="s">
        <v>3512</v>
      </c>
      <c r="B59" s="54">
        <v>46121</v>
      </c>
      <c r="C59" s="7">
        <v>46127</v>
      </c>
      <c r="D59" s="6">
        <v>3271</v>
      </c>
      <c r="E59" s="6">
        <v>336</v>
      </c>
      <c r="F59" s="6">
        <v>4</v>
      </c>
      <c r="G59" s="15">
        <v>4</v>
      </c>
      <c r="H59" s="15">
        <v>80928</v>
      </c>
      <c r="I59" s="15" t="s">
        <v>543</v>
      </c>
      <c r="J59" s="15">
        <v>53719369</v>
      </c>
      <c r="K59" s="15" t="s">
        <v>3105</v>
      </c>
      <c r="L59" s="15" t="s">
        <v>3107</v>
      </c>
      <c r="M59" s="20">
        <v>99900</v>
      </c>
      <c r="N59" s="62">
        <v>0.3</v>
      </c>
      <c r="O59" s="12">
        <f t="shared" si="0"/>
        <v>69930</v>
      </c>
      <c r="P59" s="6" t="s">
        <v>3499</v>
      </c>
    </row>
    <row r="60" spans="1:16" x14ac:dyDescent="0.25">
      <c r="A60" s="6" t="s">
        <v>3512</v>
      </c>
      <c r="B60" s="54">
        <v>46121</v>
      </c>
      <c r="C60" s="7">
        <v>46127</v>
      </c>
      <c r="D60" s="6">
        <v>3271</v>
      </c>
      <c r="E60" s="6">
        <v>336</v>
      </c>
      <c r="F60" s="6">
        <v>4</v>
      </c>
      <c r="G60" s="15">
        <v>4</v>
      </c>
      <c r="H60" s="15">
        <v>80928</v>
      </c>
      <c r="I60" s="15" t="s">
        <v>543</v>
      </c>
      <c r="J60" s="15">
        <v>53719378</v>
      </c>
      <c r="K60" s="15" t="s">
        <v>3105</v>
      </c>
      <c r="L60" s="15" t="s">
        <v>3108</v>
      </c>
      <c r="M60" s="20">
        <v>99900</v>
      </c>
      <c r="N60" s="62">
        <v>0.3</v>
      </c>
      <c r="O60" s="12">
        <f t="shared" si="0"/>
        <v>69930</v>
      </c>
      <c r="P60" s="6" t="s">
        <v>3499</v>
      </c>
    </row>
    <row r="61" spans="1:16" x14ac:dyDescent="0.25">
      <c r="A61" s="6" t="s">
        <v>3512</v>
      </c>
      <c r="B61" s="54">
        <v>46121</v>
      </c>
      <c r="C61" s="7">
        <v>46127</v>
      </c>
      <c r="D61" s="6">
        <v>3271</v>
      </c>
      <c r="E61" s="6">
        <v>336</v>
      </c>
      <c r="F61" s="6">
        <v>4</v>
      </c>
      <c r="G61" s="15">
        <v>4</v>
      </c>
      <c r="H61" s="15">
        <v>80928</v>
      </c>
      <c r="I61" s="15" t="s">
        <v>543</v>
      </c>
      <c r="J61" s="15">
        <v>53719387</v>
      </c>
      <c r="K61" s="15" t="s">
        <v>3105</v>
      </c>
      <c r="L61" s="15" t="s">
        <v>3109</v>
      </c>
      <c r="M61" s="20">
        <v>99900</v>
      </c>
      <c r="N61" s="62">
        <v>0.3</v>
      </c>
      <c r="O61" s="12">
        <f t="shared" si="0"/>
        <v>69930</v>
      </c>
      <c r="P61" s="6" t="s">
        <v>3499</v>
      </c>
    </row>
    <row r="62" spans="1:16" x14ac:dyDescent="0.25">
      <c r="A62" s="6" t="s">
        <v>3512</v>
      </c>
      <c r="B62" s="54">
        <v>46121</v>
      </c>
      <c r="C62" s="7">
        <v>46127</v>
      </c>
      <c r="D62" s="6">
        <v>3271</v>
      </c>
      <c r="E62" s="6">
        <v>336</v>
      </c>
      <c r="F62" s="6">
        <v>4</v>
      </c>
      <c r="G62" s="15">
        <v>4</v>
      </c>
      <c r="H62" s="15">
        <v>80928</v>
      </c>
      <c r="I62" s="15" t="s">
        <v>543</v>
      </c>
      <c r="J62" s="15">
        <v>53719396</v>
      </c>
      <c r="K62" s="15" t="s">
        <v>3110</v>
      </c>
      <c r="L62" s="15" t="s">
        <v>3111</v>
      </c>
      <c r="M62" s="20">
        <v>99900</v>
      </c>
      <c r="N62" s="62">
        <v>0.3</v>
      </c>
      <c r="O62" s="12">
        <f t="shared" si="0"/>
        <v>69930</v>
      </c>
      <c r="P62" s="6" t="s">
        <v>3499</v>
      </c>
    </row>
    <row r="63" spans="1:16" x14ac:dyDescent="0.25">
      <c r="A63" s="6" t="s">
        <v>3512</v>
      </c>
      <c r="B63" s="54">
        <v>46121</v>
      </c>
      <c r="C63" s="7">
        <v>46127</v>
      </c>
      <c r="D63" s="6">
        <v>3271</v>
      </c>
      <c r="E63" s="6">
        <v>336</v>
      </c>
      <c r="F63" s="6">
        <v>4</v>
      </c>
      <c r="G63" s="15">
        <v>4</v>
      </c>
      <c r="H63" s="15">
        <v>80928</v>
      </c>
      <c r="I63" s="15" t="s">
        <v>543</v>
      </c>
      <c r="J63" s="15">
        <v>53719403</v>
      </c>
      <c r="K63" s="15" t="s">
        <v>3110</v>
      </c>
      <c r="L63" s="15" t="s">
        <v>3112</v>
      </c>
      <c r="M63" s="20">
        <v>99900</v>
      </c>
      <c r="N63" s="62">
        <v>0.3</v>
      </c>
      <c r="O63" s="12">
        <f t="shared" si="0"/>
        <v>69930</v>
      </c>
      <c r="P63" s="6" t="s">
        <v>3499</v>
      </c>
    </row>
    <row r="64" spans="1:16" x14ac:dyDescent="0.25">
      <c r="A64" s="6" t="s">
        <v>3512</v>
      </c>
      <c r="B64" s="54">
        <v>46121</v>
      </c>
      <c r="C64" s="7">
        <v>46127</v>
      </c>
      <c r="D64" s="6">
        <v>3271</v>
      </c>
      <c r="E64" s="6">
        <v>336</v>
      </c>
      <c r="F64" s="6">
        <v>4</v>
      </c>
      <c r="G64" s="15">
        <v>4</v>
      </c>
      <c r="H64" s="15">
        <v>80928</v>
      </c>
      <c r="I64" s="15" t="s">
        <v>543</v>
      </c>
      <c r="J64" s="15">
        <v>53719412</v>
      </c>
      <c r="K64" s="15" t="s">
        <v>3110</v>
      </c>
      <c r="L64" s="15" t="s">
        <v>3113</v>
      </c>
      <c r="M64" s="20">
        <v>99900</v>
      </c>
      <c r="N64" s="62">
        <v>0.3</v>
      </c>
      <c r="O64" s="12">
        <f t="shared" si="0"/>
        <v>69930</v>
      </c>
      <c r="P64" s="6" t="s">
        <v>3499</v>
      </c>
    </row>
    <row r="65" spans="1:16" x14ac:dyDescent="0.25">
      <c r="A65" s="6" t="s">
        <v>3512</v>
      </c>
      <c r="B65" s="54">
        <v>46121</v>
      </c>
      <c r="C65" s="7">
        <v>46127</v>
      </c>
      <c r="D65" s="6">
        <v>3271</v>
      </c>
      <c r="E65" s="6">
        <v>336</v>
      </c>
      <c r="F65" s="6">
        <v>4</v>
      </c>
      <c r="G65" s="15">
        <v>4</v>
      </c>
      <c r="H65" s="15">
        <v>80928</v>
      </c>
      <c r="I65" s="15" t="s">
        <v>543</v>
      </c>
      <c r="J65" s="15">
        <v>53719421</v>
      </c>
      <c r="K65" s="15" t="s">
        <v>3110</v>
      </c>
      <c r="L65" s="15" t="s">
        <v>3114</v>
      </c>
      <c r="M65" s="20">
        <v>99900</v>
      </c>
      <c r="N65" s="62">
        <v>0.3</v>
      </c>
      <c r="O65" s="12">
        <f t="shared" si="0"/>
        <v>69930</v>
      </c>
      <c r="P65" s="6" t="s">
        <v>3499</v>
      </c>
    </row>
    <row r="66" spans="1:16" x14ac:dyDescent="0.25">
      <c r="A66" s="6" t="s">
        <v>3512</v>
      </c>
      <c r="B66" s="54">
        <v>46121</v>
      </c>
      <c r="C66" s="7">
        <v>46127</v>
      </c>
      <c r="D66" s="6">
        <v>3271</v>
      </c>
      <c r="E66" s="6">
        <v>336</v>
      </c>
      <c r="F66" s="6">
        <v>4</v>
      </c>
      <c r="G66" s="15">
        <v>4</v>
      </c>
      <c r="H66" s="15">
        <v>80928</v>
      </c>
      <c r="I66" s="15" t="s">
        <v>543</v>
      </c>
      <c r="J66" s="15">
        <v>53719430</v>
      </c>
      <c r="K66" s="15" t="s">
        <v>3115</v>
      </c>
      <c r="L66" s="15" t="s">
        <v>3116</v>
      </c>
      <c r="M66" s="20">
        <v>99900</v>
      </c>
      <c r="N66" s="62">
        <v>0.3</v>
      </c>
      <c r="O66" s="12">
        <f t="shared" si="0"/>
        <v>69930</v>
      </c>
      <c r="P66" s="6" t="s">
        <v>3499</v>
      </c>
    </row>
    <row r="67" spans="1:16" x14ac:dyDescent="0.25">
      <c r="A67" s="6" t="s">
        <v>3512</v>
      </c>
      <c r="B67" s="54">
        <v>46121</v>
      </c>
      <c r="C67" s="7">
        <v>46127</v>
      </c>
      <c r="D67" s="6">
        <v>3271</v>
      </c>
      <c r="E67" s="6">
        <v>336</v>
      </c>
      <c r="F67" s="6">
        <v>4</v>
      </c>
      <c r="G67" s="15">
        <v>4</v>
      </c>
      <c r="H67" s="15">
        <v>80928</v>
      </c>
      <c r="I67" s="15" t="s">
        <v>543</v>
      </c>
      <c r="J67" s="15">
        <v>53719449</v>
      </c>
      <c r="K67" s="15" t="s">
        <v>3115</v>
      </c>
      <c r="L67" s="15" t="s">
        <v>3117</v>
      </c>
      <c r="M67" s="20">
        <v>99900</v>
      </c>
      <c r="N67" s="62">
        <v>0.3</v>
      </c>
      <c r="O67" s="12">
        <f t="shared" ref="O67:O69" si="1">M67-((30*M67)/100)</f>
        <v>69930</v>
      </c>
      <c r="P67" s="6" t="s">
        <v>3499</v>
      </c>
    </row>
    <row r="68" spans="1:16" x14ac:dyDescent="0.25">
      <c r="A68" s="6" t="s">
        <v>3512</v>
      </c>
      <c r="B68" s="54">
        <v>46121</v>
      </c>
      <c r="C68" s="7">
        <v>46127</v>
      </c>
      <c r="D68" s="6">
        <v>3271</v>
      </c>
      <c r="E68" s="6">
        <v>336</v>
      </c>
      <c r="F68" s="6">
        <v>4</v>
      </c>
      <c r="G68" s="15">
        <v>4</v>
      </c>
      <c r="H68" s="15">
        <v>80928</v>
      </c>
      <c r="I68" s="15" t="s">
        <v>543</v>
      </c>
      <c r="J68" s="15">
        <v>53719458</v>
      </c>
      <c r="K68" s="15" t="s">
        <v>3115</v>
      </c>
      <c r="L68" s="15" t="s">
        <v>3118</v>
      </c>
      <c r="M68" s="20">
        <v>99900</v>
      </c>
      <c r="N68" s="62">
        <v>0.3</v>
      </c>
      <c r="O68" s="12">
        <f t="shared" si="1"/>
        <v>69930</v>
      </c>
      <c r="P68" s="6" t="s">
        <v>3499</v>
      </c>
    </row>
    <row r="69" spans="1:16" x14ac:dyDescent="0.25">
      <c r="A69" s="6" t="s">
        <v>3512</v>
      </c>
      <c r="B69" s="54">
        <v>46121</v>
      </c>
      <c r="C69" s="7">
        <v>46127</v>
      </c>
      <c r="D69" s="6">
        <v>3271</v>
      </c>
      <c r="E69" s="6">
        <v>336</v>
      </c>
      <c r="F69" s="6">
        <v>4</v>
      </c>
      <c r="G69" s="15">
        <v>4</v>
      </c>
      <c r="H69" s="15">
        <v>80928</v>
      </c>
      <c r="I69" s="15" t="s">
        <v>543</v>
      </c>
      <c r="J69" s="15">
        <v>53719467</v>
      </c>
      <c r="K69" s="15" t="s">
        <v>3115</v>
      </c>
      <c r="L69" s="15" t="s">
        <v>3119</v>
      </c>
      <c r="M69" s="20">
        <v>99900</v>
      </c>
      <c r="N69" s="62">
        <v>0.3</v>
      </c>
      <c r="O69" s="12">
        <f t="shared" si="1"/>
        <v>69930</v>
      </c>
      <c r="P69" s="6" t="s">
        <v>3499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E2DAB-A7B7-4895-9E0B-C40E3E062304}">
  <sheetPr>
    <tabColor rgb="FF00B050"/>
  </sheetPr>
  <dimension ref="A1:P55"/>
  <sheetViews>
    <sheetView topLeftCell="B1" zoomScale="90" zoomScaleNormal="90" workbookViewId="0">
      <selection activeCell="N2" sqref="N2:P2"/>
    </sheetView>
  </sheetViews>
  <sheetFormatPr defaultRowHeight="15" x14ac:dyDescent="0.25"/>
  <cols>
    <col min="1" max="1" width="41.7109375" bestFit="1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5703125" bestFit="1" customWidth="1"/>
    <col min="12" max="12" width="87.85546875" bestFit="1" customWidth="1"/>
    <col min="13" max="13" width="15.5703125" bestFit="1" customWidth="1"/>
    <col min="14" max="14" width="13.42578125" bestFit="1" customWidth="1"/>
    <col min="15" max="15" width="24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3513</v>
      </c>
      <c r="B2" s="54">
        <v>46121</v>
      </c>
      <c r="C2" s="7">
        <v>46127</v>
      </c>
      <c r="D2" s="6">
        <v>3271</v>
      </c>
      <c r="E2" s="6">
        <v>336</v>
      </c>
      <c r="F2" s="6">
        <v>4</v>
      </c>
      <c r="G2" s="15">
        <v>7</v>
      </c>
      <c r="H2" s="15">
        <v>81662</v>
      </c>
      <c r="I2" s="15" t="s">
        <v>543</v>
      </c>
      <c r="J2" s="15">
        <v>59326193</v>
      </c>
      <c r="K2" s="15" t="s">
        <v>3120</v>
      </c>
      <c r="L2" s="15" t="s">
        <v>3121</v>
      </c>
      <c r="M2" s="20">
        <v>149900</v>
      </c>
      <c r="N2" s="62">
        <v>0.3</v>
      </c>
      <c r="O2" s="12">
        <f>M2-((30*M2)/100)</f>
        <v>104930</v>
      </c>
      <c r="P2" s="6" t="s">
        <v>3499</v>
      </c>
    </row>
    <row r="3" spans="1:16" x14ac:dyDescent="0.25">
      <c r="A3" s="6" t="s">
        <v>3513</v>
      </c>
      <c r="B3" s="54">
        <v>46121</v>
      </c>
      <c r="C3" s="7">
        <v>46127</v>
      </c>
      <c r="D3" s="6">
        <v>3271</v>
      </c>
      <c r="E3" s="6">
        <v>336</v>
      </c>
      <c r="F3" s="6">
        <v>4</v>
      </c>
      <c r="G3" s="15">
        <v>7</v>
      </c>
      <c r="H3" s="15">
        <v>81662</v>
      </c>
      <c r="I3" s="15" t="s">
        <v>543</v>
      </c>
      <c r="J3" s="15">
        <v>59326200</v>
      </c>
      <c r="K3" s="15" t="s">
        <v>3120</v>
      </c>
      <c r="L3" s="15" t="s">
        <v>3122</v>
      </c>
      <c r="M3" s="20">
        <v>149900</v>
      </c>
      <c r="N3" s="62">
        <v>0.3</v>
      </c>
      <c r="O3" s="12">
        <f t="shared" ref="O3:O55" si="0">M3-((30*M3)/100)</f>
        <v>104930</v>
      </c>
      <c r="P3" s="6" t="s">
        <v>3499</v>
      </c>
    </row>
    <row r="4" spans="1:16" x14ac:dyDescent="0.25">
      <c r="A4" s="6" t="s">
        <v>3513</v>
      </c>
      <c r="B4" s="54">
        <v>46121</v>
      </c>
      <c r="C4" s="7">
        <v>46127</v>
      </c>
      <c r="D4" s="6">
        <v>3271</v>
      </c>
      <c r="E4" s="6">
        <v>336</v>
      </c>
      <c r="F4" s="6">
        <v>4</v>
      </c>
      <c r="G4" s="15">
        <v>7</v>
      </c>
      <c r="H4" s="15">
        <v>81662</v>
      </c>
      <c r="I4" s="15" t="s">
        <v>543</v>
      </c>
      <c r="J4" s="15">
        <v>59326219</v>
      </c>
      <c r="K4" s="15" t="s">
        <v>3120</v>
      </c>
      <c r="L4" s="15" t="s">
        <v>3123</v>
      </c>
      <c r="M4" s="20">
        <v>149900</v>
      </c>
      <c r="N4" s="62">
        <v>0.3</v>
      </c>
      <c r="O4" s="12">
        <f t="shared" si="0"/>
        <v>104930</v>
      </c>
      <c r="P4" s="6" t="s">
        <v>3499</v>
      </c>
    </row>
    <row r="5" spans="1:16" x14ac:dyDescent="0.25">
      <c r="A5" s="6" t="s">
        <v>3513</v>
      </c>
      <c r="B5" s="54">
        <v>46121</v>
      </c>
      <c r="C5" s="7">
        <v>46127</v>
      </c>
      <c r="D5" s="6">
        <v>3271</v>
      </c>
      <c r="E5" s="6">
        <v>336</v>
      </c>
      <c r="F5" s="6">
        <v>4</v>
      </c>
      <c r="G5" s="15">
        <v>7</v>
      </c>
      <c r="H5" s="15">
        <v>81662</v>
      </c>
      <c r="I5" s="15" t="s">
        <v>543</v>
      </c>
      <c r="J5" s="15">
        <v>59326228</v>
      </c>
      <c r="K5" s="15" t="s">
        <v>3120</v>
      </c>
      <c r="L5" s="15" t="s">
        <v>3124</v>
      </c>
      <c r="M5" s="20">
        <v>149900</v>
      </c>
      <c r="N5" s="62">
        <v>0.3</v>
      </c>
      <c r="O5" s="12">
        <f t="shared" si="0"/>
        <v>104930</v>
      </c>
      <c r="P5" s="6" t="s">
        <v>3499</v>
      </c>
    </row>
    <row r="6" spans="1:16" x14ac:dyDescent="0.25">
      <c r="A6" s="6" t="s">
        <v>3513</v>
      </c>
      <c r="B6" s="54">
        <v>46121</v>
      </c>
      <c r="C6" s="7">
        <v>46127</v>
      </c>
      <c r="D6" s="6">
        <v>3271</v>
      </c>
      <c r="E6" s="6">
        <v>336</v>
      </c>
      <c r="F6" s="6">
        <v>4</v>
      </c>
      <c r="G6" s="15">
        <v>7</v>
      </c>
      <c r="H6" s="15">
        <v>81662</v>
      </c>
      <c r="I6" s="15" t="s">
        <v>543</v>
      </c>
      <c r="J6" s="15">
        <v>59326237</v>
      </c>
      <c r="K6" s="15" t="s">
        <v>3120</v>
      </c>
      <c r="L6" s="15" t="s">
        <v>3125</v>
      </c>
      <c r="M6" s="20">
        <v>149900</v>
      </c>
      <c r="N6" s="62">
        <v>0.3</v>
      </c>
      <c r="O6" s="12">
        <f t="shared" si="0"/>
        <v>104930</v>
      </c>
      <c r="P6" s="6" t="s">
        <v>3499</v>
      </c>
    </row>
    <row r="7" spans="1:16" x14ac:dyDescent="0.25">
      <c r="A7" s="6" t="s">
        <v>3513</v>
      </c>
      <c r="B7" s="54">
        <v>46121</v>
      </c>
      <c r="C7" s="7">
        <v>46127</v>
      </c>
      <c r="D7" s="6">
        <v>3271</v>
      </c>
      <c r="E7" s="6">
        <v>336</v>
      </c>
      <c r="F7" s="6">
        <v>4</v>
      </c>
      <c r="G7" s="15">
        <v>7</v>
      </c>
      <c r="H7" s="15">
        <v>81662</v>
      </c>
      <c r="I7" s="15" t="s">
        <v>543</v>
      </c>
      <c r="J7" s="15">
        <v>59326246</v>
      </c>
      <c r="K7" s="15" t="s">
        <v>3120</v>
      </c>
      <c r="L7" s="15" t="s">
        <v>3126</v>
      </c>
      <c r="M7" s="20">
        <v>149900</v>
      </c>
      <c r="N7" s="62">
        <v>0.3</v>
      </c>
      <c r="O7" s="12">
        <f t="shared" si="0"/>
        <v>104930</v>
      </c>
      <c r="P7" s="6" t="s">
        <v>3499</v>
      </c>
    </row>
    <row r="8" spans="1:16" x14ac:dyDescent="0.25">
      <c r="A8" s="6" t="s">
        <v>3513</v>
      </c>
      <c r="B8" s="54">
        <v>46121</v>
      </c>
      <c r="C8" s="7">
        <v>46127</v>
      </c>
      <c r="D8" s="6">
        <v>3271</v>
      </c>
      <c r="E8" s="6">
        <v>336</v>
      </c>
      <c r="F8" s="6">
        <v>4</v>
      </c>
      <c r="G8" s="15">
        <v>7</v>
      </c>
      <c r="H8" s="15">
        <v>81662</v>
      </c>
      <c r="I8" s="15" t="s">
        <v>543</v>
      </c>
      <c r="J8" s="15">
        <v>59326255</v>
      </c>
      <c r="K8" s="15" t="s">
        <v>3127</v>
      </c>
      <c r="L8" s="15" t="s">
        <v>3128</v>
      </c>
      <c r="M8" s="20">
        <v>149900</v>
      </c>
      <c r="N8" s="62">
        <v>0.3</v>
      </c>
      <c r="O8" s="12">
        <f t="shared" si="0"/>
        <v>104930</v>
      </c>
      <c r="P8" s="6" t="s">
        <v>3499</v>
      </c>
    </row>
    <row r="9" spans="1:16" x14ac:dyDescent="0.25">
      <c r="A9" s="6" t="s">
        <v>3513</v>
      </c>
      <c r="B9" s="54">
        <v>46121</v>
      </c>
      <c r="C9" s="7">
        <v>46127</v>
      </c>
      <c r="D9" s="6">
        <v>3271</v>
      </c>
      <c r="E9" s="6">
        <v>336</v>
      </c>
      <c r="F9" s="6">
        <v>4</v>
      </c>
      <c r="G9" s="15">
        <v>7</v>
      </c>
      <c r="H9" s="15">
        <v>81662</v>
      </c>
      <c r="I9" s="15" t="s">
        <v>543</v>
      </c>
      <c r="J9" s="15">
        <v>59326264</v>
      </c>
      <c r="K9" s="15" t="s">
        <v>3127</v>
      </c>
      <c r="L9" s="15" t="s">
        <v>3129</v>
      </c>
      <c r="M9" s="20">
        <v>149900</v>
      </c>
      <c r="N9" s="62">
        <v>0.3</v>
      </c>
      <c r="O9" s="12">
        <f t="shared" si="0"/>
        <v>104930</v>
      </c>
      <c r="P9" s="6" t="s">
        <v>3499</v>
      </c>
    </row>
    <row r="10" spans="1:16" x14ac:dyDescent="0.25">
      <c r="A10" s="6" t="s">
        <v>3513</v>
      </c>
      <c r="B10" s="54">
        <v>46121</v>
      </c>
      <c r="C10" s="7">
        <v>46127</v>
      </c>
      <c r="D10" s="6">
        <v>3271</v>
      </c>
      <c r="E10" s="6">
        <v>336</v>
      </c>
      <c r="F10" s="6">
        <v>4</v>
      </c>
      <c r="G10" s="15">
        <v>7</v>
      </c>
      <c r="H10" s="15">
        <v>81662</v>
      </c>
      <c r="I10" s="15" t="s">
        <v>543</v>
      </c>
      <c r="J10" s="15">
        <v>59326273</v>
      </c>
      <c r="K10" s="15" t="s">
        <v>3127</v>
      </c>
      <c r="L10" s="15" t="s">
        <v>3130</v>
      </c>
      <c r="M10" s="20">
        <v>149900</v>
      </c>
      <c r="N10" s="62">
        <v>0.3</v>
      </c>
      <c r="O10" s="12">
        <f t="shared" si="0"/>
        <v>104930</v>
      </c>
      <c r="P10" s="6" t="s">
        <v>3499</v>
      </c>
    </row>
    <row r="11" spans="1:16" x14ac:dyDescent="0.25">
      <c r="A11" s="6" t="s">
        <v>3513</v>
      </c>
      <c r="B11" s="54">
        <v>46121</v>
      </c>
      <c r="C11" s="7">
        <v>46127</v>
      </c>
      <c r="D11" s="6">
        <v>3271</v>
      </c>
      <c r="E11" s="6">
        <v>336</v>
      </c>
      <c r="F11" s="6">
        <v>4</v>
      </c>
      <c r="G11" s="15">
        <v>7</v>
      </c>
      <c r="H11" s="15">
        <v>81662</v>
      </c>
      <c r="I11" s="15" t="s">
        <v>543</v>
      </c>
      <c r="J11" s="15">
        <v>59326282</v>
      </c>
      <c r="K11" s="15" t="s">
        <v>3127</v>
      </c>
      <c r="L11" s="15" t="s">
        <v>3131</v>
      </c>
      <c r="M11" s="20">
        <v>149900</v>
      </c>
      <c r="N11" s="62">
        <v>0.3</v>
      </c>
      <c r="O11" s="12">
        <f t="shared" si="0"/>
        <v>104930</v>
      </c>
      <c r="P11" s="6" t="s">
        <v>3499</v>
      </c>
    </row>
    <row r="12" spans="1:16" x14ac:dyDescent="0.25">
      <c r="A12" s="6" t="s">
        <v>3513</v>
      </c>
      <c r="B12" s="54">
        <v>46121</v>
      </c>
      <c r="C12" s="7">
        <v>46127</v>
      </c>
      <c r="D12" s="6">
        <v>3271</v>
      </c>
      <c r="E12" s="6">
        <v>336</v>
      </c>
      <c r="F12" s="6">
        <v>4</v>
      </c>
      <c r="G12" s="15">
        <v>7</v>
      </c>
      <c r="H12" s="15">
        <v>81662</v>
      </c>
      <c r="I12" s="15" t="s">
        <v>543</v>
      </c>
      <c r="J12" s="15">
        <v>59326291</v>
      </c>
      <c r="K12" s="15" t="s">
        <v>3127</v>
      </c>
      <c r="L12" s="15" t="s">
        <v>3132</v>
      </c>
      <c r="M12" s="20">
        <v>149900</v>
      </c>
      <c r="N12" s="62">
        <v>0.3</v>
      </c>
      <c r="O12" s="12">
        <f t="shared" si="0"/>
        <v>104930</v>
      </c>
      <c r="P12" s="6" t="s">
        <v>3499</v>
      </c>
    </row>
    <row r="13" spans="1:16" x14ac:dyDescent="0.25">
      <c r="A13" s="6" t="s">
        <v>3513</v>
      </c>
      <c r="B13" s="54">
        <v>46121</v>
      </c>
      <c r="C13" s="7">
        <v>46127</v>
      </c>
      <c r="D13" s="6">
        <v>3271</v>
      </c>
      <c r="E13" s="6">
        <v>336</v>
      </c>
      <c r="F13" s="6">
        <v>4</v>
      </c>
      <c r="G13" s="15">
        <v>7</v>
      </c>
      <c r="H13" s="15">
        <v>81662</v>
      </c>
      <c r="I13" s="15" t="s">
        <v>543</v>
      </c>
      <c r="J13" s="15">
        <v>59326308</v>
      </c>
      <c r="K13" s="15" t="s">
        <v>3127</v>
      </c>
      <c r="L13" s="15" t="s">
        <v>3133</v>
      </c>
      <c r="M13" s="20">
        <v>149900</v>
      </c>
      <c r="N13" s="62">
        <v>0.3</v>
      </c>
      <c r="O13" s="12">
        <f t="shared" si="0"/>
        <v>104930</v>
      </c>
      <c r="P13" s="6" t="s">
        <v>3499</v>
      </c>
    </row>
    <row r="14" spans="1:16" x14ac:dyDescent="0.25">
      <c r="A14" s="6" t="s">
        <v>3513</v>
      </c>
      <c r="B14" s="54">
        <v>46121</v>
      </c>
      <c r="C14" s="7">
        <v>46127</v>
      </c>
      <c r="D14" s="6">
        <v>3271</v>
      </c>
      <c r="E14" s="6">
        <v>336</v>
      </c>
      <c r="F14" s="6">
        <v>4</v>
      </c>
      <c r="G14" s="15">
        <v>7</v>
      </c>
      <c r="H14" s="15">
        <v>81662</v>
      </c>
      <c r="I14" s="15" t="s">
        <v>543</v>
      </c>
      <c r="J14" s="15">
        <v>59326317</v>
      </c>
      <c r="K14" s="15" t="s">
        <v>3134</v>
      </c>
      <c r="L14" s="15" t="s">
        <v>3135</v>
      </c>
      <c r="M14" s="20">
        <v>149900</v>
      </c>
      <c r="N14" s="62">
        <v>0.3</v>
      </c>
      <c r="O14" s="12">
        <f t="shared" si="0"/>
        <v>104930</v>
      </c>
      <c r="P14" s="6" t="s">
        <v>3499</v>
      </c>
    </row>
    <row r="15" spans="1:16" x14ac:dyDescent="0.25">
      <c r="A15" s="6" t="s">
        <v>3513</v>
      </c>
      <c r="B15" s="54">
        <v>46121</v>
      </c>
      <c r="C15" s="7">
        <v>46127</v>
      </c>
      <c r="D15" s="6">
        <v>3271</v>
      </c>
      <c r="E15" s="6">
        <v>336</v>
      </c>
      <c r="F15" s="6">
        <v>4</v>
      </c>
      <c r="G15" s="15">
        <v>7</v>
      </c>
      <c r="H15" s="15">
        <v>81662</v>
      </c>
      <c r="I15" s="15" t="s">
        <v>543</v>
      </c>
      <c r="J15" s="15">
        <v>59326326</v>
      </c>
      <c r="K15" s="15" t="s">
        <v>3134</v>
      </c>
      <c r="L15" s="15" t="s">
        <v>3136</v>
      </c>
      <c r="M15" s="20">
        <v>149900</v>
      </c>
      <c r="N15" s="62">
        <v>0.3</v>
      </c>
      <c r="O15" s="12">
        <f t="shared" si="0"/>
        <v>104930</v>
      </c>
      <c r="P15" s="6" t="s">
        <v>3499</v>
      </c>
    </row>
    <row r="16" spans="1:16" x14ac:dyDescent="0.25">
      <c r="A16" s="6" t="s">
        <v>3513</v>
      </c>
      <c r="B16" s="54">
        <v>46121</v>
      </c>
      <c r="C16" s="7">
        <v>46127</v>
      </c>
      <c r="D16" s="6">
        <v>3271</v>
      </c>
      <c r="E16" s="6">
        <v>336</v>
      </c>
      <c r="F16" s="6">
        <v>4</v>
      </c>
      <c r="G16" s="15">
        <v>7</v>
      </c>
      <c r="H16" s="15">
        <v>81662</v>
      </c>
      <c r="I16" s="15" t="s">
        <v>543</v>
      </c>
      <c r="J16" s="15">
        <v>59326335</v>
      </c>
      <c r="K16" s="15" t="s">
        <v>3134</v>
      </c>
      <c r="L16" s="15" t="s">
        <v>3137</v>
      </c>
      <c r="M16" s="20">
        <v>149900</v>
      </c>
      <c r="N16" s="62">
        <v>0.3</v>
      </c>
      <c r="O16" s="12">
        <f t="shared" si="0"/>
        <v>104930</v>
      </c>
      <c r="P16" s="6" t="s">
        <v>3499</v>
      </c>
    </row>
    <row r="17" spans="1:16" x14ac:dyDescent="0.25">
      <c r="A17" s="6" t="s">
        <v>3513</v>
      </c>
      <c r="B17" s="54">
        <v>46121</v>
      </c>
      <c r="C17" s="7">
        <v>46127</v>
      </c>
      <c r="D17" s="6">
        <v>3271</v>
      </c>
      <c r="E17" s="6">
        <v>336</v>
      </c>
      <c r="F17" s="6">
        <v>4</v>
      </c>
      <c r="G17" s="15">
        <v>7</v>
      </c>
      <c r="H17" s="15">
        <v>81662</v>
      </c>
      <c r="I17" s="15" t="s">
        <v>543</v>
      </c>
      <c r="J17" s="15">
        <v>59326344</v>
      </c>
      <c r="K17" s="15" t="s">
        <v>3134</v>
      </c>
      <c r="L17" s="15" t="s">
        <v>3138</v>
      </c>
      <c r="M17" s="20">
        <v>149900</v>
      </c>
      <c r="N17" s="62">
        <v>0.3</v>
      </c>
      <c r="O17" s="12">
        <f t="shared" si="0"/>
        <v>104930</v>
      </c>
      <c r="P17" s="6" t="s">
        <v>3499</v>
      </c>
    </row>
    <row r="18" spans="1:16" x14ac:dyDescent="0.25">
      <c r="A18" s="6" t="s">
        <v>3513</v>
      </c>
      <c r="B18" s="54">
        <v>46121</v>
      </c>
      <c r="C18" s="7">
        <v>46127</v>
      </c>
      <c r="D18" s="6">
        <v>3271</v>
      </c>
      <c r="E18" s="6">
        <v>336</v>
      </c>
      <c r="F18" s="6">
        <v>4</v>
      </c>
      <c r="G18" s="15">
        <v>7</v>
      </c>
      <c r="H18" s="15">
        <v>81662</v>
      </c>
      <c r="I18" s="15" t="s">
        <v>543</v>
      </c>
      <c r="J18" s="15">
        <v>59326353</v>
      </c>
      <c r="K18" s="15" t="s">
        <v>3134</v>
      </c>
      <c r="L18" s="15" t="s">
        <v>3139</v>
      </c>
      <c r="M18" s="20">
        <v>149900</v>
      </c>
      <c r="N18" s="62">
        <v>0.3</v>
      </c>
      <c r="O18" s="12">
        <f t="shared" si="0"/>
        <v>104930</v>
      </c>
      <c r="P18" s="6" t="s">
        <v>3499</v>
      </c>
    </row>
    <row r="19" spans="1:16" x14ac:dyDescent="0.25">
      <c r="A19" s="6" t="s">
        <v>3513</v>
      </c>
      <c r="B19" s="54">
        <v>46121</v>
      </c>
      <c r="C19" s="7">
        <v>46127</v>
      </c>
      <c r="D19" s="6">
        <v>3271</v>
      </c>
      <c r="E19" s="6">
        <v>336</v>
      </c>
      <c r="F19" s="6">
        <v>4</v>
      </c>
      <c r="G19" s="15">
        <v>7</v>
      </c>
      <c r="H19" s="15">
        <v>81662</v>
      </c>
      <c r="I19" s="15" t="s">
        <v>543</v>
      </c>
      <c r="J19" s="15">
        <v>59326362</v>
      </c>
      <c r="K19" s="15" t="s">
        <v>3134</v>
      </c>
      <c r="L19" s="15" t="s">
        <v>3140</v>
      </c>
      <c r="M19" s="20">
        <v>149900</v>
      </c>
      <c r="N19" s="62">
        <v>0.3</v>
      </c>
      <c r="O19" s="12">
        <f t="shared" si="0"/>
        <v>104930</v>
      </c>
      <c r="P19" s="6" t="s">
        <v>3499</v>
      </c>
    </row>
    <row r="20" spans="1:16" x14ac:dyDescent="0.25">
      <c r="A20" s="6" t="s">
        <v>3513</v>
      </c>
      <c r="B20" s="54">
        <v>46121</v>
      </c>
      <c r="C20" s="7">
        <v>46127</v>
      </c>
      <c r="D20" s="6">
        <v>3271</v>
      </c>
      <c r="E20" s="6">
        <v>336</v>
      </c>
      <c r="F20" s="6">
        <v>4</v>
      </c>
      <c r="G20" s="15">
        <v>7</v>
      </c>
      <c r="H20" s="15">
        <v>81662</v>
      </c>
      <c r="I20" s="15" t="s">
        <v>543</v>
      </c>
      <c r="J20" s="15">
        <v>59326371</v>
      </c>
      <c r="K20" s="15" t="s">
        <v>3141</v>
      </c>
      <c r="L20" s="15" t="s">
        <v>3142</v>
      </c>
      <c r="M20" s="20">
        <v>149900</v>
      </c>
      <c r="N20" s="62">
        <v>0.3</v>
      </c>
      <c r="O20" s="12">
        <f t="shared" si="0"/>
        <v>104930</v>
      </c>
      <c r="P20" s="6" t="s">
        <v>3499</v>
      </c>
    </row>
    <row r="21" spans="1:16" x14ac:dyDescent="0.25">
      <c r="A21" s="6" t="s">
        <v>3513</v>
      </c>
      <c r="B21" s="54">
        <v>46121</v>
      </c>
      <c r="C21" s="7">
        <v>46127</v>
      </c>
      <c r="D21" s="6">
        <v>3271</v>
      </c>
      <c r="E21" s="6">
        <v>336</v>
      </c>
      <c r="F21" s="6">
        <v>4</v>
      </c>
      <c r="G21" s="15">
        <v>7</v>
      </c>
      <c r="H21" s="15">
        <v>81662</v>
      </c>
      <c r="I21" s="15" t="s">
        <v>543</v>
      </c>
      <c r="J21" s="15">
        <v>59326380</v>
      </c>
      <c r="K21" s="15" t="s">
        <v>3141</v>
      </c>
      <c r="L21" s="15" t="s">
        <v>3143</v>
      </c>
      <c r="M21" s="20">
        <v>149900</v>
      </c>
      <c r="N21" s="62">
        <v>0.3</v>
      </c>
      <c r="O21" s="12">
        <f t="shared" si="0"/>
        <v>104930</v>
      </c>
      <c r="P21" s="6" t="s">
        <v>3499</v>
      </c>
    </row>
    <row r="22" spans="1:16" x14ac:dyDescent="0.25">
      <c r="A22" s="6" t="s">
        <v>3513</v>
      </c>
      <c r="B22" s="54">
        <v>46121</v>
      </c>
      <c r="C22" s="7">
        <v>46127</v>
      </c>
      <c r="D22" s="6">
        <v>3271</v>
      </c>
      <c r="E22" s="6">
        <v>336</v>
      </c>
      <c r="F22" s="6">
        <v>4</v>
      </c>
      <c r="G22" s="15">
        <v>7</v>
      </c>
      <c r="H22" s="15">
        <v>81662</v>
      </c>
      <c r="I22" s="15" t="s">
        <v>543</v>
      </c>
      <c r="J22" s="15">
        <v>59326399</v>
      </c>
      <c r="K22" s="15" t="s">
        <v>3141</v>
      </c>
      <c r="L22" s="15" t="s">
        <v>3144</v>
      </c>
      <c r="M22" s="20">
        <v>149900</v>
      </c>
      <c r="N22" s="62">
        <v>0.3</v>
      </c>
      <c r="O22" s="12">
        <f t="shared" si="0"/>
        <v>104930</v>
      </c>
      <c r="P22" s="6" t="s">
        <v>3499</v>
      </c>
    </row>
    <row r="23" spans="1:16" x14ac:dyDescent="0.25">
      <c r="A23" s="6" t="s">
        <v>3513</v>
      </c>
      <c r="B23" s="54">
        <v>46121</v>
      </c>
      <c r="C23" s="7">
        <v>46127</v>
      </c>
      <c r="D23" s="6">
        <v>3271</v>
      </c>
      <c r="E23" s="6">
        <v>336</v>
      </c>
      <c r="F23" s="6">
        <v>4</v>
      </c>
      <c r="G23" s="15">
        <v>7</v>
      </c>
      <c r="H23" s="15">
        <v>81662</v>
      </c>
      <c r="I23" s="15" t="s">
        <v>543</v>
      </c>
      <c r="J23" s="15">
        <v>59326406</v>
      </c>
      <c r="K23" s="15" t="s">
        <v>3141</v>
      </c>
      <c r="L23" s="15" t="s">
        <v>3145</v>
      </c>
      <c r="M23" s="20">
        <v>149900</v>
      </c>
      <c r="N23" s="62">
        <v>0.3</v>
      </c>
      <c r="O23" s="12">
        <f t="shared" si="0"/>
        <v>104930</v>
      </c>
      <c r="P23" s="6" t="s">
        <v>3499</v>
      </c>
    </row>
    <row r="24" spans="1:16" x14ac:dyDescent="0.25">
      <c r="A24" s="6" t="s">
        <v>3513</v>
      </c>
      <c r="B24" s="54">
        <v>46121</v>
      </c>
      <c r="C24" s="7">
        <v>46127</v>
      </c>
      <c r="D24" s="6">
        <v>3271</v>
      </c>
      <c r="E24" s="6">
        <v>336</v>
      </c>
      <c r="F24" s="6">
        <v>4</v>
      </c>
      <c r="G24" s="15">
        <v>7</v>
      </c>
      <c r="H24" s="15">
        <v>81662</v>
      </c>
      <c r="I24" s="15" t="s">
        <v>543</v>
      </c>
      <c r="J24" s="15">
        <v>59326415</v>
      </c>
      <c r="K24" s="15" t="s">
        <v>3141</v>
      </c>
      <c r="L24" s="15" t="s">
        <v>3146</v>
      </c>
      <c r="M24" s="20">
        <v>149900</v>
      </c>
      <c r="N24" s="62">
        <v>0.3</v>
      </c>
      <c r="O24" s="12">
        <f t="shared" si="0"/>
        <v>104930</v>
      </c>
      <c r="P24" s="6" t="s">
        <v>3499</v>
      </c>
    </row>
    <row r="25" spans="1:16" x14ac:dyDescent="0.25">
      <c r="A25" s="6" t="s">
        <v>3513</v>
      </c>
      <c r="B25" s="54">
        <v>46121</v>
      </c>
      <c r="C25" s="7">
        <v>46127</v>
      </c>
      <c r="D25" s="6">
        <v>3271</v>
      </c>
      <c r="E25" s="6">
        <v>336</v>
      </c>
      <c r="F25" s="6">
        <v>4</v>
      </c>
      <c r="G25" s="15">
        <v>7</v>
      </c>
      <c r="H25" s="15">
        <v>81662</v>
      </c>
      <c r="I25" s="15" t="s">
        <v>543</v>
      </c>
      <c r="J25" s="15">
        <v>59326424</v>
      </c>
      <c r="K25" s="15" t="s">
        <v>3141</v>
      </c>
      <c r="L25" s="15" t="s">
        <v>3147</v>
      </c>
      <c r="M25" s="20">
        <v>149900</v>
      </c>
      <c r="N25" s="62">
        <v>0.3</v>
      </c>
      <c r="O25" s="12">
        <f t="shared" si="0"/>
        <v>104930</v>
      </c>
      <c r="P25" s="6" t="s">
        <v>3499</v>
      </c>
    </row>
    <row r="26" spans="1:16" x14ac:dyDescent="0.25">
      <c r="A26" s="6" t="s">
        <v>3513</v>
      </c>
      <c r="B26" s="54">
        <v>46121</v>
      </c>
      <c r="C26" s="7">
        <v>46127</v>
      </c>
      <c r="D26" s="6">
        <v>3271</v>
      </c>
      <c r="E26" s="6">
        <v>336</v>
      </c>
      <c r="F26" s="6">
        <v>4</v>
      </c>
      <c r="G26" s="15">
        <v>7</v>
      </c>
      <c r="H26" s="15">
        <v>81662</v>
      </c>
      <c r="I26" s="15" t="s">
        <v>543</v>
      </c>
      <c r="J26" s="15">
        <v>59326433</v>
      </c>
      <c r="K26" s="15" t="s">
        <v>3148</v>
      </c>
      <c r="L26" s="15" t="s">
        <v>3149</v>
      </c>
      <c r="M26" s="20">
        <v>149900</v>
      </c>
      <c r="N26" s="62">
        <v>0.3</v>
      </c>
      <c r="O26" s="12">
        <f t="shared" si="0"/>
        <v>104930</v>
      </c>
      <c r="P26" s="6" t="s">
        <v>3499</v>
      </c>
    </row>
    <row r="27" spans="1:16" x14ac:dyDescent="0.25">
      <c r="A27" s="6" t="s">
        <v>3513</v>
      </c>
      <c r="B27" s="54">
        <v>46121</v>
      </c>
      <c r="C27" s="7">
        <v>46127</v>
      </c>
      <c r="D27" s="6">
        <v>3271</v>
      </c>
      <c r="E27" s="6">
        <v>336</v>
      </c>
      <c r="F27" s="6">
        <v>4</v>
      </c>
      <c r="G27" s="15">
        <v>7</v>
      </c>
      <c r="H27" s="15">
        <v>81662</v>
      </c>
      <c r="I27" s="15" t="s">
        <v>543</v>
      </c>
      <c r="J27" s="15">
        <v>59326442</v>
      </c>
      <c r="K27" s="15" t="s">
        <v>3148</v>
      </c>
      <c r="L27" s="15" t="s">
        <v>3150</v>
      </c>
      <c r="M27" s="20">
        <v>149900</v>
      </c>
      <c r="N27" s="62">
        <v>0.3</v>
      </c>
      <c r="O27" s="12">
        <f t="shared" si="0"/>
        <v>104930</v>
      </c>
      <c r="P27" s="6" t="s">
        <v>3499</v>
      </c>
    </row>
    <row r="28" spans="1:16" x14ac:dyDescent="0.25">
      <c r="A28" s="6" t="s">
        <v>3513</v>
      </c>
      <c r="B28" s="54">
        <v>46121</v>
      </c>
      <c r="C28" s="7">
        <v>46127</v>
      </c>
      <c r="D28" s="6">
        <v>3271</v>
      </c>
      <c r="E28" s="6">
        <v>336</v>
      </c>
      <c r="F28" s="6">
        <v>4</v>
      </c>
      <c r="G28" s="15">
        <v>7</v>
      </c>
      <c r="H28" s="15">
        <v>81662</v>
      </c>
      <c r="I28" s="15" t="s">
        <v>543</v>
      </c>
      <c r="J28" s="15">
        <v>59326451</v>
      </c>
      <c r="K28" s="15" t="s">
        <v>3148</v>
      </c>
      <c r="L28" s="15" t="s">
        <v>3151</v>
      </c>
      <c r="M28" s="20">
        <v>149900</v>
      </c>
      <c r="N28" s="62">
        <v>0.3</v>
      </c>
      <c r="O28" s="12">
        <f t="shared" si="0"/>
        <v>104930</v>
      </c>
      <c r="P28" s="6" t="s">
        <v>3499</v>
      </c>
    </row>
    <row r="29" spans="1:16" x14ac:dyDescent="0.25">
      <c r="A29" s="6" t="s">
        <v>3513</v>
      </c>
      <c r="B29" s="54">
        <v>46121</v>
      </c>
      <c r="C29" s="7">
        <v>46127</v>
      </c>
      <c r="D29" s="6">
        <v>3271</v>
      </c>
      <c r="E29" s="6">
        <v>336</v>
      </c>
      <c r="F29" s="6">
        <v>4</v>
      </c>
      <c r="G29" s="15">
        <v>7</v>
      </c>
      <c r="H29" s="15">
        <v>81662</v>
      </c>
      <c r="I29" s="15" t="s">
        <v>543</v>
      </c>
      <c r="J29" s="15">
        <v>59326460</v>
      </c>
      <c r="K29" s="15" t="s">
        <v>3148</v>
      </c>
      <c r="L29" s="15" t="s">
        <v>3152</v>
      </c>
      <c r="M29" s="20">
        <v>149900</v>
      </c>
      <c r="N29" s="62">
        <v>0.3</v>
      </c>
      <c r="O29" s="12">
        <f t="shared" si="0"/>
        <v>104930</v>
      </c>
      <c r="P29" s="6" t="s">
        <v>3499</v>
      </c>
    </row>
    <row r="30" spans="1:16" x14ac:dyDescent="0.25">
      <c r="A30" s="6" t="s">
        <v>3513</v>
      </c>
      <c r="B30" s="54">
        <v>46121</v>
      </c>
      <c r="C30" s="7">
        <v>46127</v>
      </c>
      <c r="D30" s="6">
        <v>3271</v>
      </c>
      <c r="E30" s="6">
        <v>336</v>
      </c>
      <c r="F30" s="6">
        <v>4</v>
      </c>
      <c r="G30" s="15">
        <v>7</v>
      </c>
      <c r="H30" s="15">
        <v>81662</v>
      </c>
      <c r="I30" s="15" t="s">
        <v>543</v>
      </c>
      <c r="J30" s="15">
        <v>59326479</v>
      </c>
      <c r="K30" s="15" t="s">
        <v>3148</v>
      </c>
      <c r="L30" s="15" t="s">
        <v>3153</v>
      </c>
      <c r="M30" s="20">
        <v>149900</v>
      </c>
      <c r="N30" s="62">
        <v>0.3</v>
      </c>
      <c r="O30" s="12">
        <f t="shared" si="0"/>
        <v>104930</v>
      </c>
      <c r="P30" s="6" t="s">
        <v>3499</v>
      </c>
    </row>
    <row r="31" spans="1:16" x14ac:dyDescent="0.25">
      <c r="A31" s="6" t="s">
        <v>3513</v>
      </c>
      <c r="B31" s="54">
        <v>46121</v>
      </c>
      <c r="C31" s="7">
        <v>46127</v>
      </c>
      <c r="D31" s="6">
        <v>3271</v>
      </c>
      <c r="E31" s="6">
        <v>336</v>
      </c>
      <c r="F31" s="6">
        <v>4</v>
      </c>
      <c r="G31" s="15">
        <v>7</v>
      </c>
      <c r="H31" s="15">
        <v>81662</v>
      </c>
      <c r="I31" s="15" t="s">
        <v>543</v>
      </c>
      <c r="J31" s="15">
        <v>59326488</v>
      </c>
      <c r="K31" s="15" t="s">
        <v>3148</v>
      </c>
      <c r="L31" s="15" t="s">
        <v>3154</v>
      </c>
      <c r="M31" s="20">
        <v>149900</v>
      </c>
      <c r="N31" s="62">
        <v>0.3</v>
      </c>
      <c r="O31" s="12">
        <f t="shared" si="0"/>
        <v>104930</v>
      </c>
      <c r="P31" s="6" t="s">
        <v>3499</v>
      </c>
    </row>
    <row r="32" spans="1:16" x14ac:dyDescent="0.25">
      <c r="A32" s="6" t="s">
        <v>3513</v>
      </c>
      <c r="B32" s="54">
        <v>46121</v>
      </c>
      <c r="C32" s="7">
        <v>46127</v>
      </c>
      <c r="D32" s="6">
        <v>3271</v>
      </c>
      <c r="E32" s="6">
        <v>336</v>
      </c>
      <c r="F32" s="6">
        <v>4</v>
      </c>
      <c r="G32" s="15">
        <v>7</v>
      </c>
      <c r="H32" s="15">
        <v>81662</v>
      </c>
      <c r="I32" s="15" t="s">
        <v>543</v>
      </c>
      <c r="J32" s="15">
        <v>59326497</v>
      </c>
      <c r="K32" s="15" t="s">
        <v>3155</v>
      </c>
      <c r="L32" s="15" t="s">
        <v>3156</v>
      </c>
      <c r="M32" s="20">
        <v>149900</v>
      </c>
      <c r="N32" s="62">
        <v>0.3</v>
      </c>
      <c r="O32" s="12">
        <f t="shared" si="0"/>
        <v>104930</v>
      </c>
      <c r="P32" s="6" t="s">
        <v>3499</v>
      </c>
    </row>
    <row r="33" spans="1:16" x14ac:dyDescent="0.25">
      <c r="A33" s="6" t="s">
        <v>3513</v>
      </c>
      <c r="B33" s="54">
        <v>46121</v>
      </c>
      <c r="C33" s="7">
        <v>46127</v>
      </c>
      <c r="D33" s="6">
        <v>3271</v>
      </c>
      <c r="E33" s="6">
        <v>336</v>
      </c>
      <c r="F33" s="6">
        <v>4</v>
      </c>
      <c r="G33" s="15">
        <v>7</v>
      </c>
      <c r="H33" s="15">
        <v>81662</v>
      </c>
      <c r="I33" s="15" t="s">
        <v>543</v>
      </c>
      <c r="J33" s="15">
        <v>59326504</v>
      </c>
      <c r="K33" s="15" t="s">
        <v>3155</v>
      </c>
      <c r="L33" s="15" t="s">
        <v>3157</v>
      </c>
      <c r="M33" s="20">
        <v>149900</v>
      </c>
      <c r="N33" s="62">
        <v>0.3</v>
      </c>
      <c r="O33" s="12">
        <f t="shared" si="0"/>
        <v>104930</v>
      </c>
      <c r="P33" s="6" t="s">
        <v>3499</v>
      </c>
    </row>
    <row r="34" spans="1:16" x14ac:dyDescent="0.25">
      <c r="A34" s="6" t="s">
        <v>3513</v>
      </c>
      <c r="B34" s="54">
        <v>46121</v>
      </c>
      <c r="C34" s="7">
        <v>46127</v>
      </c>
      <c r="D34" s="6">
        <v>3271</v>
      </c>
      <c r="E34" s="6">
        <v>336</v>
      </c>
      <c r="F34" s="6">
        <v>4</v>
      </c>
      <c r="G34" s="15">
        <v>7</v>
      </c>
      <c r="H34" s="15">
        <v>81662</v>
      </c>
      <c r="I34" s="15" t="s">
        <v>543</v>
      </c>
      <c r="J34" s="15">
        <v>59326513</v>
      </c>
      <c r="K34" s="15" t="s">
        <v>3155</v>
      </c>
      <c r="L34" s="15" t="s">
        <v>3158</v>
      </c>
      <c r="M34" s="20">
        <v>149900</v>
      </c>
      <c r="N34" s="62">
        <v>0.3</v>
      </c>
      <c r="O34" s="12">
        <f t="shared" si="0"/>
        <v>104930</v>
      </c>
      <c r="P34" s="6" t="s">
        <v>3499</v>
      </c>
    </row>
    <row r="35" spans="1:16" x14ac:dyDescent="0.25">
      <c r="A35" s="6" t="s">
        <v>3513</v>
      </c>
      <c r="B35" s="54">
        <v>46121</v>
      </c>
      <c r="C35" s="7">
        <v>46127</v>
      </c>
      <c r="D35" s="6">
        <v>3271</v>
      </c>
      <c r="E35" s="6">
        <v>336</v>
      </c>
      <c r="F35" s="6">
        <v>4</v>
      </c>
      <c r="G35" s="15">
        <v>7</v>
      </c>
      <c r="H35" s="15">
        <v>81662</v>
      </c>
      <c r="I35" s="15" t="s">
        <v>543</v>
      </c>
      <c r="J35" s="15">
        <v>59326522</v>
      </c>
      <c r="K35" s="15" t="s">
        <v>3155</v>
      </c>
      <c r="L35" s="15" t="s">
        <v>3159</v>
      </c>
      <c r="M35" s="20">
        <v>149900</v>
      </c>
      <c r="N35" s="62">
        <v>0.3</v>
      </c>
      <c r="O35" s="12">
        <f t="shared" si="0"/>
        <v>104930</v>
      </c>
      <c r="P35" s="6" t="s">
        <v>3499</v>
      </c>
    </row>
    <row r="36" spans="1:16" x14ac:dyDescent="0.25">
      <c r="A36" s="6" t="s">
        <v>3513</v>
      </c>
      <c r="B36" s="54">
        <v>46121</v>
      </c>
      <c r="C36" s="7">
        <v>46127</v>
      </c>
      <c r="D36" s="6">
        <v>3271</v>
      </c>
      <c r="E36" s="6">
        <v>336</v>
      </c>
      <c r="F36" s="6">
        <v>4</v>
      </c>
      <c r="G36" s="15">
        <v>7</v>
      </c>
      <c r="H36" s="15">
        <v>81662</v>
      </c>
      <c r="I36" s="15" t="s">
        <v>543</v>
      </c>
      <c r="J36" s="15">
        <v>59326531</v>
      </c>
      <c r="K36" s="15" t="s">
        <v>3155</v>
      </c>
      <c r="L36" s="15" t="s">
        <v>3160</v>
      </c>
      <c r="M36" s="20">
        <v>149900</v>
      </c>
      <c r="N36" s="62">
        <v>0.3</v>
      </c>
      <c r="O36" s="12">
        <f t="shared" si="0"/>
        <v>104930</v>
      </c>
      <c r="P36" s="6" t="s">
        <v>3499</v>
      </c>
    </row>
    <row r="37" spans="1:16" x14ac:dyDescent="0.25">
      <c r="A37" s="6" t="s">
        <v>3513</v>
      </c>
      <c r="B37" s="54">
        <v>46121</v>
      </c>
      <c r="C37" s="7">
        <v>46127</v>
      </c>
      <c r="D37" s="6">
        <v>3271</v>
      </c>
      <c r="E37" s="6">
        <v>336</v>
      </c>
      <c r="F37" s="6">
        <v>4</v>
      </c>
      <c r="G37" s="15">
        <v>7</v>
      </c>
      <c r="H37" s="15">
        <v>81662</v>
      </c>
      <c r="I37" s="15" t="s">
        <v>543</v>
      </c>
      <c r="J37" s="15">
        <v>59326540</v>
      </c>
      <c r="K37" s="15" t="s">
        <v>3155</v>
      </c>
      <c r="L37" s="15" t="s">
        <v>3161</v>
      </c>
      <c r="M37" s="20">
        <v>149900</v>
      </c>
      <c r="N37" s="62">
        <v>0.3</v>
      </c>
      <c r="O37" s="12">
        <f t="shared" si="0"/>
        <v>104930</v>
      </c>
      <c r="P37" s="6" t="s">
        <v>3499</v>
      </c>
    </row>
    <row r="38" spans="1:16" x14ac:dyDescent="0.25">
      <c r="A38" s="6" t="s">
        <v>3513</v>
      </c>
      <c r="B38" s="54">
        <v>46121</v>
      </c>
      <c r="C38" s="7">
        <v>46127</v>
      </c>
      <c r="D38" s="6">
        <v>3271</v>
      </c>
      <c r="E38" s="6">
        <v>336</v>
      </c>
      <c r="F38" s="6">
        <v>4</v>
      </c>
      <c r="G38" s="15">
        <v>7</v>
      </c>
      <c r="H38" s="15">
        <v>81662</v>
      </c>
      <c r="I38" s="15" t="s">
        <v>543</v>
      </c>
      <c r="J38" s="15">
        <v>59326559</v>
      </c>
      <c r="K38" s="15" t="s">
        <v>3162</v>
      </c>
      <c r="L38" s="15" t="s">
        <v>3163</v>
      </c>
      <c r="M38" s="20">
        <v>149900</v>
      </c>
      <c r="N38" s="62">
        <v>0.3</v>
      </c>
      <c r="O38" s="12">
        <f t="shared" si="0"/>
        <v>104930</v>
      </c>
      <c r="P38" s="6" t="s">
        <v>3499</v>
      </c>
    </row>
    <row r="39" spans="1:16" x14ac:dyDescent="0.25">
      <c r="A39" s="6" t="s">
        <v>3513</v>
      </c>
      <c r="B39" s="54">
        <v>46121</v>
      </c>
      <c r="C39" s="7">
        <v>46127</v>
      </c>
      <c r="D39" s="6">
        <v>3271</v>
      </c>
      <c r="E39" s="6">
        <v>336</v>
      </c>
      <c r="F39" s="6">
        <v>4</v>
      </c>
      <c r="G39" s="15">
        <v>7</v>
      </c>
      <c r="H39" s="15">
        <v>81662</v>
      </c>
      <c r="I39" s="15" t="s">
        <v>543</v>
      </c>
      <c r="J39" s="15">
        <v>59326568</v>
      </c>
      <c r="K39" s="15" t="s">
        <v>3162</v>
      </c>
      <c r="L39" s="15" t="s">
        <v>3164</v>
      </c>
      <c r="M39" s="20">
        <v>149900</v>
      </c>
      <c r="N39" s="62">
        <v>0.3</v>
      </c>
      <c r="O39" s="12">
        <f t="shared" si="0"/>
        <v>104930</v>
      </c>
      <c r="P39" s="6" t="s">
        <v>3499</v>
      </c>
    </row>
    <row r="40" spans="1:16" x14ac:dyDescent="0.25">
      <c r="A40" s="6" t="s">
        <v>3513</v>
      </c>
      <c r="B40" s="54">
        <v>46121</v>
      </c>
      <c r="C40" s="7">
        <v>46127</v>
      </c>
      <c r="D40" s="6">
        <v>3271</v>
      </c>
      <c r="E40" s="6">
        <v>336</v>
      </c>
      <c r="F40" s="6">
        <v>4</v>
      </c>
      <c r="G40" s="15">
        <v>7</v>
      </c>
      <c r="H40" s="15">
        <v>81662</v>
      </c>
      <c r="I40" s="15" t="s">
        <v>543</v>
      </c>
      <c r="J40" s="15">
        <v>59326577</v>
      </c>
      <c r="K40" s="15" t="s">
        <v>3162</v>
      </c>
      <c r="L40" s="15" t="s">
        <v>3165</v>
      </c>
      <c r="M40" s="20">
        <v>149900</v>
      </c>
      <c r="N40" s="62">
        <v>0.3</v>
      </c>
      <c r="O40" s="12">
        <f t="shared" si="0"/>
        <v>104930</v>
      </c>
      <c r="P40" s="6" t="s">
        <v>3499</v>
      </c>
    </row>
    <row r="41" spans="1:16" x14ac:dyDescent="0.25">
      <c r="A41" s="6" t="s">
        <v>3513</v>
      </c>
      <c r="B41" s="54">
        <v>46121</v>
      </c>
      <c r="C41" s="7">
        <v>46127</v>
      </c>
      <c r="D41" s="6">
        <v>3271</v>
      </c>
      <c r="E41" s="6">
        <v>336</v>
      </c>
      <c r="F41" s="6">
        <v>4</v>
      </c>
      <c r="G41" s="15">
        <v>7</v>
      </c>
      <c r="H41" s="15">
        <v>81662</v>
      </c>
      <c r="I41" s="15" t="s">
        <v>543</v>
      </c>
      <c r="J41" s="15">
        <v>59326586</v>
      </c>
      <c r="K41" s="15" t="s">
        <v>3162</v>
      </c>
      <c r="L41" s="15" t="s">
        <v>3166</v>
      </c>
      <c r="M41" s="20">
        <v>149900</v>
      </c>
      <c r="N41" s="62">
        <v>0.3</v>
      </c>
      <c r="O41" s="12">
        <f t="shared" si="0"/>
        <v>104930</v>
      </c>
      <c r="P41" s="6" t="s">
        <v>3499</v>
      </c>
    </row>
    <row r="42" spans="1:16" x14ac:dyDescent="0.25">
      <c r="A42" s="6" t="s">
        <v>3513</v>
      </c>
      <c r="B42" s="54">
        <v>46121</v>
      </c>
      <c r="C42" s="7">
        <v>46127</v>
      </c>
      <c r="D42" s="6">
        <v>3271</v>
      </c>
      <c r="E42" s="6">
        <v>336</v>
      </c>
      <c r="F42" s="6">
        <v>4</v>
      </c>
      <c r="G42" s="15">
        <v>7</v>
      </c>
      <c r="H42" s="15">
        <v>81662</v>
      </c>
      <c r="I42" s="15" t="s">
        <v>543</v>
      </c>
      <c r="J42" s="15">
        <v>59326595</v>
      </c>
      <c r="K42" s="15" t="s">
        <v>3162</v>
      </c>
      <c r="L42" s="15" t="s">
        <v>3167</v>
      </c>
      <c r="M42" s="20">
        <v>149900</v>
      </c>
      <c r="N42" s="62">
        <v>0.3</v>
      </c>
      <c r="O42" s="12">
        <f t="shared" si="0"/>
        <v>104930</v>
      </c>
      <c r="P42" s="6" t="s">
        <v>3499</v>
      </c>
    </row>
    <row r="43" spans="1:16" x14ac:dyDescent="0.25">
      <c r="A43" s="6" t="s">
        <v>3513</v>
      </c>
      <c r="B43" s="54">
        <v>46121</v>
      </c>
      <c r="C43" s="7">
        <v>46127</v>
      </c>
      <c r="D43" s="6">
        <v>3271</v>
      </c>
      <c r="E43" s="6">
        <v>336</v>
      </c>
      <c r="F43" s="6">
        <v>4</v>
      </c>
      <c r="G43" s="15">
        <v>7</v>
      </c>
      <c r="H43" s="15">
        <v>81662</v>
      </c>
      <c r="I43" s="15" t="s">
        <v>543</v>
      </c>
      <c r="J43" s="15">
        <v>59326602</v>
      </c>
      <c r="K43" s="15" t="s">
        <v>3162</v>
      </c>
      <c r="L43" s="15" t="s">
        <v>3168</v>
      </c>
      <c r="M43" s="20">
        <v>149900</v>
      </c>
      <c r="N43" s="62">
        <v>0.3</v>
      </c>
      <c r="O43" s="12">
        <f t="shared" si="0"/>
        <v>104930</v>
      </c>
      <c r="P43" s="6" t="s">
        <v>3499</v>
      </c>
    </row>
    <row r="44" spans="1:16" x14ac:dyDescent="0.25">
      <c r="A44" s="6" t="s">
        <v>3513</v>
      </c>
      <c r="B44" s="54">
        <v>46121</v>
      </c>
      <c r="C44" s="7">
        <v>46127</v>
      </c>
      <c r="D44" s="6">
        <v>3271</v>
      </c>
      <c r="E44" s="6">
        <v>336</v>
      </c>
      <c r="F44" s="6">
        <v>4</v>
      </c>
      <c r="G44" s="15">
        <v>7</v>
      </c>
      <c r="H44" s="15">
        <v>81662</v>
      </c>
      <c r="I44" s="15" t="s">
        <v>543</v>
      </c>
      <c r="J44" s="15">
        <v>59326611</v>
      </c>
      <c r="K44" s="15" t="s">
        <v>3169</v>
      </c>
      <c r="L44" s="15" t="s">
        <v>3170</v>
      </c>
      <c r="M44" s="20">
        <v>149900</v>
      </c>
      <c r="N44" s="62">
        <v>0.3</v>
      </c>
      <c r="O44" s="12">
        <f t="shared" si="0"/>
        <v>104930</v>
      </c>
      <c r="P44" s="6" t="s">
        <v>3499</v>
      </c>
    </row>
    <row r="45" spans="1:16" x14ac:dyDescent="0.25">
      <c r="A45" s="6" t="s">
        <v>3513</v>
      </c>
      <c r="B45" s="54">
        <v>46121</v>
      </c>
      <c r="C45" s="7">
        <v>46127</v>
      </c>
      <c r="D45" s="6">
        <v>3271</v>
      </c>
      <c r="E45" s="6">
        <v>336</v>
      </c>
      <c r="F45" s="6">
        <v>4</v>
      </c>
      <c r="G45" s="15">
        <v>7</v>
      </c>
      <c r="H45" s="15">
        <v>81662</v>
      </c>
      <c r="I45" s="15" t="s">
        <v>543</v>
      </c>
      <c r="J45" s="15">
        <v>59326620</v>
      </c>
      <c r="K45" s="15" t="s">
        <v>3169</v>
      </c>
      <c r="L45" s="15" t="s">
        <v>3171</v>
      </c>
      <c r="M45" s="20">
        <v>149900</v>
      </c>
      <c r="N45" s="62">
        <v>0.3</v>
      </c>
      <c r="O45" s="12">
        <f t="shared" si="0"/>
        <v>104930</v>
      </c>
      <c r="P45" s="6" t="s">
        <v>3499</v>
      </c>
    </row>
    <row r="46" spans="1:16" x14ac:dyDescent="0.25">
      <c r="A46" s="6" t="s">
        <v>3513</v>
      </c>
      <c r="B46" s="54">
        <v>46121</v>
      </c>
      <c r="C46" s="7">
        <v>46127</v>
      </c>
      <c r="D46" s="6">
        <v>3271</v>
      </c>
      <c r="E46" s="6">
        <v>336</v>
      </c>
      <c r="F46" s="6">
        <v>4</v>
      </c>
      <c r="G46" s="15">
        <v>7</v>
      </c>
      <c r="H46" s="15">
        <v>81662</v>
      </c>
      <c r="I46" s="15" t="s">
        <v>543</v>
      </c>
      <c r="J46" s="15">
        <v>59326639</v>
      </c>
      <c r="K46" s="15" t="s">
        <v>3169</v>
      </c>
      <c r="L46" s="15" t="s">
        <v>3172</v>
      </c>
      <c r="M46" s="20">
        <v>149900</v>
      </c>
      <c r="N46" s="62">
        <v>0.3</v>
      </c>
      <c r="O46" s="12">
        <f t="shared" si="0"/>
        <v>104930</v>
      </c>
      <c r="P46" s="6" t="s">
        <v>3499</v>
      </c>
    </row>
    <row r="47" spans="1:16" x14ac:dyDescent="0.25">
      <c r="A47" s="6" t="s">
        <v>3513</v>
      </c>
      <c r="B47" s="54">
        <v>46121</v>
      </c>
      <c r="C47" s="7">
        <v>46127</v>
      </c>
      <c r="D47" s="6">
        <v>3271</v>
      </c>
      <c r="E47" s="6">
        <v>336</v>
      </c>
      <c r="F47" s="6">
        <v>4</v>
      </c>
      <c r="G47" s="15">
        <v>7</v>
      </c>
      <c r="H47" s="15">
        <v>81662</v>
      </c>
      <c r="I47" s="15" t="s">
        <v>543</v>
      </c>
      <c r="J47" s="15">
        <v>59326648</v>
      </c>
      <c r="K47" s="15" t="s">
        <v>3169</v>
      </c>
      <c r="L47" s="15" t="s">
        <v>3173</v>
      </c>
      <c r="M47" s="20">
        <v>149900</v>
      </c>
      <c r="N47" s="62">
        <v>0.3</v>
      </c>
      <c r="O47" s="12">
        <f t="shared" si="0"/>
        <v>104930</v>
      </c>
      <c r="P47" s="6" t="s">
        <v>3499</v>
      </c>
    </row>
    <row r="48" spans="1:16" x14ac:dyDescent="0.25">
      <c r="A48" s="6" t="s">
        <v>3513</v>
      </c>
      <c r="B48" s="54">
        <v>46121</v>
      </c>
      <c r="C48" s="7">
        <v>46127</v>
      </c>
      <c r="D48" s="6">
        <v>3271</v>
      </c>
      <c r="E48" s="6">
        <v>336</v>
      </c>
      <c r="F48" s="6">
        <v>4</v>
      </c>
      <c r="G48" s="15">
        <v>7</v>
      </c>
      <c r="H48" s="15">
        <v>81662</v>
      </c>
      <c r="I48" s="15" t="s">
        <v>543</v>
      </c>
      <c r="J48" s="15">
        <v>59326657</v>
      </c>
      <c r="K48" s="15" t="s">
        <v>3169</v>
      </c>
      <c r="L48" s="15" t="s">
        <v>3174</v>
      </c>
      <c r="M48" s="20">
        <v>149900</v>
      </c>
      <c r="N48" s="62">
        <v>0.3</v>
      </c>
      <c r="O48" s="12">
        <f t="shared" si="0"/>
        <v>104930</v>
      </c>
      <c r="P48" s="6" t="s">
        <v>3499</v>
      </c>
    </row>
    <row r="49" spans="1:16" x14ac:dyDescent="0.25">
      <c r="A49" s="6" t="s">
        <v>3513</v>
      </c>
      <c r="B49" s="54">
        <v>46121</v>
      </c>
      <c r="C49" s="7">
        <v>46127</v>
      </c>
      <c r="D49" s="6">
        <v>3271</v>
      </c>
      <c r="E49" s="6">
        <v>336</v>
      </c>
      <c r="F49" s="6">
        <v>4</v>
      </c>
      <c r="G49" s="15">
        <v>7</v>
      </c>
      <c r="H49" s="15">
        <v>81662</v>
      </c>
      <c r="I49" s="15" t="s">
        <v>543</v>
      </c>
      <c r="J49" s="15">
        <v>59326666</v>
      </c>
      <c r="K49" s="15" t="s">
        <v>3169</v>
      </c>
      <c r="L49" s="15" t="s">
        <v>3175</v>
      </c>
      <c r="M49" s="20">
        <v>149900</v>
      </c>
      <c r="N49" s="62">
        <v>0.3</v>
      </c>
      <c r="O49" s="12">
        <f t="shared" si="0"/>
        <v>104930</v>
      </c>
      <c r="P49" s="6" t="s">
        <v>3499</v>
      </c>
    </row>
    <row r="50" spans="1:16" x14ac:dyDescent="0.25">
      <c r="A50" s="6" t="s">
        <v>3513</v>
      </c>
      <c r="B50" s="54">
        <v>46121</v>
      </c>
      <c r="C50" s="7">
        <v>46127</v>
      </c>
      <c r="D50" s="6">
        <v>3271</v>
      </c>
      <c r="E50" s="6">
        <v>336</v>
      </c>
      <c r="F50" s="6">
        <v>4</v>
      </c>
      <c r="G50" s="15">
        <v>7</v>
      </c>
      <c r="H50" s="15">
        <v>81662</v>
      </c>
      <c r="I50" s="15" t="s">
        <v>543</v>
      </c>
      <c r="J50" s="15">
        <v>59326675</v>
      </c>
      <c r="K50" s="15" t="s">
        <v>3176</v>
      </c>
      <c r="L50" s="15" t="s">
        <v>3177</v>
      </c>
      <c r="M50" s="20">
        <v>149900</v>
      </c>
      <c r="N50" s="62">
        <v>0.3</v>
      </c>
      <c r="O50" s="12">
        <f t="shared" si="0"/>
        <v>104930</v>
      </c>
      <c r="P50" s="6" t="s">
        <v>3499</v>
      </c>
    </row>
    <row r="51" spans="1:16" x14ac:dyDescent="0.25">
      <c r="A51" s="6" t="s">
        <v>3513</v>
      </c>
      <c r="B51" s="54">
        <v>46121</v>
      </c>
      <c r="C51" s="7">
        <v>46127</v>
      </c>
      <c r="D51" s="6">
        <v>3271</v>
      </c>
      <c r="E51" s="6">
        <v>336</v>
      </c>
      <c r="F51" s="6">
        <v>4</v>
      </c>
      <c r="G51" s="15">
        <v>7</v>
      </c>
      <c r="H51" s="15">
        <v>81662</v>
      </c>
      <c r="I51" s="15" t="s">
        <v>543</v>
      </c>
      <c r="J51" s="15">
        <v>59326684</v>
      </c>
      <c r="K51" s="15" t="s">
        <v>3176</v>
      </c>
      <c r="L51" s="15" t="s">
        <v>3178</v>
      </c>
      <c r="M51" s="20">
        <v>149900</v>
      </c>
      <c r="N51" s="62">
        <v>0.3</v>
      </c>
      <c r="O51" s="12">
        <f t="shared" si="0"/>
        <v>104930</v>
      </c>
      <c r="P51" s="6" t="s">
        <v>3499</v>
      </c>
    </row>
    <row r="52" spans="1:16" x14ac:dyDescent="0.25">
      <c r="A52" s="6" t="s">
        <v>3513</v>
      </c>
      <c r="B52" s="54">
        <v>46121</v>
      </c>
      <c r="C52" s="7">
        <v>46127</v>
      </c>
      <c r="D52" s="6">
        <v>3271</v>
      </c>
      <c r="E52" s="6">
        <v>336</v>
      </c>
      <c r="F52" s="6">
        <v>4</v>
      </c>
      <c r="G52" s="15">
        <v>7</v>
      </c>
      <c r="H52" s="15">
        <v>81662</v>
      </c>
      <c r="I52" s="15" t="s">
        <v>543</v>
      </c>
      <c r="J52" s="15">
        <v>59326693</v>
      </c>
      <c r="K52" s="15" t="s">
        <v>3176</v>
      </c>
      <c r="L52" s="15" t="s">
        <v>3179</v>
      </c>
      <c r="M52" s="20">
        <v>149900</v>
      </c>
      <c r="N52" s="62">
        <v>0.3</v>
      </c>
      <c r="O52" s="12">
        <f t="shared" si="0"/>
        <v>104930</v>
      </c>
      <c r="P52" s="6" t="s">
        <v>3499</v>
      </c>
    </row>
    <row r="53" spans="1:16" x14ac:dyDescent="0.25">
      <c r="A53" s="6" t="s">
        <v>3513</v>
      </c>
      <c r="B53" s="54">
        <v>46121</v>
      </c>
      <c r="C53" s="7">
        <v>46127</v>
      </c>
      <c r="D53" s="6">
        <v>3271</v>
      </c>
      <c r="E53" s="6">
        <v>336</v>
      </c>
      <c r="F53" s="6">
        <v>4</v>
      </c>
      <c r="G53" s="15">
        <v>7</v>
      </c>
      <c r="H53" s="15">
        <v>81662</v>
      </c>
      <c r="I53" s="15" t="s">
        <v>543</v>
      </c>
      <c r="J53" s="15">
        <v>59326700</v>
      </c>
      <c r="K53" s="15" t="s">
        <v>3176</v>
      </c>
      <c r="L53" s="15" t="s">
        <v>3180</v>
      </c>
      <c r="M53" s="20">
        <v>149900</v>
      </c>
      <c r="N53" s="62">
        <v>0.3</v>
      </c>
      <c r="O53" s="12">
        <f t="shared" si="0"/>
        <v>104930</v>
      </c>
      <c r="P53" s="6" t="s">
        <v>3499</v>
      </c>
    </row>
    <row r="54" spans="1:16" x14ac:dyDescent="0.25">
      <c r="A54" s="6" t="s">
        <v>3513</v>
      </c>
      <c r="B54" s="54">
        <v>46121</v>
      </c>
      <c r="C54" s="7">
        <v>46127</v>
      </c>
      <c r="D54" s="6">
        <v>3271</v>
      </c>
      <c r="E54" s="6">
        <v>336</v>
      </c>
      <c r="F54" s="6">
        <v>4</v>
      </c>
      <c r="G54" s="15">
        <v>7</v>
      </c>
      <c r="H54" s="15">
        <v>81662</v>
      </c>
      <c r="I54" s="15" t="s">
        <v>543</v>
      </c>
      <c r="J54" s="15">
        <v>59326719</v>
      </c>
      <c r="K54" s="15" t="s">
        <v>3176</v>
      </c>
      <c r="L54" s="15" t="s">
        <v>3181</v>
      </c>
      <c r="M54" s="20">
        <v>149900</v>
      </c>
      <c r="N54" s="62">
        <v>0.3</v>
      </c>
      <c r="O54" s="12">
        <f t="shared" si="0"/>
        <v>104930</v>
      </c>
      <c r="P54" s="6" t="s">
        <v>3499</v>
      </c>
    </row>
    <row r="55" spans="1:16" x14ac:dyDescent="0.25">
      <c r="A55" s="6" t="s">
        <v>3513</v>
      </c>
      <c r="B55" s="54">
        <v>46121</v>
      </c>
      <c r="C55" s="7">
        <v>46127</v>
      </c>
      <c r="D55" s="6">
        <v>3271</v>
      </c>
      <c r="E55" s="6">
        <v>336</v>
      </c>
      <c r="F55" s="6">
        <v>4</v>
      </c>
      <c r="G55" s="15">
        <v>7</v>
      </c>
      <c r="H55" s="15">
        <v>81662</v>
      </c>
      <c r="I55" s="15" t="s">
        <v>543</v>
      </c>
      <c r="J55" s="15">
        <v>59326728</v>
      </c>
      <c r="K55" s="15" t="s">
        <v>3176</v>
      </c>
      <c r="L55" s="15" t="s">
        <v>3182</v>
      </c>
      <c r="M55" s="20">
        <v>149900</v>
      </c>
      <c r="N55" s="62">
        <v>0.3</v>
      </c>
      <c r="O55" s="12">
        <f t="shared" si="0"/>
        <v>104930</v>
      </c>
      <c r="P55" s="6" t="s">
        <v>3499</v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05DE5-0108-4F8E-9CF2-73CDC125D519}">
  <sheetPr>
    <tabColor rgb="FF00B050"/>
  </sheetPr>
  <dimension ref="A1:P61"/>
  <sheetViews>
    <sheetView topLeftCell="B1" zoomScale="90" zoomScaleNormal="90" workbookViewId="0">
      <selection activeCell="N2" sqref="N2:P2"/>
    </sheetView>
  </sheetViews>
  <sheetFormatPr defaultRowHeight="15" x14ac:dyDescent="0.25"/>
  <cols>
    <col min="1" max="1" width="41.42578125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8.85546875" bestFit="1" customWidth="1"/>
    <col min="11" max="11" width="10.7109375" bestFit="1" customWidth="1"/>
    <col min="12" max="12" width="74.42578125" bestFit="1" customWidth="1"/>
    <col min="13" max="13" width="15.5703125" bestFit="1" customWidth="1"/>
    <col min="14" max="14" width="7.42578125" bestFit="1" customWidth="1"/>
    <col min="15" max="15" width="27.42578125" style="5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3514</v>
      </c>
      <c r="B2" s="54">
        <v>46121</v>
      </c>
      <c r="C2" s="7">
        <v>46127</v>
      </c>
      <c r="D2" s="6">
        <v>3271</v>
      </c>
      <c r="E2" s="6">
        <v>336</v>
      </c>
      <c r="F2" s="6">
        <v>4</v>
      </c>
      <c r="G2" s="15">
        <v>6</v>
      </c>
      <c r="H2" s="15">
        <v>81328</v>
      </c>
      <c r="I2" s="15" t="s">
        <v>543</v>
      </c>
      <c r="J2" s="15">
        <v>61896886</v>
      </c>
      <c r="K2" s="15" t="s">
        <v>3183</v>
      </c>
      <c r="L2" s="15" t="s">
        <v>3184</v>
      </c>
      <c r="M2" s="17">
        <v>59900</v>
      </c>
      <c r="N2" s="62">
        <v>0.3</v>
      </c>
      <c r="O2" s="12">
        <f>M2-((30*M2)/100)</f>
        <v>41930</v>
      </c>
      <c r="P2" s="6" t="s">
        <v>3499</v>
      </c>
    </row>
    <row r="3" spans="1:16" x14ac:dyDescent="0.25">
      <c r="A3" s="6" t="s">
        <v>3514</v>
      </c>
      <c r="B3" s="54">
        <v>46121</v>
      </c>
      <c r="C3" s="7">
        <v>46127</v>
      </c>
      <c r="D3" s="6">
        <v>3271</v>
      </c>
      <c r="E3" s="6">
        <v>336</v>
      </c>
      <c r="F3" s="6">
        <v>4</v>
      </c>
      <c r="G3" s="15">
        <v>6</v>
      </c>
      <c r="H3" s="15">
        <v>81328</v>
      </c>
      <c r="I3" s="15" t="s">
        <v>543</v>
      </c>
      <c r="J3" s="15">
        <v>61896895</v>
      </c>
      <c r="K3" s="15" t="s">
        <v>3183</v>
      </c>
      <c r="L3" s="15" t="s">
        <v>3185</v>
      </c>
      <c r="M3" s="17">
        <v>59900</v>
      </c>
      <c r="N3" s="62">
        <v>0.3</v>
      </c>
      <c r="O3" s="12">
        <f t="shared" ref="O3:O61" si="0">M3-((30*M3)/100)</f>
        <v>41930</v>
      </c>
      <c r="P3" s="6" t="s">
        <v>3499</v>
      </c>
    </row>
    <row r="4" spans="1:16" x14ac:dyDescent="0.25">
      <c r="A4" s="6" t="s">
        <v>3514</v>
      </c>
      <c r="B4" s="54">
        <v>46121</v>
      </c>
      <c r="C4" s="7">
        <v>46127</v>
      </c>
      <c r="D4" s="6">
        <v>3271</v>
      </c>
      <c r="E4" s="6">
        <v>336</v>
      </c>
      <c r="F4" s="6">
        <v>4</v>
      </c>
      <c r="G4" s="15">
        <v>6</v>
      </c>
      <c r="H4" s="15">
        <v>81328</v>
      </c>
      <c r="I4" s="15" t="s">
        <v>543</v>
      </c>
      <c r="J4" s="15">
        <v>61896902</v>
      </c>
      <c r="K4" s="15" t="s">
        <v>3183</v>
      </c>
      <c r="L4" s="15" t="s">
        <v>3186</v>
      </c>
      <c r="M4" s="17">
        <v>59900</v>
      </c>
      <c r="N4" s="62">
        <v>0.3</v>
      </c>
      <c r="O4" s="12">
        <f t="shared" si="0"/>
        <v>41930</v>
      </c>
      <c r="P4" s="6" t="s">
        <v>3499</v>
      </c>
    </row>
    <row r="5" spans="1:16" x14ac:dyDescent="0.25">
      <c r="A5" s="6" t="s">
        <v>3514</v>
      </c>
      <c r="B5" s="54">
        <v>46121</v>
      </c>
      <c r="C5" s="7">
        <v>46127</v>
      </c>
      <c r="D5" s="6">
        <v>3271</v>
      </c>
      <c r="E5" s="6">
        <v>336</v>
      </c>
      <c r="F5" s="6">
        <v>4</v>
      </c>
      <c r="G5" s="15">
        <v>6</v>
      </c>
      <c r="H5" s="15">
        <v>81328</v>
      </c>
      <c r="I5" s="15" t="s">
        <v>543</v>
      </c>
      <c r="J5" s="15">
        <v>61896911</v>
      </c>
      <c r="K5" s="15" t="s">
        <v>3183</v>
      </c>
      <c r="L5" s="15" t="s">
        <v>3187</v>
      </c>
      <c r="M5" s="17">
        <v>59900</v>
      </c>
      <c r="N5" s="62">
        <v>0.3</v>
      </c>
      <c r="O5" s="12">
        <f t="shared" si="0"/>
        <v>41930</v>
      </c>
      <c r="P5" s="6" t="s">
        <v>3499</v>
      </c>
    </row>
    <row r="6" spans="1:16" x14ac:dyDescent="0.25">
      <c r="A6" s="6" t="s">
        <v>3514</v>
      </c>
      <c r="B6" s="54">
        <v>46121</v>
      </c>
      <c r="C6" s="7">
        <v>46127</v>
      </c>
      <c r="D6" s="6">
        <v>3271</v>
      </c>
      <c r="E6" s="6">
        <v>336</v>
      </c>
      <c r="F6" s="6">
        <v>4</v>
      </c>
      <c r="G6" s="15">
        <v>6</v>
      </c>
      <c r="H6" s="15">
        <v>81328</v>
      </c>
      <c r="I6" s="15" t="s">
        <v>543</v>
      </c>
      <c r="J6" s="15">
        <v>61896920</v>
      </c>
      <c r="K6" s="15" t="s">
        <v>3183</v>
      </c>
      <c r="L6" s="15" t="s">
        <v>3188</v>
      </c>
      <c r="M6" s="17">
        <v>59900</v>
      </c>
      <c r="N6" s="62">
        <v>0.3</v>
      </c>
      <c r="O6" s="12">
        <f t="shared" si="0"/>
        <v>41930</v>
      </c>
      <c r="P6" s="6" t="s">
        <v>3499</v>
      </c>
    </row>
    <row r="7" spans="1:16" x14ac:dyDescent="0.25">
      <c r="A7" s="6" t="s">
        <v>3514</v>
      </c>
      <c r="B7" s="54">
        <v>46121</v>
      </c>
      <c r="C7" s="7">
        <v>46127</v>
      </c>
      <c r="D7" s="6">
        <v>3271</v>
      </c>
      <c r="E7" s="6">
        <v>336</v>
      </c>
      <c r="F7" s="6">
        <v>4</v>
      </c>
      <c r="G7" s="15">
        <v>6</v>
      </c>
      <c r="H7" s="15">
        <v>81328</v>
      </c>
      <c r="I7" s="15" t="s">
        <v>543</v>
      </c>
      <c r="J7" s="15">
        <v>61896939</v>
      </c>
      <c r="K7" s="15" t="s">
        <v>3183</v>
      </c>
      <c r="L7" s="15" t="s">
        <v>3189</v>
      </c>
      <c r="M7" s="17">
        <v>59900</v>
      </c>
      <c r="N7" s="62">
        <v>0.3</v>
      </c>
      <c r="O7" s="12">
        <f t="shared" si="0"/>
        <v>41930</v>
      </c>
      <c r="P7" s="6" t="s">
        <v>3499</v>
      </c>
    </row>
    <row r="8" spans="1:16" x14ac:dyDescent="0.25">
      <c r="A8" s="6" t="s">
        <v>3514</v>
      </c>
      <c r="B8" s="54">
        <v>46121</v>
      </c>
      <c r="C8" s="7">
        <v>46127</v>
      </c>
      <c r="D8" s="6">
        <v>3271</v>
      </c>
      <c r="E8" s="6">
        <v>336</v>
      </c>
      <c r="F8" s="6">
        <v>4</v>
      </c>
      <c r="G8" s="15">
        <v>6</v>
      </c>
      <c r="H8" s="15">
        <v>81328</v>
      </c>
      <c r="I8" s="15" t="s">
        <v>543</v>
      </c>
      <c r="J8" s="15">
        <v>61896948</v>
      </c>
      <c r="K8" s="15" t="s">
        <v>3183</v>
      </c>
      <c r="L8" s="15" t="s">
        <v>3190</v>
      </c>
      <c r="M8" s="17">
        <v>59900</v>
      </c>
      <c r="N8" s="62">
        <v>0.3</v>
      </c>
      <c r="O8" s="12">
        <f t="shared" si="0"/>
        <v>41930</v>
      </c>
      <c r="P8" s="6" t="s">
        <v>3499</v>
      </c>
    </row>
    <row r="9" spans="1:16" x14ac:dyDescent="0.25">
      <c r="A9" s="6" t="s">
        <v>3514</v>
      </c>
      <c r="B9" s="54">
        <v>46121</v>
      </c>
      <c r="C9" s="7">
        <v>46127</v>
      </c>
      <c r="D9" s="6">
        <v>3271</v>
      </c>
      <c r="E9" s="6">
        <v>336</v>
      </c>
      <c r="F9" s="6">
        <v>4</v>
      </c>
      <c r="G9" s="15">
        <v>6</v>
      </c>
      <c r="H9" s="15">
        <v>81328</v>
      </c>
      <c r="I9" s="15" t="s">
        <v>543</v>
      </c>
      <c r="J9" s="15">
        <v>61896957</v>
      </c>
      <c r="K9" s="15" t="s">
        <v>3183</v>
      </c>
      <c r="L9" s="15" t="s">
        <v>3191</v>
      </c>
      <c r="M9" s="17">
        <v>59900</v>
      </c>
      <c r="N9" s="62">
        <v>0.3</v>
      </c>
      <c r="O9" s="12">
        <f t="shared" si="0"/>
        <v>41930</v>
      </c>
      <c r="P9" s="6" t="s">
        <v>3499</v>
      </c>
    </row>
    <row r="10" spans="1:16" x14ac:dyDescent="0.25">
      <c r="A10" s="6" t="s">
        <v>3514</v>
      </c>
      <c r="B10" s="54">
        <v>46121</v>
      </c>
      <c r="C10" s="7">
        <v>46127</v>
      </c>
      <c r="D10" s="6">
        <v>3271</v>
      </c>
      <c r="E10" s="6">
        <v>336</v>
      </c>
      <c r="F10" s="6">
        <v>4</v>
      </c>
      <c r="G10" s="15">
        <v>6</v>
      </c>
      <c r="H10" s="15">
        <v>81328</v>
      </c>
      <c r="I10" s="15" t="s">
        <v>543</v>
      </c>
      <c r="J10" s="15">
        <v>61896966</v>
      </c>
      <c r="K10" s="15" t="s">
        <v>3183</v>
      </c>
      <c r="L10" s="15" t="s">
        <v>3192</v>
      </c>
      <c r="M10" s="17">
        <v>59900</v>
      </c>
      <c r="N10" s="62">
        <v>0.3</v>
      </c>
      <c r="O10" s="12">
        <f t="shared" si="0"/>
        <v>41930</v>
      </c>
      <c r="P10" s="6" t="s">
        <v>3499</v>
      </c>
    </row>
    <row r="11" spans="1:16" x14ac:dyDescent="0.25">
      <c r="A11" s="6" t="s">
        <v>3514</v>
      </c>
      <c r="B11" s="54">
        <v>46121</v>
      </c>
      <c r="C11" s="7">
        <v>46127</v>
      </c>
      <c r="D11" s="6">
        <v>3271</v>
      </c>
      <c r="E11" s="6">
        <v>336</v>
      </c>
      <c r="F11" s="6">
        <v>4</v>
      </c>
      <c r="G11" s="15">
        <v>6</v>
      </c>
      <c r="H11" s="15">
        <v>81328</v>
      </c>
      <c r="I11" s="15" t="s">
        <v>543</v>
      </c>
      <c r="J11" s="15">
        <v>61896975</v>
      </c>
      <c r="K11" s="15" t="s">
        <v>3183</v>
      </c>
      <c r="L11" s="15" t="s">
        <v>3193</v>
      </c>
      <c r="M11" s="17">
        <v>59900</v>
      </c>
      <c r="N11" s="62">
        <v>0.3</v>
      </c>
      <c r="O11" s="12">
        <f t="shared" si="0"/>
        <v>41930</v>
      </c>
      <c r="P11" s="6" t="s">
        <v>3499</v>
      </c>
    </row>
    <row r="12" spans="1:16" x14ac:dyDescent="0.25">
      <c r="A12" s="6" t="s">
        <v>3514</v>
      </c>
      <c r="B12" s="54">
        <v>46121</v>
      </c>
      <c r="C12" s="7">
        <v>46127</v>
      </c>
      <c r="D12" s="6">
        <v>3271</v>
      </c>
      <c r="E12" s="6">
        <v>336</v>
      </c>
      <c r="F12" s="6">
        <v>4</v>
      </c>
      <c r="G12" s="15">
        <v>6</v>
      </c>
      <c r="H12" s="15">
        <v>81328</v>
      </c>
      <c r="I12" s="15" t="s">
        <v>543</v>
      </c>
      <c r="J12" s="15">
        <v>61896984</v>
      </c>
      <c r="K12" s="15" t="s">
        <v>3183</v>
      </c>
      <c r="L12" s="15" t="s">
        <v>3194</v>
      </c>
      <c r="M12" s="17">
        <v>59900</v>
      </c>
      <c r="N12" s="62">
        <v>0.3</v>
      </c>
      <c r="O12" s="12">
        <f t="shared" si="0"/>
        <v>41930</v>
      </c>
      <c r="P12" s="6" t="s">
        <v>3499</v>
      </c>
    </row>
    <row r="13" spans="1:16" x14ac:dyDescent="0.25">
      <c r="A13" s="6" t="s">
        <v>3514</v>
      </c>
      <c r="B13" s="54">
        <v>46121</v>
      </c>
      <c r="C13" s="7">
        <v>46127</v>
      </c>
      <c r="D13" s="6">
        <v>3271</v>
      </c>
      <c r="E13" s="6">
        <v>336</v>
      </c>
      <c r="F13" s="6">
        <v>4</v>
      </c>
      <c r="G13" s="15">
        <v>6</v>
      </c>
      <c r="H13" s="15">
        <v>81328</v>
      </c>
      <c r="I13" s="15" t="s">
        <v>543</v>
      </c>
      <c r="J13" s="15">
        <v>61896993</v>
      </c>
      <c r="K13" s="15" t="s">
        <v>3183</v>
      </c>
      <c r="L13" s="15" t="s">
        <v>3195</v>
      </c>
      <c r="M13" s="17">
        <v>59900</v>
      </c>
      <c r="N13" s="62">
        <v>0.3</v>
      </c>
      <c r="O13" s="12">
        <f t="shared" si="0"/>
        <v>41930</v>
      </c>
      <c r="P13" s="6" t="s">
        <v>3499</v>
      </c>
    </row>
    <row r="14" spans="1:16" x14ac:dyDescent="0.25">
      <c r="A14" s="6" t="s">
        <v>3514</v>
      </c>
      <c r="B14" s="54">
        <v>46121</v>
      </c>
      <c r="C14" s="7">
        <v>46127</v>
      </c>
      <c r="D14" s="6">
        <v>3271</v>
      </c>
      <c r="E14" s="6">
        <v>336</v>
      </c>
      <c r="F14" s="6">
        <v>4</v>
      </c>
      <c r="G14" s="15">
        <v>6</v>
      </c>
      <c r="H14" s="15">
        <v>81328</v>
      </c>
      <c r="I14" s="15" t="s">
        <v>543</v>
      </c>
      <c r="J14" s="15">
        <v>61897009</v>
      </c>
      <c r="K14" s="15" t="s">
        <v>3183</v>
      </c>
      <c r="L14" s="15" t="s">
        <v>3196</v>
      </c>
      <c r="M14" s="17">
        <v>59900</v>
      </c>
      <c r="N14" s="62">
        <v>0.3</v>
      </c>
      <c r="O14" s="12">
        <f t="shared" si="0"/>
        <v>41930</v>
      </c>
      <c r="P14" s="6" t="s">
        <v>3499</v>
      </c>
    </row>
    <row r="15" spans="1:16" x14ac:dyDescent="0.25">
      <c r="A15" s="6" t="s">
        <v>3514</v>
      </c>
      <c r="B15" s="54">
        <v>46121</v>
      </c>
      <c r="C15" s="7">
        <v>46127</v>
      </c>
      <c r="D15" s="6">
        <v>3271</v>
      </c>
      <c r="E15" s="6">
        <v>336</v>
      </c>
      <c r="F15" s="6">
        <v>4</v>
      </c>
      <c r="G15" s="15">
        <v>6</v>
      </c>
      <c r="H15" s="15">
        <v>81328</v>
      </c>
      <c r="I15" s="15" t="s">
        <v>543</v>
      </c>
      <c r="J15" s="15">
        <v>61897018</v>
      </c>
      <c r="K15" s="15" t="s">
        <v>3183</v>
      </c>
      <c r="L15" s="15" t="s">
        <v>3197</v>
      </c>
      <c r="M15" s="17">
        <v>59900</v>
      </c>
      <c r="N15" s="62">
        <v>0.3</v>
      </c>
      <c r="O15" s="12">
        <f t="shared" si="0"/>
        <v>41930</v>
      </c>
      <c r="P15" s="6" t="s">
        <v>3499</v>
      </c>
    </row>
    <row r="16" spans="1:16" x14ac:dyDescent="0.25">
      <c r="A16" s="6" t="s">
        <v>3514</v>
      </c>
      <c r="B16" s="54">
        <v>46121</v>
      </c>
      <c r="C16" s="7">
        <v>46127</v>
      </c>
      <c r="D16" s="6">
        <v>3271</v>
      </c>
      <c r="E16" s="6">
        <v>336</v>
      </c>
      <c r="F16" s="6">
        <v>4</v>
      </c>
      <c r="G16" s="15">
        <v>6</v>
      </c>
      <c r="H16" s="15">
        <v>81328</v>
      </c>
      <c r="I16" s="15" t="s">
        <v>543</v>
      </c>
      <c r="J16" s="15">
        <v>61897027</v>
      </c>
      <c r="K16" s="15" t="s">
        <v>3183</v>
      </c>
      <c r="L16" s="15" t="s">
        <v>3198</v>
      </c>
      <c r="M16" s="17">
        <v>59900</v>
      </c>
      <c r="N16" s="62">
        <v>0.3</v>
      </c>
      <c r="O16" s="12">
        <f t="shared" si="0"/>
        <v>41930</v>
      </c>
      <c r="P16" s="6" t="s">
        <v>3499</v>
      </c>
    </row>
    <row r="17" spans="1:16" x14ac:dyDescent="0.25">
      <c r="A17" s="6" t="s">
        <v>3514</v>
      </c>
      <c r="B17" s="54">
        <v>46121</v>
      </c>
      <c r="C17" s="7">
        <v>46127</v>
      </c>
      <c r="D17" s="6">
        <v>3271</v>
      </c>
      <c r="E17" s="6">
        <v>336</v>
      </c>
      <c r="F17" s="6">
        <v>4</v>
      </c>
      <c r="G17" s="15">
        <v>6</v>
      </c>
      <c r="H17" s="15">
        <v>81328</v>
      </c>
      <c r="I17" s="15" t="s">
        <v>543</v>
      </c>
      <c r="J17" s="15">
        <v>61897036</v>
      </c>
      <c r="K17" s="15" t="s">
        <v>3183</v>
      </c>
      <c r="L17" s="15" t="s">
        <v>3199</v>
      </c>
      <c r="M17" s="17">
        <v>59900</v>
      </c>
      <c r="N17" s="62">
        <v>0.3</v>
      </c>
      <c r="O17" s="12">
        <f t="shared" si="0"/>
        <v>41930</v>
      </c>
      <c r="P17" s="6" t="s">
        <v>3499</v>
      </c>
    </row>
    <row r="18" spans="1:16" x14ac:dyDescent="0.25">
      <c r="A18" s="6" t="s">
        <v>3514</v>
      </c>
      <c r="B18" s="54">
        <v>46121</v>
      </c>
      <c r="C18" s="7">
        <v>46127</v>
      </c>
      <c r="D18" s="6">
        <v>3271</v>
      </c>
      <c r="E18" s="6">
        <v>336</v>
      </c>
      <c r="F18" s="6">
        <v>4</v>
      </c>
      <c r="G18" s="15">
        <v>6</v>
      </c>
      <c r="H18" s="15">
        <v>81328</v>
      </c>
      <c r="I18" s="15" t="s">
        <v>543</v>
      </c>
      <c r="J18" s="15">
        <v>61897045</v>
      </c>
      <c r="K18" s="15" t="s">
        <v>3183</v>
      </c>
      <c r="L18" s="15" t="s">
        <v>3200</v>
      </c>
      <c r="M18" s="17">
        <v>59900</v>
      </c>
      <c r="N18" s="62">
        <v>0.3</v>
      </c>
      <c r="O18" s="12">
        <f t="shared" si="0"/>
        <v>41930</v>
      </c>
      <c r="P18" s="6" t="s">
        <v>3499</v>
      </c>
    </row>
    <row r="19" spans="1:16" x14ac:dyDescent="0.25">
      <c r="A19" s="6" t="s">
        <v>3514</v>
      </c>
      <c r="B19" s="54">
        <v>46121</v>
      </c>
      <c r="C19" s="7">
        <v>46127</v>
      </c>
      <c r="D19" s="6">
        <v>3271</v>
      </c>
      <c r="E19" s="6">
        <v>336</v>
      </c>
      <c r="F19" s="6">
        <v>4</v>
      </c>
      <c r="G19" s="15">
        <v>6</v>
      </c>
      <c r="H19" s="15">
        <v>81328</v>
      </c>
      <c r="I19" s="15" t="s">
        <v>543</v>
      </c>
      <c r="J19" s="15">
        <v>61897054</v>
      </c>
      <c r="K19" s="15" t="s">
        <v>3183</v>
      </c>
      <c r="L19" s="15" t="s">
        <v>3201</v>
      </c>
      <c r="M19" s="17">
        <v>59900</v>
      </c>
      <c r="N19" s="62">
        <v>0.3</v>
      </c>
      <c r="O19" s="12">
        <f t="shared" si="0"/>
        <v>41930</v>
      </c>
      <c r="P19" s="6" t="s">
        <v>3499</v>
      </c>
    </row>
    <row r="20" spans="1:16" x14ac:dyDescent="0.25">
      <c r="A20" s="6" t="s">
        <v>3514</v>
      </c>
      <c r="B20" s="54">
        <v>46121</v>
      </c>
      <c r="C20" s="7">
        <v>46127</v>
      </c>
      <c r="D20" s="6">
        <v>3271</v>
      </c>
      <c r="E20" s="6">
        <v>336</v>
      </c>
      <c r="F20" s="6">
        <v>4</v>
      </c>
      <c r="G20" s="15">
        <v>6</v>
      </c>
      <c r="H20" s="15">
        <v>81328</v>
      </c>
      <c r="I20" s="15" t="s">
        <v>543</v>
      </c>
      <c r="J20" s="15">
        <v>61897063</v>
      </c>
      <c r="K20" s="15" t="s">
        <v>3183</v>
      </c>
      <c r="L20" s="15" t="s">
        <v>3202</v>
      </c>
      <c r="M20" s="17">
        <v>59900</v>
      </c>
      <c r="N20" s="62">
        <v>0.3</v>
      </c>
      <c r="O20" s="12">
        <f t="shared" si="0"/>
        <v>41930</v>
      </c>
      <c r="P20" s="6" t="s">
        <v>3499</v>
      </c>
    </row>
    <row r="21" spans="1:16" x14ac:dyDescent="0.25">
      <c r="A21" s="6" t="s">
        <v>3514</v>
      </c>
      <c r="B21" s="54">
        <v>46121</v>
      </c>
      <c r="C21" s="7">
        <v>46127</v>
      </c>
      <c r="D21" s="6">
        <v>3271</v>
      </c>
      <c r="E21" s="6">
        <v>336</v>
      </c>
      <c r="F21" s="6">
        <v>4</v>
      </c>
      <c r="G21" s="15">
        <v>6</v>
      </c>
      <c r="H21" s="15">
        <v>81328</v>
      </c>
      <c r="I21" s="15" t="s">
        <v>543</v>
      </c>
      <c r="J21" s="15">
        <v>61897072</v>
      </c>
      <c r="K21" s="15" t="s">
        <v>3183</v>
      </c>
      <c r="L21" s="15" t="s">
        <v>3203</v>
      </c>
      <c r="M21" s="17">
        <v>59900</v>
      </c>
      <c r="N21" s="62">
        <v>0.3</v>
      </c>
      <c r="O21" s="12">
        <f t="shared" si="0"/>
        <v>41930</v>
      </c>
      <c r="P21" s="6" t="s">
        <v>3499</v>
      </c>
    </row>
    <row r="22" spans="1:16" x14ac:dyDescent="0.25">
      <c r="A22" s="6" t="s">
        <v>3514</v>
      </c>
      <c r="B22" s="54">
        <v>46121</v>
      </c>
      <c r="C22" s="7">
        <v>46127</v>
      </c>
      <c r="D22" s="6">
        <v>3271</v>
      </c>
      <c r="E22" s="6">
        <v>336</v>
      </c>
      <c r="F22" s="6">
        <v>4</v>
      </c>
      <c r="G22" s="15">
        <v>6</v>
      </c>
      <c r="H22" s="15">
        <v>81328</v>
      </c>
      <c r="I22" s="15" t="s">
        <v>543</v>
      </c>
      <c r="J22" s="15">
        <v>61897081</v>
      </c>
      <c r="K22" s="15" t="s">
        <v>3183</v>
      </c>
      <c r="L22" s="15" t="s">
        <v>3204</v>
      </c>
      <c r="M22" s="17">
        <v>59900</v>
      </c>
      <c r="N22" s="62">
        <v>0.3</v>
      </c>
      <c r="O22" s="12">
        <f t="shared" si="0"/>
        <v>41930</v>
      </c>
      <c r="P22" s="6" t="s">
        <v>3499</v>
      </c>
    </row>
    <row r="23" spans="1:16" x14ac:dyDescent="0.25">
      <c r="A23" s="6" t="s">
        <v>3514</v>
      </c>
      <c r="B23" s="54">
        <v>46121</v>
      </c>
      <c r="C23" s="7">
        <v>46127</v>
      </c>
      <c r="D23" s="6">
        <v>3271</v>
      </c>
      <c r="E23" s="6">
        <v>336</v>
      </c>
      <c r="F23" s="6">
        <v>4</v>
      </c>
      <c r="G23" s="15">
        <v>6</v>
      </c>
      <c r="H23" s="15">
        <v>81328</v>
      </c>
      <c r="I23" s="15" t="s">
        <v>543</v>
      </c>
      <c r="J23" s="15">
        <v>61897090</v>
      </c>
      <c r="K23" s="15" t="s">
        <v>3183</v>
      </c>
      <c r="L23" s="15" t="s">
        <v>3205</v>
      </c>
      <c r="M23" s="17">
        <v>59900</v>
      </c>
      <c r="N23" s="62">
        <v>0.3</v>
      </c>
      <c r="O23" s="12">
        <f t="shared" si="0"/>
        <v>41930</v>
      </c>
      <c r="P23" s="6" t="s">
        <v>3499</v>
      </c>
    </row>
    <row r="24" spans="1:16" x14ac:dyDescent="0.25">
      <c r="A24" s="6" t="s">
        <v>3514</v>
      </c>
      <c r="B24" s="54">
        <v>46121</v>
      </c>
      <c r="C24" s="7">
        <v>46127</v>
      </c>
      <c r="D24" s="6">
        <v>3271</v>
      </c>
      <c r="E24" s="6">
        <v>336</v>
      </c>
      <c r="F24" s="6">
        <v>4</v>
      </c>
      <c r="G24" s="15">
        <v>6</v>
      </c>
      <c r="H24" s="15">
        <v>81328</v>
      </c>
      <c r="I24" s="15" t="s">
        <v>543</v>
      </c>
      <c r="J24" s="15">
        <v>61897107</v>
      </c>
      <c r="K24" s="15" t="s">
        <v>3183</v>
      </c>
      <c r="L24" s="15" t="s">
        <v>3206</v>
      </c>
      <c r="M24" s="17">
        <v>59900</v>
      </c>
      <c r="N24" s="62">
        <v>0.3</v>
      </c>
      <c r="O24" s="12">
        <f t="shared" si="0"/>
        <v>41930</v>
      </c>
      <c r="P24" s="6" t="s">
        <v>3499</v>
      </c>
    </row>
    <row r="25" spans="1:16" x14ac:dyDescent="0.25">
      <c r="A25" s="6" t="s">
        <v>3514</v>
      </c>
      <c r="B25" s="54">
        <v>46121</v>
      </c>
      <c r="C25" s="7">
        <v>46127</v>
      </c>
      <c r="D25" s="6">
        <v>3271</v>
      </c>
      <c r="E25" s="6">
        <v>336</v>
      </c>
      <c r="F25" s="6">
        <v>4</v>
      </c>
      <c r="G25" s="15">
        <v>6</v>
      </c>
      <c r="H25" s="15">
        <v>81328</v>
      </c>
      <c r="I25" s="15" t="s">
        <v>543</v>
      </c>
      <c r="J25" s="15">
        <v>61897116</v>
      </c>
      <c r="K25" s="15" t="s">
        <v>3183</v>
      </c>
      <c r="L25" s="15" t="s">
        <v>3207</v>
      </c>
      <c r="M25" s="17">
        <v>59900</v>
      </c>
      <c r="N25" s="62">
        <v>0.3</v>
      </c>
      <c r="O25" s="12">
        <f t="shared" si="0"/>
        <v>41930</v>
      </c>
      <c r="P25" s="6" t="s">
        <v>3499</v>
      </c>
    </row>
    <row r="26" spans="1:16" x14ac:dyDescent="0.25">
      <c r="A26" s="6" t="s">
        <v>3514</v>
      </c>
      <c r="B26" s="54">
        <v>46121</v>
      </c>
      <c r="C26" s="7">
        <v>46127</v>
      </c>
      <c r="D26" s="6">
        <v>3271</v>
      </c>
      <c r="E26" s="6">
        <v>336</v>
      </c>
      <c r="F26" s="6">
        <v>4</v>
      </c>
      <c r="G26" s="15">
        <v>6</v>
      </c>
      <c r="H26" s="15">
        <v>81328</v>
      </c>
      <c r="I26" s="15" t="s">
        <v>543</v>
      </c>
      <c r="J26" s="15">
        <v>61897125</v>
      </c>
      <c r="K26" s="15" t="s">
        <v>3183</v>
      </c>
      <c r="L26" s="15" t="s">
        <v>3208</v>
      </c>
      <c r="M26" s="17">
        <v>59900</v>
      </c>
      <c r="N26" s="62">
        <v>0.3</v>
      </c>
      <c r="O26" s="12">
        <f t="shared" si="0"/>
        <v>41930</v>
      </c>
      <c r="P26" s="6" t="s">
        <v>3499</v>
      </c>
    </row>
    <row r="27" spans="1:16" x14ac:dyDescent="0.25">
      <c r="A27" s="6" t="s">
        <v>3514</v>
      </c>
      <c r="B27" s="54">
        <v>46121</v>
      </c>
      <c r="C27" s="7">
        <v>46127</v>
      </c>
      <c r="D27" s="6">
        <v>3271</v>
      </c>
      <c r="E27" s="6">
        <v>336</v>
      </c>
      <c r="F27" s="6">
        <v>4</v>
      </c>
      <c r="G27" s="15">
        <v>6</v>
      </c>
      <c r="H27" s="15">
        <v>81328</v>
      </c>
      <c r="I27" s="15" t="s">
        <v>543</v>
      </c>
      <c r="J27" s="15">
        <v>61897134</v>
      </c>
      <c r="K27" s="15" t="s">
        <v>3183</v>
      </c>
      <c r="L27" s="15" t="s">
        <v>3209</v>
      </c>
      <c r="M27" s="17">
        <v>59900</v>
      </c>
      <c r="N27" s="62">
        <v>0.3</v>
      </c>
      <c r="O27" s="12">
        <f t="shared" si="0"/>
        <v>41930</v>
      </c>
      <c r="P27" s="6" t="s">
        <v>3499</v>
      </c>
    </row>
    <row r="28" spans="1:16" x14ac:dyDescent="0.25">
      <c r="A28" s="6" t="s">
        <v>3514</v>
      </c>
      <c r="B28" s="54">
        <v>46121</v>
      </c>
      <c r="C28" s="7">
        <v>46127</v>
      </c>
      <c r="D28" s="6">
        <v>3271</v>
      </c>
      <c r="E28" s="6">
        <v>336</v>
      </c>
      <c r="F28" s="6">
        <v>4</v>
      </c>
      <c r="G28" s="15">
        <v>6</v>
      </c>
      <c r="H28" s="15">
        <v>81328</v>
      </c>
      <c r="I28" s="15" t="s">
        <v>543</v>
      </c>
      <c r="J28" s="15">
        <v>61897143</v>
      </c>
      <c r="K28" s="15" t="s">
        <v>3183</v>
      </c>
      <c r="L28" s="15" t="s">
        <v>3210</v>
      </c>
      <c r="M28" s="17">
        <v>59900</v>
      </c>
      <c r="N28" s="62">
        <v>0.3</v>
      </c>
      <c r="O28" s="12">
        <f t="shared" si="0"/>
        <v>41930</v>
      </c>
      <c r="P28" s="6" t="s">
        <v>3499</v>
      </c>
    </row>
    <row r="29" spans="1:16" x14ac:dyDescent="0.25">
      <c r="A29" s="6" t="s">
        <v>3514</v>
      </c>
      <c r="B29" s="54">
        <v>46121</v>
      </c>
      <c r="C29" s="7">
        <v>46127</v>
      </c>
      <c r="D29" s="6">
        <v>3271</v>
      </c>
      <c r="E29" s="6">
        <v>336</v>
      </c>
      <c r="F29" s="6">
        <v>4</v>
      </c>
      <c r="G29" s="15">
        <v>6</v>
      </c>
      <c r="H29" s="15">
        <v>81328</v>
      </c>
      <c r="I29" s="15" t="s">
        <v>543</v>
      </c>
      <c r="J29" s="15">
        <v>61897152</v>
      </c>
      <c r="K29" s="15" t="s">
        <v>3183</v>
      </c>
      <c r="L29" s="15" t="s">
        <v>3211</v>
      </c>
      <c r="M29" s="17">
        <v>59900</v>
      </c>
      <c r="N29" s="62">
        <v>0.3</v>
      </c>
      <c r="O29" s="12">
        <f t="shared" si="0"/>
        <v>41930</v>
      </c>
      <c r="P29" s="6" t="s">
        <v>3499</v>
      </c>
    </row>
    <row r="30" spans="1:16" x14ac:dyDescent="0.25">
      <c r="A30" s="6" t="s">
        <v>3514</v>
      </c>
      <c r="B30" s="54">
        <v>46121</v>
      </c>
      <c r="C30" s="7">
        <v>46127</v>
      </c>
      <c r="D30" s="6">
        <v>3271</v>
      </c>
      <c r="E30" s="6">
        <v>336</v>
      </c>
      <c r="F30" s="6">
        <v>4</v>
      </c>
      <c r="G30" s="15">
        <v>6</v>
      </c>
      <c r="H30" s="15">
        <v>81328</v>
      </c>
      <c r="I30" s="15" t="s">
        <v>543</v>
      </c>
      <c r="J30" s="15">
        <v>61897161</v>
      </c>
      <c r="K30" s="15" t="s">
        <v>3183</v>
      </c>
      <c r="L30" s="15" t="s">
        <v>3212</v>
      </c>
      <c r="M30" s="17">
        <v>59900</v>
      </c>
      <c r="N30" s="62">
        <v>0.3</v>
      </c>
      <c r="O30" s="12">
        <f t="shared" si="0"/>
        <v>41930</v>
      </c>
      <c r="P30" s="6" t="s">
        <v>3499</v>
      </c>
    </row>
    <row r="31" spans="1:16" x14ac:dyDescent="0.25">
      <c r="A31" s="6" t="s">
        <v>3514</v>
      </c>
      <c r="B31" s="54">
        <v>46121</v>
      </c>
      <c r="C31" s="7">
        <v>46127</v>
      </c>
      <c r="D31" s="6">
        <v>3271</v>
      </c>
      <c r="E31" s="6">
        <v>336</v>
      </c>
      <c r="F31" s="6">
        <v>4</v>
      </c>
      <c r="G31" s="15">
        <v>6</v>
      </c>
      <c r="H31" s="15">
        <v>81328</v>
      </c>
      <c r="I31" s="15" t="s">
        <v>543</v>
      </c>
      <c r="J31" s="15">
        <v>61897170</v>
      </c>
      <c r="K31" s="15" t="s">
        <v>3183</v>
      </c>
      <c r="L31" s="15" t="s">
        <v>3213</v>
      </c>
      <c r="M31" s="17">
        <v>59900</v>
      </c>
      <c r="N31" s="62">
        <v>0.3</v>
      </c>
      <c r="O31" s="12">
        <f t="shared" si="0"/>
        <v>41930</v>
      </c>
      <c r="P31" s="6" t="s">
        <v>3499</v>
      </c>
    </row>
    <row r="32" spans="1:16" x14ac:dyDescent="0.25">
      <c r="A32" s="6" t="s">
        <v>3514</v>
      </c>
      <c r="B32" s="54">
        <v>46121</v>
      </c>
      <c r="C32" s="7">
        <v>46127</v>
      </c>
      <c r="D32" s="27">
        <v>3271</v>
      </c>
      <c r="E32" s="6">
        <v>336</v>
      </c>
      <c r="F32" s="6">
        <v>4</v>
      </c>
      <c r="G32" s="15">
        <v>6</v>
      </c>
      <c r="H32" s="15">
        <v>81328</v>
      </c>
      <c r="I32" s="15" t="s">
        <v>543</v>
      </c>
      <c r="J32" s="15">
        <v>59326737</v>
      </c>
      <c r="K32" s="15" t="s">
        <v>3214</v>
      </c>
      <c r="L32" s="15" t="s">
        <v>3215</v>
      </c>
      <c r="M32" s="17">
        <v>59900</v>
      </c>
      <c r="N32" s="62">
        <v>0.3</v>
      </c>
      <c r="O32" s="12">
        <f t="shared" si="0"/>
        <v>41930</v>
      </c>
      <c r="P32" s="6" t="s">
        <v>3499</v>
      </c>
    </row>
    <row r="33" spans="1:16" x14ac:dyDescent="0.25">
      <c r="A33" s="6" t="s">
        <v>3514</v>
      </c>
      <c r="B33" s="54">
        <v>46121</v>
      </c>
      <c r="C33" s="7">
        <v>46127</v>
      </c>
      <c r="D33" s="27">
        <v>3271</v>
      </c>
      <c r="E33" s="6">
        <v>336</v>
      </c>
      <c r="F33" s="6">
        <v>4</v>
      </c>
      <c r="G33" s="15">
        <v>6</v>
      </c>
      <c r="H33" s="15">
        <v>81328</v>
      </c>
      <c r="I33" s="15" t="s">
        <v>543</v>
      </c>
      <c r="J33" s="15">
        <v>59326746</v>
      </c>
      <c r="K33" s="15" t="s">
        <v>3214</v>
      </c>
      <c r="L33" s="15" t="s">
        <v>3216</v>
      </c>
      <c r="M33" s="17">
        <v>59900</v>
      </c>
      <c r="N33" s="62">
        <v>0.3</v>
      </c>
      <c r="O33" s="12">
        <f t="shared" si="0"/>
        <v>41930</v>
      </c>
      <c r="P33" s="6" t="s">
        <v>3499</v>
      </c>
    </row>
    <row r="34" spans="1:16" x14ac:dyDescent="0.25">
      <c r="A34" s="6" t="s">
        <v>3514</v>
      </c>
      <c r="B34" s="54">
        <v>46121</v>
      </c>
      <c r="C34" s="7">
        <v>46127</v>
      </c>
      <c r="D34" s="27">
        <v>3271</v>
      </c>
      <c r="E34" s="6">
        <v>336</v>
      </c>
      <c r="F34" s="6">
        <v>4</v>
      </c>
      <c r="G34" s="15">
        <v>6</v>
      </c>
      <c r="H34" s="15">
        <v>81328</v>
      </c>
      <c r="I34" s="15" t="s">
        <v>543</v>
      </c>
      <c r="J34" s="15">
        <v>59326755</v>
      </c>
      <c r="K34" s="15" t="s">
        <v>3214</v>
      </c>
      <c r="L34" s="15" t="s">
        <v>3217</v>
      </c>
      <c r="M34" s="17">
        <v>59900</v>
      </c>
      <c r="N34" s="62">
        <v>0.3</v>
      </c>
      <c r="O34" s="12">
        <f t="shared" si="0"/>
        <v>41930</v>
      </c>
      <c r="P34" s="6" t="s">
        <v>3499</v>
      </c>
    </row>
    <row r="35" spans="1:16" x14ac:dyDescent="0.25">
      <c r="A35" s="6" t="s">
        <v>3514</v>
      </c>
      <c r="B35" s="54">
        <v>46121</v>
      </c>
      <c r="C35" s="7">
        <v>46127</v>
      </c>
      <c r="D35" s="27">
        <v>3271</v>
      </c>
      <c r="E35" s="6">
        <v>336</v>
      </c>
      <c r="F35" s="6">
        <v>4</v>
      </c>
      <c r="G35" s="15">
        <v>6</v>
      </c>
      <c r="H35" s="15">
        <v>81328</v>
      </c>
      <c r="I35" s="15" t="s">
        <v>543</v>
      </c>
      <c r="J35" s="15">
        <v>59326764</v>
      </c>
      <c r="K35" s="15" t="s">
        <v>3214</v>
      </c>
      <c r="L35" s="15" t="s">
        <v>3218</v>
      </c>
      <c r="M35" s="17">
        <v>59900</v>
      </c>
      <c r="N35" s="62">
        <v>0.3</v>
      </c>
      <c r="O35" s="12">
        <f t="shared" si="0"/>
        <v>41930</v>
      </c>
      <c r="P35" s="6" t="s">
        <v>3499</v>
      </c>
    </row>
    <row r="36" spans="1:16" x14ac:dyDescent="0.25">
      <c r="A36" s="6" t="s">
        <v>3514</v>
      </c>
      <c r="B36" s="54">
        <v>46121</v>
      </c>
      <c r="C36" s="7">
        <v>46127</v>
      </c>
      <c r="D36" s="27">
        <v>3271</v>
      </c>
      <c r="E36" s="6">
        <v>336</v>
      </c>
      <c r="F36" s="6">
        <v>4</v>
      </c>
      <c r="G36" s="15">
        <v>6</v>
      </c>
      <c r="H36" s="15">
        <v>81328</v>
      </c>
      <c r="I36" s="15" t="s">
        <v>543</v>
      </c>
      <c r="J36" s="15">
        <v>59326773</v>
      </c>
      <c r="K36" s="15" t="s">
        <v>3214</v>
      </c>
      <c r="L36" s="15" t="s">
        <v>3219</v>
      </c>
      <c r="M36" s="17">
        <v>59900</v>
      </c>
      <c r="N36" s="62">
        <v>0.3</v>
      </c>
      <c r="O36" s="12">
        <f t="shared" si="0"/>
        <v>41930</v>
      </c>
      <c r="P36" s="6" t="s">
        <v>3499</v>
      </c>
    </row>
    <row r="37" spans="1:16" x14ac:dyDescent="0.25">
      <c r="A37" s="6" t="s">
        <v>3514</v>
      </c>
      <c r="B37" s="54">
        <v>46121</v>
      </c>
      <c r="C37" s="7">
        <v>46127</v>
      </c>
      <c r="D37" s="27">
        <v>3271</v>
      </c>
      <c r="E37" s="6">
        <v>336</v>
      </c>
      <c r="F37" s="6">
        <v>4</v>
      </c>
      <c r="G37" s="15">
        <v>6</v>
      </c>
      <c r="H37" s="15">
        <v>81328</v>
      </c>
      <c r="I37" s="15" t="s">
        <v>543</v>
      </c>
      <c r="J37" s="15">
        <v>59326782</v>
      </c>
      <c r="K37" s="15" t="s">
        <v>3214</v>
      </c>
      <c r="L37" s="15" t="s">
        <v>3220</v>
      </c>
      <c r="M37" s="17">
        <v>59900</v>
      </c>
      <c r="N37" s="62">
        <v>0.3</v>
      </c>
      <c r="O37" s="12">
        <f t="shared" si="0"/>
        <v>41930</v>
      </c>
      <c r="P37" s="6" t="s">
        <v>3499</v>
      </c>
    </row>
    <row r="38" spans="1:16" x14ac:dyDescent="0.25">
      <c r="A38" s="6" t="s">
        <v>3514</v>
      </c>
      <c r="B38" s="54">
        <v>46121</v>
      </c>
      <c r="C38" s="7">
        <v>46127</v>
      </c>
      <c r="D38" s="27">
        <v>3271</v>
      </c>
      <c r="E38" s="6">
        <v>336</v>
      </c>
      <c r="F38" s="6">
        <v>4</v>
      </c>
      <c r="G38" s="15">
        <v>6</v>
      </c>
      <c r="H38" s="15">
        <v>81328</v>
      </c>
      <c r="I38" s="15" t="s">
        <v>543</v>
      </c>
      <c r="J38" s="15">
        <v>59326791</v>
      </c>
      <c r="K38" s="15" t="s">
        <v>3221</v>
      </c>
      <c r="L38" s="15" t="s">
        <v>3222</v>
      </c>
      <c r="M38" s="17">
        <v>59900</v>
      </c>
      <c r="N38" s="62">
        <v>0.3</v>
      </c>
      <c r="O38" s="12">
        <f t="shared" si="0"/>
        <v>41930</v>
      </c>
      <c r="P38" s="6" t="s">
        <v>3499</v>
      </c>
    </row>
    <row r="39" spans="1:16" x14ac:dyDescent="0.25">
      <c r="A39" s="6" t="s">
        <v>3514</v>
      </c>
      <c r="B39" s="54">
        <v>46121</v>
      </c>
      <c r="C39" s="7">
        <v>46127</v>
      </c>
      <c r="D39" s="27">
        <v>3271</v>
      </c>
      <c r="E39" s="6">
        <v>336</v>
      </c>
      <c r="F39" s="6">
        <v>4</v>
      </c>
      <c r="G39" s="15">
        <v>6</v>
      </c>
      <c r="H39" s="15">
        <v>81328</v>
      </c>
      <c r="I39" s="15" t="s">
        <v>543</v>
      </c>
      <c r="J39" s="15">
        <v>59326808</v>
      </c>
      <c r="K39" s="15" t="s">
        <v>3221</v>
      </c>
      <c r="L39" s="15" t="s">
        <v>3223</v>
      </c>
      <c r="M39" s="17">
        <v>59900</v>
      </c>
      <c r="N39" s="62">
        <v>0.3</v>
      </c>
      <c r="O39" s="12">
        <f t="shared" si="0"/>
        <v>41930</v>
      </c>
      <c r="P39" s="6" t="s">
        <v>3499</v>
      </c>
    </row>
    <row r="40" spans="1:16" x14ac:dyDescent="0.25">
      <c r="A40" s="6" t="s">
        <v>3514</v>
      </c>
      <c r="B40" s="54">
        <v>46121</v>
      </c>
      <c r="C40" s="7">
        <v>46127</v>
      </c>
      <c r="D40" s="27">
        <v>3271</v>
      </c>
      <c r="E40" s="6">
        <v>336</v>
      </c>
      <c r="F40" s="6">
        <v>4</v>
      </c>
      <c r="G40" s="15">
        <v>6</v>
      </c>
      <c r="H40" s="15">
        <v>81328</v>
      </c>
      <c r="I40" s="15" t="s">
        <v>543</v>
      </c>
      <c r="J40" s="15">
        <v>59326817</v>
      </c>
      <c r="K40" s="15" t="s">
        <v>3221</v>
      </c>
      <c r="L40" s="15" t="s">
        <v>3224</v>
      </c>
      <c r="M40" s="17">
        <v>59900</v>
      </c>
      <c r="N40" s="62">
        <v>0.3</v>
      </c>
      <c r="O40" s="12">
        <f t="shared" si="0"/>
        <v>41930</v>
      </c>
      <c r="P40" s="6" t="s">
        <v>3499</v>
      </c>
    </row>
    <row r="41" spans="1:16" x14ac:dyDescent="0.25">
      <c r="A41" s="6" t="s">
        <v>3514</v>
      </c>
      <c r="B41" s="54">
        <v>46121</v>
      </c>
      <c r="C41" s="7">
        <v>46127</v>
      </c>
      <c r="D41" s="27">
        <v>3271</v>
      </c>
      <c r="E41" s="6">
        <v>336</v>
      </c>
      <c r="F41" s="6">
        <v>4</v>
      </c>
      <c r="G41" s="15">
        <v>6</v>
      </c>
      <c r="H41" s="15">
        <v>81328</v>
      </c>
      <c r="I41" s="15" t="s">
        <v>543</v>
      </c>
      <c r="J41" s="15">
        <v>59326826</v>
      </c>
      <c r="K41" s="15" t="s">
        <v>3221</v>
      </c>
      <c r="L41" s="15" t="s">
        <v>3225</v>
      </c>
      <c r="M41" s="17">
        <v>59900</v>
      </c>
      <c r="N41" s="62">
        <v>0.3</v>
      </c>
      <c r="O41" s="12">
        <f t="shared" si="0"/>
        <v>41930</v>
      </c>
      <c r="P41" s="6" t="s">
        <v>3499</v>
      </c>
    </row>
    <row r="42" spans="1:16" x14ac:dyDescent="0.25">
      <c r="A42" s="6" t="s">
        <v>3514</v>
      </c>
      <c r="B42" s="54">
        <v>46121</v>
      </c>
      <c r="C42" s="7">
        <v>46127</v>
      </c>
      <c r="D42" s="27">
        <v>3271</v>
      </c>
      <c r="E42" s="6">
        <v>336</v>
      </c>
      <c r="F42" s="6">
        <v>4</v>
      </c>
      <c r="G42" s="15">
        <v>6</v>
      </c>
      <c r="H42" s="15">
        <v>81328</v>
      </c>
      <c r="I42" s="15" t="s">
        <v>543</v>
      </c>
      <c r="J42" s="15">
        <v>59326835</v>
      </c>
      <c r="K42" s="15" t="s">
        <v>3221</v>
      </c>
      <c r="L42" s="15" t="s">
        <v>3226</v>
      </c>
      <c r="M42" s="17">
        <v>59900</v>
      </c>
      <c r="N42" s="62">
        <v>0.3</v>
      </c>
      <c r="O42" s="12">
        <f t="shared" si="0"/>
        <v>41930</v>
      </c>
      <c r="P42" s="6" t="s">
        <v>3499</v>
      </c>
    </row>
    <row r="43" spans="1:16" x14ac:dyDescent="0.25">
      <c r="A43" s="6" t="s">
        <v>3514</v>
      </c>
      <c r="B43" s="54">
        <v>46121</v>
      </c>
      <c r="C43" s="7">
        <v>46127</v>
      </c>
      <c r="D43" s="27">
        <v>3271</v>
      </c>
      <c r="E43" s="6">
        <v>336</v>
      </c>
      <c r="F43" s="6">
        <v>4</v>
      </c>
      <c r="G43" s="15">
        <v>6</v>
      </c>
      <c r="H43" s="15">
        <v>81328</v>
      </c>
      <c r="I43" s="15" t="s">
        <v>543</v>
      </c>
      <c r="J43" s="15">
        <v>59326844</v>
      </c>
      <c r="K43" s="15" t="s">
        <v>3221</v>
      </c>
      <c r="L43" s="15" t="s">
        <v>3227</v>
      </c>
      <c r="M43" s="17">
        <v>59900</v>
      </c>
      <c r="N43" s="62">
        <v>0.3</v>
      </c>
      <c r="O43" s="12">
        <f t="shared" si="0"/>
        <v>41930</v>
      </c>
      <c r="P43" s="6" t="s">
        <v>3499</v>
      </c>
    </row>
    <row r="44" spans="1:16" x14ac:dyDescent="0.25">
      <c r="A44" s="6" t="s">
        <v>3514</v>
      </c>
      <c r="B44" s="54">
        <v>46121</v>
      </c>
      <c r="C44" s="7">
        <v>46127</v>
      </c>
      <c r="D44" s="27">
        <v>3271</v>
      </c>
      <c r="E44" s="6">
        <v>336</v>
      </c>
      <c r="F44" s="6">
        <v>4</v>
      </c>
      <c r="G44" s="15">
        <v>6</v>
      </c>
      <c r="H44" s="15">
        <v>81328</v>
      </c>
      <c r="I44" s="15" t="s">
        <v>543</v>
      </c>
      <c r="J44" s="15">
        <v>59326853</v>
      </c>
      <c r="K44" s="15" t="s">
        <v>3228</v>
      </c>
      <c r="L44" s="15" t="s">
        <v>3229</v>
      </c>
      <c r="M44" s="17">
        <v>59900</v>
      </c>
      <c r="N44" s="62">
        <v>0.3</v>
      </c>
      <c r="O44" s="12">
        <f t="shared" si="0"/>
        <v>41930</v>
      </c>
      <c r="P44" s="6" t="s">
        <v>3499</v>
      </c>
    </row>
    <row r="45" spans="1:16" x14ac:dyDescent="0.25">
      <c r="A45" s="6" t="s">
        <v>3514</v>
      </c>
      <c r="B45" s="54">
        <v>46121</v>
      </c>
      <c r="C45" s="7">
        <v>46127</v>
      </c>
      <c r="D45" s="27">
        <v>3271</v>
      </c>
      <c r="E45" s="6">
        <v>336</v>
      </c>
      <c r="F45" s="6">
        <v>4</v>
      </c>
      <c r="G45" s="15">
        <v>6</v>
      </c>
      <c r="H45" s="15">
        <v>81328</v>
      </c>
      <c r="I45" s="15" t="s">
        <v>543</v>
      </c>
      <c r="J45" s="15">
        <v>59326862</v>
      </c>
      <c r="K45" s="15" t="s">
        <v>3228</v>
      </c>
      <c r="L45" s="15" t="s">
        <v>3230</v>
      </c>
      <c r="M45" s="17">
        <v>59900</v>
      </c>
      <c r="N45" s="62">
        <v>0.3</v>
      </c>
      <c r="O45" s="12">
        <f t="shared" si="0"/>
        <v>41930</v>
      </c>
      <c r="P45" s="6" t="s">
        <v>3499</v>
      </c>
    </row>
    <row r="46" spans="1:16" x14ac:dyDescent="0.25">
      <c r="A46" s="6" t="s">
        <v>3514</v>
      </c>
      <c r="B46" s="54">
        <v>46121</v>
      </c>
      <c r="C46" s="7">
        <v>46127</v>
      </c>
      <c r="D46" s="27">
        <v>3271</v>
      </c>
      <c r="E46" s="6">
        <v>336</v>
      </c>
      <c r="F46" s="6">
        <v>4</v>
      </c>
      <c r="G46" s="15">
        <v>6</v>
      </c>
      <c r="H46" s="15">
        <v>81328</v>
      </c>
      <c r="I46" s="15" t="s">
        <v>543</v>
      </c>
      <c r="J46" s="15">
        <v>59326871</v>
      </c>
      <c r="K46" s="15" t="s">
        <v>3228</v>
      </c>
      <c r="L46" s="15" t="s">
        <v>3231</v>
      </c>
      <c r="M46" s="17">
        <v>59900</v>
      </c>
      <c r="N46" s="62">
        <v>0.3</v>
      </c>
      <c r="O46" s="12">
        <f t="shared" si="0"/>
        <v>41930</v>
      </c>
      <c r="P46" s="6" t="s">
        <v>3499</v>
      </c>
    </row>
    <row r="47" spans="1:16" x14ac:dyDescent="0.25">
      <c r="A47" s="6" t="s">
        <v>3514</v>
      </c>
      <c r="B47" s="54">
        <v>46121</v>
      </c>
      <c r="C47" s="7">
        <v>46127</v>
      </c>
      <c r="D47" s="27">
        <v>3271</v>
      </c>
      <c r="E47" s="6">
        <v>336</v>
      </c>
      <c r="F47" s="6">
        <v>4</v>
      </c>
      <c r="G47" s="15">
        <v>6</v>
      </c>
      <c r="H47" s="15">
        <v>81328</v>
      </c>
      <c r="I47" s="15" t="s">
        <v>543</v>
      </c>
      <c r="J47" s="15">
        <v>59326880</v>
      </c>
      <c r="K47" s="15" t="s">
        <v>3228</v>
      </c>
      <c r="L47" s="15" t="s">
        <v>3232</v>
      </c>
      <c r="M47" s="17">
        <v>59900</v>
      </c>
      <c r="N47" s="62">
        <v>0.3</v>
      </c>
      <c r="O47" s="12">
        <f t="shared" si="0"/>
        <v>41930</v>
      </c>
      <c r="P47" s="6" t="s">
        <v>3499</v>
      </c>
    </row>
    <row r="48" spans="1:16" x14ac:dyDescent="0.25">
      <c r="A48" s="6" t="s">
        <v>3514</v>
      </c>
      <c r="B48" s="54">
        <v>46121</v>
      </c>
      <c r="C48" s="7">
        <v>46127</v>
      </c>
      <c r="D48" s="27">
        <v>3271</v>
      </c>
      <c r="E48" s="6">
        <v>336</v>
      </c>
      <c r="F48" s="6">
        <v>4</v>
      </c>
      <c r="G48" s="15">
        <v>6</v>
      </c>
      <c r="H48" s="15">
        <v>81328</v>
      </c>
      <c r="I48" s="15" t="s">
        <v>543</v>
      </c>
      <c r="J48" s="15">
        <v>59326899</v>
      </c>
      <c r="K48" s="15" t="s">
        <v>3228</v>
      </c>
      <c r="L48" s="15" t="s">
        <v>3233</v>
      </c>
      <c r="M48" s="17">
        <v>59900</v>
      </c>
      <c r="N48" s="62">
        <v>0.3</v>
      </c>
      <c r="O48" s="12">
        <f t="shared" si="0"/>
        <v>41930</v>
      </c>
      <c r="P48" s="6" t="s">
        <v>3499</v>
      </c>
    </row>
    <row r="49" spans="1:16" x14ac:dyDescent="0.25">
      <c r="A49" s="6" t="s">
        <v>3514</v>
      </c>
      <c r="B49" s="54">
        <v>46121</v>
      </c>
      <c r="C49" s="7">
        <v>46127</v>
      </c>
      <c r="D49" s="27">
        <v>3271</v>
      </c>
      <c r="E49" s="6">
        <v>336</v>
      </c>
      <c r="F49" s="6">
        <v>4</v>
      </c>
      <c r="G49" s="15">
        <v>6</v>
      </c>
      <c r="H49" s="15">
        <v>81328</v>
      </c>
      <c r="I49" s="15" t="s">
        <v>543</v>
      </c>
      <c r="J49" s="15">
        <v>59326906</v>
      </c>
      <c r="K49" s="15" t="s">
        <v>3228</v>
      </c>
      <c r="L49" s="15" t="s">
        <v>3234</v>
      </c>
      <c r="M49" s="17">
        <v>59900</v>
      </c>
      <c r="N49" s="62">
        <v>0.3</v>
      </c>
      <c r="O49" s="12">
        <f t="shared" si="0"/>
        <v>41930</v>
      </c>
      <c r="P49" s="6" t="s">
        <v>3499</v>
      </c>
    </row>
    <row r="50" spans="1:16" x14ac:dyDescent="0.25">
      <c r="A50" s="6" t="s">
        <v>3514</v>
      </c>
      <c r="B50" s="54">
        <v>46121</v>
      </c>
      <c r="C50" s="7">
        <v>46127</v>
      </c>
      <c r="D50" s="27">
        <v>3271</v>
      </c>
      <c r="E50" s="6">
        <v>336</v>
      </c>
      <c r="F50" s="6">
        <v>4</v>
      </c>
      <c r="G50" s="15">
        <v>6</v>
      </c>
      <c r="H50" s="15">
        <v>81328</v>
      </c>
      <c r="I50" s="15" t="s">
        <v>543</v>
      </c>
      <c r="J50" s="15">
        <v>59326915</v>
      </c>
      <c r="K50" s="15" t="s">
        <v>3235</v>
      </c>
      <c r="L50" s="15" t="s">
        <v>3236</v>
      </c>
      <c r="M50" s="17">
        <v>59900</v>
      </c>
      <c r="N50" s="62">
        <v>0.3</v>
      </c>
      <c r="O50" s="12">
        <f t="shared" si="0"/>
        <v>41930</v>
      </c>
      <c r="P50" s="6" t="s">
        <v>3499</v>
      </c>
    </row>
    <row r="51" spans="1:16" x14ac:dyDescent="0.25">
      <c r="A51" s="6" t="s">
        <v>3514</v>
      </c>
      <c r="B51" s="54">
        <v>46121</v>
      </c>
      <c r="C51" s="7">
        <v>46127</v>
      </c>
      <c r="D51" s="27">
        <v>3271</v>
      </c>
      <c r="E51" s="6">
        <v>336</v>
      </c>
      <c r="F51" s="6">
        <v>4</v>
      </c>
      <c r="G51" s="15">
        <v>6</v>
      </c>
      <c r="H51" s="15">
        <v>81328</v>
      </c>
      <c r="I51" s="15" t="s">
        <v>543</v>
      </c>
      <c r="J51" s="15">
        <v>59326924</v>
      </c>
      <c r="K51" s="15" t="s">
        <v>3235</v>
      </c>
      <c r="L51" s="15" t="s">
        <v>3237</v>
      </c>
      <c r="M51" s="17">
        <v>59900</v>
      </c>
      <c r="N51" s="62">
        <v>0.3</v>
      </c>
      <c r="O51" s="12">
        <f t="shared" si="0"/>
        <v>41930</v>
      </c>
      <c r="P51" s="6" t="s">
        <v>3499</v>
      </c>
    </row>
    <row r="52" spans="1:16" x14ac:dyDescent="0.25">
      <c r="A52" s="6" t="s">
        <v>3514</v>
      </c>
      <c r="B52" s="54">
        <v>46121</v>
      </c>
      <c r="C52" s="7">
        <v>46127</v>
      </c>
      <c r="D52" s="27">
        <v>3271</v>
      </c>
      <c r="E52" s="6">
        <v>336</v>
      </c>
      <c r="F52" s="6">
        <v>4</v>
      </c>
      <c r="G52" s="15">
        <v>6</v>
      </c>
      <c r="H52" s="15">
        <v>81328</v>
      </c>
      <c r="I52" s="15" t="s">
        <v>543</v>
      </c>
      <c r="J52" s="15">
        <v>59326933</v>
      </c>
      <c r="K52" s="15" t="s">
        <v>3235</v>
      </c>
      <c r="L52" s="15" t="s">
        <v>3238</v>
      </c>
      <c r="M52" s="17">
        <v>59900</v>
      </c>
      <c r="N52" s="62">
        <v>0.3</v>
      </c>
      <c r="O52" s="12">
        <f t="shared" si="0"/>
        <v>41930</v>
      </c>
      <c r="P52" s="6" t="s">
        <v>3499</v>
      </c>
    </row>
    <row r="53" spans="1:16" x14ac:dyDescent="0.25">
      <c r="A53" s="6" t="s">
        <v>3514</v>
      </c>
      <c r="B53" s="54">
        <v>46121</v>
      </c>
      <c r="C53" s="7">
        <v>46127</v>
      </c>
      <c r="D53" s="27">
        <v>3271</v>
      </c>
      <c r="E53" s="6">
        <v>336</v>
      </c>
      <c r="F53" s="6">
        <v>4</v>
      </c>
      <c r="G53" s="15">
        <v>6</v>
      </c>
      <c r="H53" s="15">
        <v>81328</v>
      </c>
      <c r="I53" s="15" t="s">
        <v>543</v>
      </c>
      <c r="J53" s="15">
        <v>59326942</v>
      </c>
      <c r="K53" s="15" t="s">
        <v>3235</v>
      </c>
      <c r="L53" s="15" t="s">
        <v>3239</v>
      </c>
      <c r="M53" s="17">
        <v>59900</v>
      </c>
      <c r="N53" s="62">
        <v>0.3</v>
      </c>
      <c r="O53" s="12">
        <f t="shared" si="0"/>
        <v>41930</v>
      </c>
      <c r="P53" s="6" t="s">
        <v>3499</v>
      </c>
    </row>
    <row r="54" spans="1:16" x14ac:dyDescent="0.25">
      <c r="A54" s="6" t="s">
        <v>3514</v>
      </c>
      <c r="B54" s="54">
        <v>46121</v>
      </c>
      <c r="C54" s="7">
        <v>46127</v>
      </c>
      <c r="D54" s="27">
        <v>3271</v>
      </c>
      <c r="E54" s="6">
        <v>336</v>
      </c>
      <c r="F54" s="6">
        <v>4</v>
      </c>
      <c r="G54" s="15">
        <v>6</v>
      </c>
      <c r="H54" s="15">
        <v>81328</v>
      </c>
      <c r="I54" s="15" t="s">
        <v>543</v>
      </c>
      <c r="J54" s="15">
        <v>59326951</v>
      </c>
      <c r="K54" s="15" t="s">
        <v>3235</v>
      </c>
      <c r="L54" s="15" t="s">
        <v>3240</v>
      </c>
      <c r="M54" s="17">
        <v>59900</v>
      </c>
      <c r="N54" s="62">
        <v>0.3</v>
      </c>
      <c r="O54" s="12">
        <f t="shared" si="0"/>
        <v>41930</v>
      </c>
      <c r="P54" s="6" t="s">
        <v>3499</v>
      </c>
    </row>
    <row r="55" spans="1:16" x14ac:dyDescent="0.25">
      <c r="A55" s="6" t="s">
        <v>3514</v>
      </c>
      <c r="B55" s="54">
        <v>46121</v>
      </c>
      <c r="C55" s="7">
        <v>46127</v>
      </c>
      <c r="D55" s="27">
        <v>3271</v>
      </c>
      <c r="E55" s="6">
        <v>336</v>
      </c>
      <c r="F55" s="6">
        <v>4</v>
      </c>
      <c r="G55" s="15">
        <v>6</v>
      </c>
      <c r="H55" s="15">
        <v>81328</v>
      </c>
      <c r="I55" s="15" t="s">
        <v>543</v>
      </c>
      <c r="J55" s="15">
        <v>59326960</v>
      </c>
      <c r="K55" s="15" t="s">
        <v>3235</v>
      </c>
      <c r="L55" s="15" t="s">
        <v>3241</v>
      </c>
      <c r="M55" s="17">
        <v>59900</v>
      </c>
      <c r="N55" s="62">
        <v>0.3</v>
      </c>
      <c r="O55" s="12">
        <f t="shared" si="0"/>
        <v>41930</v>
      </c>
      <c r="P55" s="6" t="s">
        <v>3499</v>
      </c>
    </row>
    <row r="56" spans="1:16" x14ac:dyDescent="0.25">
      <c r="A56" s="6" t="s">
        <v>3514</v>
      </c>
      <c r="B56" s="54">
        <v>46121</v>
      </c>
      <c r="C56" s="7">
        <v>46127</v>
      </c>
      <c r="D56" s="27">
        <v>3271</v>
      </c>
      <c r="E56" s="6">
        <v>336</v>
      </c>
      <c r="F56" s="6">
        <v>4</v>
      </c>
      <c r="G56" s="15">
        <v>6</v>
      </c>
      <c r="H56" s="15">
        <v>81328</v>
      </c>
      <c r="I56" s="15" t="s">
        <v>543</v>
      </c>
      <c r="J56" s="15">
        <v>59326979</v>
      </c>
      <c r="K56" s="15" t="s">
        <v>3242</v>
      </c>
      <c r="L56" s="15" t="s">
        <v>3243</v>
      </c>
      <c r="M56" s="17">
        <v>59900</v>
      </c>
      <c r="N56" s="62">
        <v>0.3</v>
      </c>
      <c r="O56" s="12">
        <f t="shared" si="0"/>
        <v>41930</v>
      </c>
      <c r="P56" s="6" t="s">
        <v>3499</v>
      </c>
    </row>
    <row r="57" spans="1:16" x14ac:dyDescent="0.25">
      <c r="A57" s="6" t="s">
        <v>3514</v>
      </c>
      <c r="B57" s="54">
        <v>46121</v>
      </c>
      <c r="C57" s="7">
        <v>46127</v>
      </c>
      <c r="D57" s="27">
        <v>3271</v>
      </c>
      <c r="E57" s="6">
        <v>336</v>
      </c>
      <c r="F57" s="6">
        <v>4</v>
      </c>
      <c r="G57" s="15">
        <v>6</v>
      </c>
      <c r="H57" s="15">
        <v>81328</v>
      </c>
      <c r="I57" s="15" t="s">
        <v>543</v>
      </c>
      <c r="J57" s="15">
        <v>59326988</v>
      </c>
      <c r="K57" s="15" t="s">
        <v>3242</v>
      </c>
      <c r="L57" s="15" t="s">
        <v>3244</v>
      </c>
      <c r="M57" s="17">
        <v>59900</v>
      </c>
      <c r="N57" s="62">
        <v>0.3</v>
      </c>
      <c r="O57" s="12">
        <f t="shared" si="0"/>
        <v>41930</v>
      </c>
      <c r="P57" s="6" t="s">
        <v>3499</v>
      </c>
    </row>
    <row r="58" spans="1:16" x14ac:dyDescent="0.25">
      <c r="A58" s="6" t="s">
        <v>3514</v>
      </c>
      <c r="B58" s="54">
        <v>46121</v>
      </c>
      <c r="C58" s="7">
        <v>46127</v>
      </c>
      <c r="D58" s="27">
        <v>3271</v>
      </c>
      <c r="E58" s="6">
        <v>336</v>
      </c>
      <c r="F58" s="6">
        <v>4</v>
      </c>
      <c r="G58" s="15">
        <v>6</v>
      </c>
      <c r="H58" s="15">
        <v>81328</v>
      </c>
      <c r="I58" s="15" t="s">
        <v>543</v>
      </c>
      <c r="J58" s="15">
        <v>59326997</v>
      </c>
      <c r="K58" s="15" t="s">
        <v>3242</v>
      </c>
      <c r="L58" s="15" t="s">
        <v>3245</v>
      </c>
      <c r="M58" s="17">
        <v>59900</v>
      </c>
      <c r="N58" s="62">
        <v>0.3</v>
      </c>
      <c r="O58" s="12">
        <f t="shared" si="0"/>
        <v>41930</v>
      </c>
      <c r="P58" s="6" t="s">
        <v>3499</v>
      </c>
    </row>
    <row r="59" spans="1:16" x14ac:dyDescent="0.25">
      <c r="A59" s="6" t="s">
        <v>3514</v>
      </c>
      <c r="B59" s="54">
        <v>46121</v>
      </c>
      <c r="C59" s="7">
        <v>46127</v>
      </c>
      <c r="D59" s="27">
        <v>3271</v>
      </c>
      <c r="E59" s="6">
        <v>336</v>
      </c>
      <c r="F59" s="6">
        <v>4</v>
      </c>
      <c r="G59" s="15">
        <v>6</v>
      </c>
      <c r="H59" s="15">
        <v>81328</v>
      </c>
      <c r="I59" s="15" t="s">
        <v>543</v>
      </c>
      <c r="J59" s="15">
        <v>59327003</v>
      </c>
      <c r="K59" s="15" t="s">
        <v>3242</v>
      </c>
      <c r="L59" s="15" t="s">
        <v>3246</v>
      </c>
      <c r="M59" s="17">
        <v>59900</v>
      </c>
      <c r="N59" s="62">
        <v>0.3</v>
      </c>
      <c r="O59" s="12">
        <f t="shared" si="0"/>
        <v>41930</v>
      </c>
      <c r="P59" s="6" t="s">
        <v>3499</v>
      </c>
    </row>
    <row r="60" spans="1:16" x14ac:dyDescent="0.25">
      <c r="A60" s="6" t="s">
        <v>3514</v>
      </c>
      <c r="B60" s="54">
        <v>46121</v>
      </c>
      <c r="C60" s="7">
        <v>46127</v>
      </c>
      <c r="D60" s="27">
        <v>3271</v>
      </c>
      <c r="E60" s="6">
        <v>336</v>
      </c>
      <c r="F60" s="6">
        <v>4</v>
      </c>
      <c r="G60" s="15">
        <v>6</v>
      </c>
      <c r="H60" s="15">
        <v>81328</v>
      </c>
      <c r="I60" s="15" t="s">
        <v>543</v>
      </c>
      <c r="J60" s="15">
        <v>59327012</v>
      </c>
      <c r="K60" s="15" t="s">
        <v>3242</v>
      </c>
      <c r="L60" s="15" t="s">
        <v>3247</v>
      </c>
      <c r="M60" s="17">
        <v>59900</v>
      </c>
      <c r="N60" s="62">
        <v>0.3</v>
      </c>
      <c r="O60" s="12">
        <f t="shared" si="0"/>
        <v>41930</v>
      </c>
      <c r="P60" s="6" t="s">
        <v>3499</v>
      </c>
    </row>
    <row r="61" spans="1:16" x14ac:dyDescent="0.25">
      <c r="A61" s="6" t="s">
        <v>3514</v>
      </c>
      <c r="B61" s="54">
        <v>46121</v>
      </c>
      <c r="C61" s="7">
        <v>46127</v>
      </c>
      <c r="D61" s="27">
        <v>3271</v>
      </c>
      <c r="E61" s="6">
        <v>336</v>
      </c>
      <c r="F61" s="6">
        <v>4</v>
      </c>
      <c r="G61" s="15">
        <v>6</v>
      </c>
      <c r="H61" s="15">
        <v>81328</v>
      </c>
      <c r="I61" s="15" t="s">
        <v>543</v>
      </c>
      <c r="J61" s="15">
        <v>59327021</v>
      </c>
      <c r="K61" s="15" t="s">
        <v>3242</v>
      </c>
      <c r="L61" s="15" t="s">
        <v>3248</v>
      </c>
      <c r="M61" s="17">
        <v>59900</v>
      </c>
      <c r="N61" s="62">
        <v>0.3</v>
      </c>
      <c r="O61" s="12">
        <f t="shared" si="0"/>
        <v>41930</v>
      </c>
      <c r="P61" s="6" t="s">
        <v>3499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94A35-D380-416D-AE37-40729017C69F}">
  <sheetPr>
    <tabColor rgb="FF00B050"/>
  </sheetPr>
  <dimension ref="A1:P13"/>
  <sheetViews>
    <sheetView zoomScale="90" zoomScaleNormal="90" workbookViewId="0">
      <selection activeCell="J19" sqref="J19"/>
    </sheetView>
  </sheetViews>
  <sheetFormatPr defaultRowHeight="15" x14ac:dyDescent="0.25"/>
  <cols>
    <col min="1" max="1" width="37.28515625" bestFit="1" customWidth="1"/>
    <col min="2" max="2" width="11.42578125" bestFit="1" customWidth="1"/>
    <col min="3" max="3" width="11.28515625" bestFit="1" customWidth="1"/>
    <col min="4" max="4" width="5.5703125" bestFit="1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7.5703125" bestFit="1" customWidth="1"/>
    <col min="10" max="10" width="10" bestFit="1" customWidth="1"/>
    <col min="11" max="11" width="10.5703125" bestFit="1" customWidth="1"/>
    <col min="12" max="12" width="92.5703125" customWidth="1"/>
    <col min="13" max="13" width="15.5703125" bestFit="1" customWidth="1"/>
    <col min="14" max="14" width="7.42578125" bestFit="1" customWidth="1"/>
    <col min="15" max="15" width="24.42578125" bestFit="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3515</v>
      </c>
      <c r="B2" s="54">
        <v>46121</v>
      </c>
      <c r="C2" s="7">
        <v>46127</v>
      </c>
      <c r="D2" s="27">
        <v>3271</v>
      </c>
      <c r="E2" s="6">
        <v>336</v>
      </c>
      <c r="F2" s="6">
        <v>4</v>
      </c>
      <c r="G2" s="15">
        <v>4</v>
      </c>
      <c r="H2" s="15">
        <v>81683</v>
      </c>
      <c r="I2" s="15" t="s">
        <v>543</v>
      </c>
      <c r="J2" s="15">
        <v>61179982</v>
      </c>
      <c r="K2" s="15" t="s">
        <v>3249</v>
      </c>
      <c r="L2" s="15" t="s">
        <v>3250</v>
      </c>
      <c r="M2" s="20">
        <v>179900</v>
      </c>
      <c r="N2" s="62">
        <v>0.3</v>
      </c>
      <c r="O2" s="12">
        <f>M2-((30*M2)/100)</f>
        <v>125930</v>
      </c>
      <c r="P2" s="6" t="s">
        <v>3499</v>
      </c>
    </row>
    <row r="3" spans="1:16" x14ac:dyDescent="0.25">
      <c r="A3" s="6" t="s">
        <v>3515</v>
      </c>
      <c r="B3" s="54">
        <v>46121</v>
      </c>
      <c r="C3" s="7">
        <v>46127</v>
      </c>
      <c r="D3" s="27">
        <v>3271</v>
      </c>
      <c r="E3" s="6">
        <v>336</v>
      </c>
      <c r="F3" s="6">
        <v>4</v>
      </c>
      <c r="G3" s="15">
        <v>4</v>
      </c>
      <c r="H3" s="15">
        <v>81683</v>
      </c>
      <c r="I3" s="15" t="s">
        <v>543</v>
      </c>
      <c r="J3" s="15">
        <v>61179991</v>
      </c>
      <c r="K3" s="15" t="s">
        <v>3249</v>
      </c>
      <c r="L3" s="15" t="s">
        <v>3251</v>
      </c>
      <c r="M3" s="20">
        <v>179900</v>
      </c>
      <c r="N3" s="62">
        <v>0.3</v>
      </c>
      <c r="O3" s="12">
        <f t="shared" ref="O3:O13" si="0">M3-((30*M3)/100)</f>
        <v>125930</v>
      </c>
      <c r="P3" s="6" t="s">
        <v>3499</v>
      </c>
    </row>
    <row r="4" spans="1:16" x14ac:dyDescent="0.25">
      <c r="A4" s="6" t="s">
        <v>3515</v>
      </c>
      <c r="B4" s="54">
        <v>46121</v>
      </c>
      <c r="C4" s="7">
        <v>46127</v>
      </c>
      <c r="D4" s="27">
        <v>3271</v>
      </c>
      <c r="E4" s="6">
        <v>336</v>
      </c>
      <c r="F4" s="6">
        <v>4</v>
      </c>
      <c r="G4" s="15">
        <v>4</v>
      </c>
      <c r="H4" s="15">
        <v>81683</v>
      </c>
      <c r="I4" s="15" t="s">
        <v>543</v>
      </c>
      <c r="J4" s="15">
        <v>61180005</v>
      </c>
      <c r="K4" s="15" t="s">
        <v>3249</v>
      </c>
      <c r="L4" s="15" t="s">
        <v>3252</v>
      </c>
      <c r="M4" s="20">
        <v>179900</v>
      </c>
      <c r="N4" s="62">
        <v>0.3</v>
      </c>
      <c r="O4" s="12">
        <f t="shared" si="0"/>
        <v>125930</v>
      </c>
      <c r="P4" s="6" t="s">
        <v>3499</v>
      </c>
    </row>
    <row r="5" spans="1:16" x14ac:dyDescent="0.25">
      <c r="A5" s="6" t="s">
        <v>3515</v>
      </c>
      <c r="B5" s="54">
        <v>46121</v>
      </c>
      <c r="C5" s="7">
        <v>46127</v>
      </c>
      <c r="D5" s="27">
        <v>3271</v>
      </c>
      <c r="E5" s="6">
        <v>336</v>
      </c>
      <c r="F5" s="6">
        <v>4</v>
      </c>
      <c r="G5" s="15">
        <v>4</v>
      </c>
      <c r="H5" s="15">
        <v>81683</v>
      </c>
      <c r="I5" s="15" t="s">
        <v>543</v>
      </c>
      <c r="J5" s="15">
        <v>61180014</v>
      </c>
      <c r="K5" s="15" t="s">
        <v>3249</v>
      </c>
      <c r="L5" s="15" t="s">
        <v>3253</v>
      </c>
      <c r="M5" s="20">
        <v>179900</v>
      </c>
      <c r="N5" s="62">
        <v>0.3</v>
      </c>
      <c r="O5" s="12">
        <f t="shared" si="0"/>
        <v>125930</v>
      </c>
      <c r="P5" s="6" t="s">
        <v>3499</v>
      </c>
    </row>
    <row r="6" spans="1:16" x14ac:dyDescent="0.25">
      <c r="A6" s="6" t="s">
        <v>3515</v>
      </c>
      <c r="B6" s="54">
        <v>46121</v>
      </c>
      <c r="C6" s="7">
        <v>46127</v>
      </c>
      <c r="D6" s="27">
        <v>3271</v>
      </c>
      <c r="E6" s="6">
        <v>336</v>
      </c>
      <c r="F6" s="6">
        <v>4</v>
      </c>
      <c r="G6" s="15">
        <v>4</v>
      </c>
      <c r="H6" s="15">
        <v>81683</v>
      </c>
      <c r="I6" s="15" t="s">
        <v>543</v>
      </c>
      <c r="J6" s="15">
        <v>61180023</v>
      </c>
      <c r="K6" s="15" t="s">
        <v>3249</v>
      </c>
      <c r="L6" s="15" t="s">
        <v>3254</v>
      </c>
      <c r="M6" s="20">
        <v>179900</v>
      </c>
      <c r="N6" s="62">
        <v>0.3</v>
      </c>
      <c r="O6" s="12">
        <f t="shared" si="0"/>
        <v>125930</v>
      </c>
      <c r="P6" s="6" t="s">
        <v>3499</v>
      </c>
    </row>
    <row r="7" spans="1:16" x14ac:dyDescent="0.25">
      <c r="A7" s="6" t="s">
        <v>3515</v>
      </c>
      <c r="B7" s="54">
        <v>46121</v>
      </c>
      <c r="C7" s="7">
        <v>46127</v>
      </c>
      <c r="D7" s="27">
        <v>3271</v>
      </c>
      <c r="E7" s="6">
        <v>336</v>
      </c>
      <c r="F7" s="6">
        <v>4</v>
      </c>
      <c r="G7" s="15">
        <v>4</v>
      </c>
      <c r="H7" s="15">
        <v>81683</v>
      </c>
      <c r="I7" s="15" t="s">
        <v>543</v>
      </c>
      <c r="J7" s="15">
        <v>61180032</v>
      </c>
      <c r="K7" s="15" t="s">
        <v>3249</v>
      </c>
      <c r="L7" s="15" t="s">
        <v>3255</v>
      </c>
      <c r="M7" s="20">
        <v>179900</v>
      </c>
      <c r="N7" s="62">
        <v>0.3</v>
      </c>
      <c r="O7" s="12">
        <f t="shared" si="0"/>
        <v>125930</v>
      </c>
      <c r="P7" s="6" t="s">
        <v>3499</v>
      </c>
    </row>
    <row r="8" spans="1:16" x14ac:dyDescent="0.25">
      <c r="A8" s="6" t="s">
        <v>3515</v>
      </c>
      <c r="B8" s="54">
        <v>46121</v>
      </c>
      <c r="C8" s="7">
        <v>46127</v>
      </c>
      <c r="D8" s="27">
        <v>3271</v>
      </c>
      <c r="E8" s="6">
        <v>336</v>
      </c>
      <c r="F8" s="6">
        <v>4</v>
      </c>
      <c r="G8" s="15">
        <v>4</v>
      </c>
      <c r="H8" s="15">
        <v>81683</v>
      </c>
      <c r="I8" s="15" t="s">
        <v>543</v>
      </c>
      <c r="J8" s="15">
        <v>61180041</v>
      </c>
      <c r="K8" s="15" t="s">
        <v>3249</v>
      </c>
      <c r="L8" s="15" t="s">
        <v>3256</v>
      </c>
      <c r="M8" s="20">
        <v>179900</v>
      </c>
      <c r="N8" s="62">
        <v>0.3</v>
      </c>
      <c r="O8" s="12">
        <f t="shared" si="0"/>
        <v>125930</v>
      </c>
      <c r="P8" s="6" t="s">
        <v>3499</v>
      </c>
    </row>
    <row r="9" spans="1:16" x14ac:dyDescent="0.25">
      <c r="A9" s="6" t="s">
        <v>3515</v>
      </c>
      <c r="B9" s="54">
        <v>46121</v>
      </c>
      <c r="C9" s="7">
        <v>46127</v>
      </c>
      <c r="D9" s="27">
        <v>3271</v>
      </c>
      <c r="E9" s="6">
        <v>336</v>
      </c>
      <c r="F9" s="6">
        <v>4</v>
      </c>
      <c r="G9" s="15">
        <v>4</v>
      </c>
      <c r="H9" s="15">
        <v>81683</v>
      </c>
      <c r="I9" s="15" t="s">
        <v>543</v>
      </c>
      <c r="J9" s="15">
        <v>61180050</v>
      </c>
      <c r="K9" s="15" t="s">
        <v>3249</v>
      </c>
      <c r="L9" s="15" t="s">
        <v>3257</v>
      </c>
      <c r="M9" s="20">
        <v>179900</v>
      </c>
      <c r="N9" s="62">
        <v>0.3</v>
      </c>
      <c r="O9" s="12">
        <f t="shared" si="0"/>
        <v>125930</v>
      </c>
      <c r="P9" s="6" t="s">
        <v>3499</v>
      </c>
    </row>
    <row r="10" spans="1:16" x14ac:dyDescent="0.25">
      <c r="A10" s="6" t="s">
        <v>3515</v>
      </c>
      <c r="B10" s="54">
        <v>46121</v>
      </c>
      <c r="C10" s="7">
        <v>46127</v>
      </c>
      <c r="D10" s="27">
        <v>3271</v>
      </c>
      <c r="E10" s="6">
        <v>336</v>
      </c>
      <c r="F10" s="6">
        <v>4</v>
      </c>
      <c r="G10" s="15">
        <v>4</v>
      </c>
      <c r="H10" s="15">
        <v>81683</v>
      </c>
      <c r="I10" s="15" t="s">
        <v>543</v>
      </c>
      <c r="J10" s="15">
        <v>61180069</v>
      </c>
      <c r="K10" s="15" t="s">
        <v>3249</v>
      </c>
      <c r="L10" s="15" t="s">
        <v>3258</v>
      </c>
      <c r="M10" s="20">
        <v>179900</v>
      </c>
      <c r="N10" s="62">
        <v>0.3</v>
      </c>
      <c r="O10" s="12">
        <f t="shared" si="0"/>
        <v>125930</v>
      </c>
      <c r="P10" s="6" t="s">
        <v>3499</v>
      </c>
    </row>
    <row r="11" spans="1:16" x14ac:dyDescent="0.25">
      <c r="A11" s="6" t="s">
        <v>3515</v>
      </c>
      <c r="B11" s="54">
        <v>46121</v>
      </c>
      <c r="C11" s="7">
        <v>46127</v>
      </c>
      <c r="D11" s="27">
        <v>3271</v>
      </c>
      <c r="E11" s="6">
        <v>336</v>
      </c>
      <c r="F11" s="6">
        <v>4</v>
      </c>
      <c r="G11" s="15">
        <v>4</v>
      </c>
      <c r="H11" s="15">
        <v>81683</v>
      </c>
      <c r="I11" s="15" t="s">
        <v>543</v>
      </c>
      <c r="J11" s="15">
        <v>61180078</v>
      </c>
      <c r="K11" s="15" t="s">
        <v>3249</v>
      </c>
      <c r="L11" s="15" t="s">
        <v>3259</v>
      </c>
      <c r="M11" s="20">
        <v>179900</v>
      </c>
      <c r="N11" s="62">
        <v>0.3</v>
      </c>
      <c r="O11" s="12">
        <f t="shared" si="0"/>
        <v>125930</v>
      </c>
      <c r="P11" s="6" t="s">
        <v>3499</v>
      </c>
    </row>
    <row r="12" spans="1:16" x14ac:dyDescent="0.25">
      <c r="A12" s="6" t="s">
        <v>3515</v>
      </c>
      <c r="B12" s="54">
        <v>46121</v>
      </c>
      <c r="C12" s="7">
        <v>46127</v>
      </c>
      <c r="D12" s="27">
        <v>3271</v>
      </c>
      <c r="E12" s="6">
        <v>336</v>
      </c>
      <c r="F12" s="6">
        <v>4</v>
      </c>
      <c r="G12" s="15">
        <v>4</v>
      </c>
      <c r="H12" s="15">
        <v>81683</v>
      </c>
      <c r="I12" s="15" t="s">
        <v>543</v>
      </c>
      <c r="J12" s="15">
        <v>61180087</v>
      </c>
      <c r="K12" s="15" t="s">
        <v>3249</v>
      </c>
      <c r="L12" s="15" t="s">
        <v>3260</v>
      </c>
      <c r="M12" s="20">
        <v>179900</v>
      </c>
      <c r="N12" s="62">
        <v>0.3</v>
      </c>
      <c r="O12" s="12">
        <f t="shared" si="0"/>
        <v>125930</v>
      </c>
      <c r="P12" s="6" t="s">
        <v>3499</v>
      </c>
    </row>
    <row r="13" spans="1:16" x14ac:dyDescent="0.25">
      <c r="A13" s="6" t="s">
        <v>3515</v>
      </c>
      <c r="B13" s="54">
        <v>46121</v>
      </c>
      <c r="C13" s="7">
        <v>46127</v>
      </c>
      <c r="D13" s="27">
        <v>3271</v>
      </c>
      <c r="E13" s="6">
        <v>336</v>
      </c>
      <c r="F13" s="6">
        <v>4</v>
      </c>
      <c r="G13" s="15">
        <v>4</v>
      </c>
      <c r="H13" s="15">
        <v>81683</v>
      </c>
      <c r="I13" s="15" t="s">
        <v>543</v>
      </c>
      <c r="J13" s="15">
        <v>61180096</v>
      </c>
      <c r="K13" s="15" t="s">
        <v>3249</v>
      </c>
      <c r="L13" s="15" t="s">
        <v>3261</v>
      </c>
      <c r="M13" s="20">
        <v>179900</v>
      </c>
      <c r="N13" s="62">
        <v>0.3</v>
      </c>
      <c r="O13" s="12">
        <f t="shared" si="0"/>
        <v>125930</v>
      </c>
      <c r="P13" s="6" t="s">
        <v>3499</v>
      </c>
    </row>
  </sheetData>
  <pageMargins left="0.7" right="0.7" top="0.75" bottom="0.75" header="0.3" footer="0.3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5550-B594-406A-A9F2-F4EC5C02670B}">
  <dimension ref="A1:P199"/>
  <sheetViews>
    <sheetView topLeftCell="B1" workbookViewId="0">
      <selection activeCell="L18" sqref="L18"/>
    </sheetView>
  </sheetViews>
  <sheetFormatPr defaultRowHeight="15" x14ac:dyDescent="0.25"/>
  <cols>
    <col min="1" max="1" width="37.5703125" customWidth="1"/>
    <col min="2" max="2" width="11.85546875" customWidth="1"/>
    <col min="3" max="3" width="12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10.140625" customWidth="1"/>
    <col min="11" max="11" width="10.5703125" customWidth="1"/>
    <col min="12" max="12" width="72.42578125" bestFit="1" customWidth="1"/>
    <col min="13" max="13" width="15.5703125" style="53" bestFit="1" customWidth="1"/>
    <col min="14" max="14" width="7.42578125" bestFit="1" customWidth="1"/>
    <col min="15" max="15" width="17.140625" style="51" customWidth="1"/>
    <col min="16" max="16" width="14.28515625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7" t="s">
        <v>3517</v>
      </c>
      <c r="B2" s="7">
        <v>46121</v>
      </c>
      <c r="C2" s="7">
        <v>46127</v>
      </c>
      <c r="D2" s="27">
        <v>3271</v>
      </c>
      <c r="E2" s="27">
        <v>336</v>
      </c>
      <c r="F2" s="27">
        <v>4</v>
      </c>
      <c r="G2" s="27">
        <v>4</v>
      </c>
      <c r="H2" s="27">
        <v>81683</v>
      </c>
      <c r="I2" s="27" t="s">
        <v>543</v>
      </c>
      <c r="J2" s="27">
        <v>61179866</v>
      </c>
      <c r="K2" s="27" t="s">
        <v>3262</v>
      </c>
      <c r="L2" s="27" t="s">
        <v>3263</v>
      </c>
      <c r="M2" s="27">
        <v>179900</v>
      </c>
      <c r="N2" s="15" t="s">
        <v>19</v>
      </c>
      <c r="O2" s="15" t="s">
        <v>3516</v>
      </c>
      <c r="P2" s="15" t="s">
        <v>19</v>
      </c>
    </row>
    <row r="3" spans="1:16" x14ac:dyDescent="0.25">
      <c r="A3" s="27" t="s">
        <v>3517</v>
      </c>
      <c r="B3" s="7">
        <v>46121</v>
      </c>
      <c r="C3" s="7">
        <v>46127</v>
      </c>
      <c r="D3" s="27">
        <v>3271</v>
      </c>
      <c r="E3" s="27">
        <v>336</v>
      </c>
      <c r="F3" s="27">
        <v>4</v>
      </c>
      <c r="G3" s="27">
        <v>4</v>
      </c>
      <c r="H3" s="27">
        <v>81683</v>
      </c>
      <c r="I3" s="27" t="s">
        <v>543</v>
      </c>
      <c r="J3" s="27">
        <v>61179875</v>
      </c>
      <c r="K3" s="27" t="s">
        <v>3262</v>
      </c>
      <c r="L3" s="27" t="s">
        <v>3264</v>
      </c>
      <c r="M3" s="27">
        <v>179900</v>
      </c>
      <c r="N3" s="15" t="s">
        <v>19</v>
      </c>
      <c r="O3" s="15" t="s">
        <v>3516</v>
      </c>
      <c r="P3" s="15" t="s">
        <v>19</v>
      </c>
    </row>
    <row r="4" spans="1:16" x14ac:dyDescent="0.25">
      <c r="A4" s="27" t="s">
        <v>3517</v>
      </c>
      <c r="B4" s="7">
        <v>46121</v>
      </c>
      <c r="C4" s="7">
        <v>46127</v>
      </c>
      <c r="D4" s="27">
        <v>3271</v>
      </c>
      <c r="E4" s="27">
        <v>336</v>
      </c>
      <c r="F4" s="27">
        <v>4</v>
      </c>
      <c r="G4" s="27">
        <v>4</v>
      </c>
      <c r="H4" s="27">
        <v>81683</v>
      </c>
      <c r="I4" s="27" t="s">
        <v>543</v>
      </c>
      <c r="J4" s="27">
        <v>61179884</v>
      </c>
      <c r="K4" s="27" t="s">
        <v>3262</v>
      </c>
      <c r="L4" s="27" t="s">
        <v>3265</v>
      </c>
      <c r="M4" s="27">
        <v>179900</v>
      </c>
      <c r="N4" s="15" t="s">
        <v>19</v>
      </c>
      <c r="O4" s="15" t="s">
        <v>3516</v>
      </c>
      <c r="P4" s="15" t="s">
        <v>19</v>
      </c>
    </row>
    <row r="5" spans="1:16" x14ac:dyDescent="0.25">
      <c r="A5" s="27" t="s">
        <v>3517</v>
      </c>
      <c r="B5" s="7">
        <v>46121</v>
      </c>
      <c r="C5" s="7">
        <v>46127</v>
      </c>
      <c r="D5" s="27">
        <v>3271</v>
      </c>
      <c r="E5" s="27">
        <v>336</v>
      </c>
      <c r="F5" s="27">
        <v>4</v>
      </c>
      <c r="G5" s="27">
        <v>4</v>
      </c>
      <c r="H5" s="27">
        <v>81683</v>
      </c>
      <c r="I5" s="27" t="s">
        <v>543</v>
      </c>
      <c r="J5" s="27">
        <v>61179893</v>
      </c>
      <c r="K5" s="27" t="s">
        <v>3262</v>
      </c>
      <c r="L5" s="27" t="s">
        <v>3266</v>
      </c>
      <c r="M5" s="27">
        <v>179900</v>
      </c>
      <c r="N5" s="15" t="s">
        <v>19</v>
      </c>
      <c r="O5" s="15" t="s">
        <v>3516</v>
      </c>
      <c r="P5" s="15" t="s">
        <v>19</v>
      </c>
    </row>
    <row r="6" spans="1:16" x14ac:dyDescent="0.25">
      <c r="A6" s="27" t="s">
        <v>3517</v>
      </c>
      <c r="B6" s="7">
        <v>46121</v>
      </c>
      <c r="C6" s="7">
        <v>46127</v>
      </c>
      <c r="D6" s="27">
        <v>3271</v>
      </c>
      <c r="E6" s="27">
        <v>336</v>
      </c>
      <c r="F6" s="27">
        <v>4</v>
      </c>
      <c r="G6" s="27">
        <v>4</v>
      </c>
      <c r="H6" s="27">
        <v>81683</v>
      </c>
      <c r="I6" s="27" t="s">
        <v>543</v>
      </c>
      <c r="J6" s="27">
        <v>61179900</v>
      </c>
      <c r="K6" s="27" t="s">
        <v>3262</v>
      </c>
      <c r="L6" s="27" t="s">
        <v>3267</v>
      </c>
      <c r="M6" s="27">
        <v>179900</v>
      </c>
      <c r="N6" s="15" t="s">
        <v>19</v>
      </c>
      <c r="O6" s="15" t="s">
        <v>3516</v>
      </c>
      <c r="P6" s="15" t="s">
        <v>19</v>
      </c>
    </row>
    <row r="7" spans="1:16" x14ac:dyDescent="0.25">
      <c r="A7" s="27" t="s">
        <v>3517</v>
      </c>
      <c r="B7" s="7">
        <v>46121</v>
      </c>
      <c r="C7" s="7">
        <v>46127</v>
      </c>
      <c r="D7" s="27">
        <v>3271</v>
      </c>
      <c r="E7" s="27">
        <v>336</v>
      </c>
      <c r="F7" s="27">
        <v>4</v>
      </c>
      <c r="G7" s="27">
        <v>4</v>
      </c>
      <c r="H7" s="27">
        <v>81683</v>
      </c>
      <c r="I7" s="27" t="s">
        <v>543</v>
      </c>
      <c r="J7" s="27">
        <v>61179919</v>
      </c>
      <c r="K7" s="27" t="s">
        <v>3262</v>
      </c>
      <c r="L7" s="27" t="s">
        <v>3268</v>
      </c>
      <c r="M7" s="27">
        <v>179900</v>
      </c>
      <c r="N7" s="15" t="s">
        <v>19</v>
      </c>
      <c r="O7" s="15" t="s">
        <v>3516</v>
      </c>
      <c r="P7" s="15" t="s">
        <v>19</v>
      </c>
    </row>
    <row r="8" spans="1:16" x14ac:dyDescent="0.25">
      <c r="A8" s="27" t="s">
        <v>3517</v>
      </c>
      <c r="B8" s="7">
        <v>46121</v>
      </c>
      <c r="C8" s="7">
        <v>46127</v>
      </c>
      <c r="D8" s="27">
        <v>3271</v>
      </c>
      <c r="E8" s="27">
        <v>336</v>
      </c>
      <c r="F8" s="27">
        <v>4</v>
      </c>
      <c r="G8" s="27">
        <v>4</v>
      </c>
      <c r="H8" s="27">
        <v>81683</v>
      </c>
      <c r="I8" s="27" t="s">
        <v>543</v>
      </c>
      <c r="J8" s="27">
        <v>61179928</v>
      </c>
      <c r="K8" s="27" t="s">
        <v>3262</v>
      </c>
      <c r="L8" s="27" t="s">
        <v>3269</v>
      </c>
      <c r="M8" s="27">
        <v>179900</v>
      </c>
      <c r="N8" s="15" t="s">
        <v>19</v>
      </c>
      <c r="O8" s="15" t="s">
        <v>3516</v>
      </c>
      <c r="P8" s="15" t="s">
        <v>19</v>
      </c>
    </row>
    <row r="9" spans="1:16" x14ac:dyDescent="0.25">
      <c r="A9" s="27" t="s">
        <v>3517</v>
      </c>
      <c r="B9" s="7">
        <v>46121</v>
      </c>
      <c r="C9" s="7">
        <v>46127</v>
      </c>
      <c r="D9" s="27">
        <v>3271</v>
      </c>
      <c r="E9" s="27">
        <v>336</v>
      </c>
      <c r="F9" s="27">
        <v>4</v>
      </c>
      <c r="G9" s="27">
        <v>4</v>
      </c>
      <c r="H9" s="27">
        <v>81683</v>
      </c>
      <c r="I9" s="27" t="s">
        <v>543</v>
      </c>
      <c r="J9" s="27">
        <v>61179937</v>
      </c>
      <c r="K9" s="27" t="s">
        <v>3262</v>
      </c>
      <c r="L9" s="27" t="s">
        <v>3270</v>
      </c>
      <c r="M9" s="27">
        <v>179900</v>
      </c>
      <c r="N9" s="15" t="s">
        <v>19</v>
      </c>
      <c r="O9" s="15" t="s">
        <v>3516</v>
      </c>
      <c r="P9" s="15" t="s">
        <v>19</v>
      </c>
    </row>
    <row r="10" spans="1:16" x14ac:dyDescent="0.25">
      <c r="A10" s="27" t="s">
        <v>3517</v>
      </c>
      <c r="B10" s="7">
        <v>46121</v>
      </c>
      <c r="C10" s="7">
        <v>46127</v>
      </c>
      <c r="D10" s="27">
        <v>3271</v>
      </c>
      <c r="E10" s="27">
        <v>336</v>
      </c>
      <c r="F10" s="27">
        <v>4</v>
      </c>
      <c r="G10" s="27">
        <v>4</v>
      </c>
      <c r="H10" s="27">
        <v>81683</v>
      </c>
      <c r="I10" s="27" t="s">
        <v>543</v>
      </c>
      <c r="J10" s="27">
        <v>61179946</v>
      </c>
      <c r="K10" s="27" t="s">
        <v>3262</v>
      </c>
      <c r="L10" s="27" t="s">
        <v>3271</v>
      </c>
      <c r="M10" s="27">
        <v>179900</v>
      </c>
      <c r="N10" s="15" t="s">
        <v>19</v>
      </c>
      <c r="O10" s="15" t="s">
        <v>3516</v>
      </c>
      <c r="P10" s="15" t="s">
        <v>19</v>
      </c>
    </row>
    <row r="11" spans="1:16" x14ac:dyDescent="0.25">
      <c r="A11" s="27" t="s">
        <v>3517</v>
      </c>
      <c r="B11" s="7">
        <v>46121</v>
      </c>
      <c r="C11" s="7">
        <v>46127</v>
      </c>
      <c r="D11" s="27">
        <v>3271</v>
      </c>
      <c r="E11" s="27">
        <v>336</v>
      </c>
      <c r="F11" s="27">
        <v>4</v>
      </c>
      <c r="G11" s="27">
        <v>4</v>
      </c>
      <c r="H11" s="27">
        <v>81683</v>
      </c>
      <c r="I11" s="27" t="s">
        <v>543</v>
      </c>
      <c r="J11" s="27">
        <v>61179955</v>
      </c>
      <c r="K11" s="27" t="s">
        <v>3262</v>
      </c>
      <c r="L11" s="27" t="s">
        <v>3272</v>
      </c>
      <c r="M11" s="27">
        <v>179900</v>
      </c>
      <c r="N11" s="15" t="s">
        <v>19</v>
      </c>
      <c r="O11" s="15" t="s">
        <v>3516</v>
      </c>
      <c r="P11" s="15" t="s">
        <v>19</v>
      </c>
    </row>
    <row r="12" spans="1:16" x14ac:dyDescent="0.25">
      <c r="A12" s="27" t="s">
        <v>3517</v>
      </c>
      <c r="B12" s="7">
        <v>46121</v>
      </c>
      <c r="C12" s="7">
        <v>46127</v>
      </c>
      <c r="D12" s="27">
        <v>3271</v>
      </c>
      <c r="E12" s="27">
        <v>336</v>
      </c>
      <c r="F12" s="27">
        <v>4</v>
      </c>
      <c r="G12" s="27">
        <v>4</v>
      </c>
      <c r="H12" s="27">
        <v>81683</v>
      </c>
      <c r="I12" s="27" t="s">
        <v>543</v>
      </c>
      <c r="J12" s="27">
        <v>61179964</v>
      </c>
      <c r="K12" s="27" t="s">
        <v>3262</v>
      </c>
      <c r="L12" s="27" t="s">
        <v>3273</v>
      </c>
      <c r="M12" s="27">
        <v>179900</v>
      </c>
      <c r="N12" s="15" t="s">
        <v>19</v>
      </c>
      <c r="O12" s="15" t="s">
        <v>3516</v>
      </c>
      <c r="P12" s="15" t="s">
        <v>19</v>
      </c>
    </row>
    <row r="13" spans="1:16" x14ac:dyDescent="0.25">
      <c r="A13" s="27" t="s">
        <v>3517</v>
      </c>
      <c r="B13" s="7">
        <v>46121</v>
      </c>
      <c r="C13" s="7">
        <v>46127</v>
      </c>
      <c r="D13" s="27">
        <v>3271</v>
      </c>
      <c r="E13" s="27">
        <v>336</v>
      </c>
      <c r="F13" s="27">
        <v>4</v>
      </c>
      <c r="G13" s="27">
        <v>4</v>
      </c>
      <c r="H13" s="27">
        <v>81683</v>
      </c>
      <c r="I13" s="27" t="s">
        <v>543</v>
      </c>
      <c r="J13" s="27">
        <v>61179973</v>
      </c>
      <c r="K13" s="27" t="s">
        <v>3262</v>
      </c>
      <c r="L13" s="27" t="s">
        <v>3274</v>
      </c>
      <c r="M13" s="27">
        <v>179900</v>
      </c>
      <c r="N13" s="15" t="s">
        <v>19</v>
      </c>
      <c r="O13" s="15" t="s">
        <v>3516</v>
      </c>
      <c r="P13" s="15" t="s">
        <v>19</v>
      </c>
    </row>
    <row r="14" spans="1:16" x14ac:dyDescent="0.25">
      <c r="A14" s="27" t="s">
        <v>3517</v>
      </c>
      <c r="B14" s="7">
        <v>46121</v>
      </c>
      <c r="C14" s="7">
        <v>46127</v>
      </c>
      <c r="D14" s="27">
        <v>3271</v>
      </c>
      <c r="E14" s="27">
        <v>336</v>
      </c>
      <c r="F14" s="27">
        <v>4</v>
      </c>
      <c r="G14" s="27">
        <v>4</v>
      </c>
      <c r="H14" s="27">
        <v>4953</v>
      </c>
      <c r="I14" s="27" t="s">
        <v>543</v>
      </c>
      <c r="J14" s="27">
        <v>59325470</v>
      </c>
      <c r="K14" s="27" t="s">
        <v>3337</v>
      </c>
      <c r="L14" s="27" t="s">
        <v>3338</v>
      </c>
      <c r="M14" s="27">
        <v>99900</v>
      </c>
      <c r="N14" s="15" t="s">
        <v>19</v>
      </c>
      <c r="O14" s="15" t="s">
        <v>3516</v>
      </c>
      <c r="P14" s="15" t="s">
        <v>19</v>
      </c>
    </row>
    <row r="15" spans="1:16" x14ac:dyDescent="0.25">
      <c r="A15" s="27" t="s">
        <v>3517</v>
      </c>
      <c r="B15" s="7">
        <v>46121</v>
      </c>
      <c r="C15" s="7">
        <v>46127</v>
      </c>
      <c r="D15" s="27">
        <v>3271</v>
      </c>
      <c r="E15" s="27">
        <v>336</v>
      </c>
      <c r="F15" s="27">
        <v>4</v>
      </c>
      <c r="G15" s="27">
        <v>4</v>
      </c>
      <c r="H15" s="27">
        <v>4953</v>
      </c>
      <c r="I15" s="27" t="s">
        <v>543</v>
      </c>
      <c r="J15" s="27">
        <v>59325489</v>
      </c>
      <c r="K15" s="27" t="s">
        <v>3337</v>
      </c>
      <c r="L15" s="27" t="s">
        <v>3339</v>
      </c>
      <c r="M15" s="27">
        <v>99900</v>
      </c>
      <c r="N15" s="15" t="s">
        <v>19</v>
      </c>
      <c r="O15" s="15" t="s">
        <v>3516</v>
      </c>
      <c r="P15" s="15" t="s">
        <v>19</v>
      </c>
    </row>
    <row r="16" spans="1:16" x14ac:dyDescent="0.25">
      <c r="A16" s="27" t="s">
        <v>3517</v>
      </c>
      <c r="B16" s="7">
        <v>46121</v>
      </c>
      <c r="C16" s="7">
        <v>46127</v>
      </c>
      <c r="D16" s="27">
        <v>3271</v>
      </c>
      <c r="E16" s="27">
        <v>336</v>
      </c>
      <c r="F16" s="27">
        <v>4</v>
      </c>
      <c r="G16" s="27">
        <v>4</v>
      </c>
      <c r="H16" s="27">
        <v>4953</v>
      </c>
      <c r="I16" s="27" t="s">
        <v>543</v>
      </c>
      <c r="J16" s="27">
        <v>59325498</v>
      </c>
      <c r="K16" s="27" t="s">
        <v>3337</v>
      </c>
      <c r="L16" s="27" t="s">
        <v>3340</v>
      </c>
      <c r="M16" s="27">
        <v>99900</v>
      </c>
      <c r="N16" s="15" t="s">
        <v>19</v>
      </c>
      <c r="O16" s="15" t="s">
        <v>3516</v>
      </c>
      <c r="P16" s="15" t="s">
        <v>19</v>
      </c>
    </row>
    <row r="17" spans="1:16" x14ac:dyDescent="0.25">
      <c r="A17" s="27" t="s">
        <v>3517</v>
      </c>
      <c r="B17" s="7">
        <v>46121</v>
      </c>
      <c r="C17" s="7">
        <v>46127</v>
      </c>
      <c r="D17" s="27">
        <v>3271</v>
      </c>
      <c r="E17" s="27">
        <v>336</v>
      </c>
      <c r="F17" s="27">
        <v>4</v>
      </c>
      <c r="G17" s="27">
        <v>4</v>
      </c>
      <c r="H17" s="27">
        <v>4953</v>
      </c>
      <c r="I17" s="27" t="s">
        <v>543</v>
      </c>
      <c r="J17" s="27">
        <v>59325505</v>
      </c>
      <c r="K17" s="27" t="s">
        <v>3337</v>
      </c>
      <c r="L17" s="27" t="s">
        <v>3341</v>
      </c>
      <c r="M17" s="27">
        <v>99900</v>
      </c>
      <c r="N17" s="15" t="s">
        <v>19</v>
      </c>
      <c r="O17" s="15" t="s">
        <v>3516</v>
      </c>
      <c r="P17" s="15" t="s">
        <v>19</v>
      </c>
    </row>
    <row r="18" spans="1:16" x14ac:dyDescent="0.25">
      <c r="A18" s="27" t="s">
        <v>3517</v>
      </c>
      <c r="B18" s="7">
        <v>46121</v>
      </c>
      <c r="C18" s="7">
        <v>46127</v>
      </c>
      <c r="D18" s="27">
        <v>3271</v>
      </c>
      <c r="E18" s="27">
        <v>336</v>
      </c>
      <c r="F18" s="27">
        <v>4</v>
      </c>
      <c r="G18" s="27">
        <v>4</v>
      </c>
      <c r="H18" s="27">
        <v>4953</v>
      </c>
      <c r="I18" s="27" t="s">
        <v>543</v>
      </c>
      <c r="J18" s="27">
        <v>59325514</v>
      </c>
      <c r="K18" s="27" t="s">
        <v>3337</v>
      </c>
      <c r="L18" s="27" t="s">
        <v>3342</v>
      </c>
      <c r="M18" s="27">
        <v>99900</v>
      </c>
      <c r="N18" s="15" t="s">
        <v>19</v>
      </c>
      <c r="O18" s="15" t="s">
        <v>3516</v>
      </c>
      <c r="P18" s="15" t="s">
        <v>19</v>
      </c>
    </row>
    <row r="19" spans="1:16" x14ac:dyDescent="0.25">
      <c r="A19" s="27" t="s">
        <v>3517</v>
      </c>
      <c r="B19" s="7">
        <v>46121</v>
      </c>
      <c r="C19" s="7">
        <v>46127</v>
      </c>
      <c r="D19" s="27">
        <v>3271</v>
      </c>
      <c r="E19" s="27">
        <v>336</v>
      </c>
      <c r="F19" s="27">
        <v>4</v>
      </c>
      <c r="G19" s="27">
        <v>4</v>
      </c>
      <c r="H19" s="27">
        <v>4953</v>
      </c>
      <c r="I19" s="27" t="s">
        <v>543</v>
      </c>
      <c r="J19" s="27">
        <v>59325523</v>
      </c>
      <c r="K19" s="27" t="s">
        <v>3337</v>
      </c>
      <c r="L19" s="27" t="s">
        <v>3343</v>
      </c>
      <c r="M19" s="27">
        <v>99900</v>
      </c>
      <c r="N19" s="15" t="s">
        <v>19</v>
      </c>
      <c r="O19" s="15" t="s">
        <v>3516</v>
      </c>
      <c r="P19" s="15" t="s">
        <v>19</v>
      </c>
    </row>
    <row r="20" spans="1:16" x14ac:dyDescent="0.25">
      <c r="A20" s="27" t="s">
        <v>3517</v>
      </c>
      <c r="B20" s="7">
        <v>46121</v>
      </c>
      <c r="C20" s="7">
        <v>46127</v>
      </c>
      <c r="D20" s="27">
        <v>3271</v>
      </c>
      <c r="E20" s="27">
        <v>336</v>
      </c>
      <c r="F20" s="27">
        <v>4</v>
      </c>
      <c r="G20" s="27">
        <v>4</v>
      </c>
      <c r="H20" s="27">
        <v>4953</v>
      </c>
      <c r="I20" s="27" t="s">
        <v>543</v>
      </c>
      <c r="J20" s="27">
        <v>59325532</v>
      </c>
      <c r="K20" s="27" t="s">
        <v>3344</v>
      </c>
      <c r="L20" s="27" t="s">
        <v>3345</v>
      </c>
      <c r="M20" s="27">
        <v>99900</v>
      </c>
      <c r="N20" s="15" t="s">
        <v>19</v>
      </c>
      <c r="O20" s="15" t="s">
        <v>3516</v>
      </c>
      <c r="P20" s="15" t="s">
        <v>19</v>
      </c>
    </row>
    <row r="21" spans="1:16" x14ac:dyDescent="0.25">
      <c r="A21" s="27" t="s">
        <v>3517</v>
      </c>
      <c r="B21" s="7">
        <v>46121</v>
      </c>
      <c r="C21" s="7">
        <v>46127</v>
      </c>
      <c r="D21" s="27">
        <v>3271</v>
      </c>
      <c r="E21" s="27">
        <v>336</v>
      </c>
      <c r="F21" s="27">
        <v>4</v>
      </c>
      <c r="G21" s="27">
        <v>4</v>
      </c>
      <c r="H21" s="27">
        <v>4953</v>
      </c>
      <c r="I21" s="27" t="s">
        <v>543</v>
      </c>
      <c r="J21" s="27">
        <v>59325541</v>
      </c>
      <c r="K21" s="27" t="s">
        <v>3344</v>
      </c>
      <c r="L21" s="27" t="s">
        <v>3346</v>
      </c>
      <c r="M21" s="27">
        <v>99900</v>
      </c>
      <c r="N21" s="15" t="s">
        <v>19</v>
      </c>
      <c r="O21" s="15" t="s">
        <v>3516</v>
      </c>
      <c r="P21" s="15" t="s">
        <v>19</v>
      </c>
    </row>
    <row r="22" spans="1:16" x14ac:dyDescent="0.25">
      <c r="A22" s="27" t="s">
        <v>3517</v>
      </c>
      <c r="B22" s="7">
        <v>46121</v>
      </c>
      <c r="C22" s="7">
        <v>46127</v>
      </c>
      <c r="D22" s="27">
        <v>3271</v>
      </c>
      <c r="E22" s="27">
        <v>336</v>
      </c>
      <c r="F22" s="27">
        <v>4</v>
      </c>
      <c r="G22" s="27">
        <v>4</v>
      </c>
      <c r="H22" s="27">
        <v>4953</v>
      </c>
      <c r="I22" s="27" t="s">
        <v>543</v>
      </c>
      <c r="J22" s="27">
        <v>59325550</v>
      </c>
      <c r="K22" s="27" t="s">
        <v>3344</v>
      </c>
      <c r="L22" s="27" t="s">
        <v>3347</v>
      </c>
      <c r="M22" s="27">
        <v>99900</v>
      </c>
      <c r="N22" s="15" t="s">
        <v>19</v>
      </c>
      <c r="O22" s="15" t="s">
        <v>3516</v>
      </c>
      <c r="P22" s="15" t="s">
        <v>19</v>
      </c>
    </row>
    <row r="23" spans="1:16" x14ac:dyDescent="0.25">
      <c r="A23" s="27" t="s">
        <v>3517</v>
      </c>
      <c r="B23" s="7">
        <v>46121</v>
      </c>
      <c r="C23" s="7">
        <v>46127</v>
      </c>
      <c r="D23" s="27">
        <v>3271</v>
      </c>
      <c r="E23" s="27">
        <v>336</v>
      </c>
      <c r="F23" s="27">
        <v>4</v>
      </c>
      <c r="G23" s="27">
        <v>4</v>
      </c>
      <c r="H23" s="27">
        <v>4953</v>
      </c>
      <c r="I23" s="27" t="s">
        <v>543</v>
      </c>
      <c r="J23" s="27">
        <v>59325569</v>
      </c>
      <c r="K23" s="27" t="s">
        <v>3344</v>
      </c>
      <c r="L23" s="27" t="s">
        <v>3348</v>
      </c>
      <c r="M23" s="27">
        <v>99900</v>
      </c>
      <c r="N23" s="15" t="s">
        <v>19</v>
      </c>
      <c r="O23" s="15" t="s">
        <v>3516</v>
      </c>
      <c r="P23" s="15" t="s">
        <v>19</v>
      </c>
    </row>
    <row r="24" spans="1:16" x14ac:dyDescent="0.25">
      <c r="A24" s="27" t="s">
        <v>3517</v>
      </c>
      <c r="B24" s="7">
        <v>46121</v>
      </c>
      <c r="C24" s="7">
        <v>46127</v>
      </c>
      <c r="D24" s="27">
        <v>3271</v>
      </c>
      <c r="E24" s="27">
        <v>336</v>
      </c>
      <c r="F24" s="27">
        <v>4</v>
      </c>
      <c r="G24" s="27">
        <v>4</v>
      </c>
      <c r="H24" s="27">
        <v>4953</v>
      </c>
      <c r="I24" s="27" t="s">
        <v>543</v>
      </c>
      <c r="J24" s="27">
        <v>59325578</v>
      </c>
      <c r="K24" s="27" t="s">
        <v>3344</v>
      </c>
      <c r="L24" s="27" t="s">
        <v>3349</v>
      </c>
      <c r="M24" s="27">
        <v>99900</v>
      </c>
      <c r="N24" s="15" t="s">
        <v>19</v>
      </c>
      <c r="O24" s="15" t="s">
        <v>3516</v>
      </c>
      <c r="P24" s="15" t="s">
        <v>19</v>
      </c>
    </row>
    <row r="25" spans="1:16" x14ac:dyDescent="0.25">
      <c r="A25" s="27" t="s">
        <v>3517</v>
      </c>
      <c r="B25" s="7">
        <v>46121</v>
      </c>
      <c r="C25" s="7">
        <v>46127</v>
      </c>
      <c r="D25" s="27">
        <v>3271</v>
      </c>
      <c r="E25" s="27">
        <v>336</v>
      </c>
      <c r="F25" s="27">
        <v>4</v>
      </c>
      <c r="G25" s="27">
        <v>4</v>
      </c>
      <c r="H25" s="27">
        <v>4953</v>
      </c>
      <c r="I25" s="27" t="s">
        <v>543</v>
      </c>
      <c r="J25" s="27">
        <v>59325587</v>
      </c>
      <c r="K25" s="27" t="s">
        <v>3344</v>
      </c>
      <c r="L25" s="27" t="s">
        <v>3350</v>
      </c>
      <c r="M25" s="27">
        <v>99900</v>
      </c>
      <c r="N25" s="15" t="s">
        <v>19</v>
      </c>
      <c r="O25" s="15" t="s">
        <v>3516</v>
      </c>
      <c r="P25" s="15" t="s">
        <v>19</v>
      </c>
    </row>
    <row r="26" spans="1:16" x14ac:dyDescent="0.25">
      <c r="A26" s="27" t="s">
        <v>3517</v>
      </c>
      <c r="B26" s="7">
        <v>46121</v>
      </c>
      <c r="C26" s="7">
        <v>46127</v>
      </c>
      <c r="D26" s="27">
        <v>3271</v>
      </c>
      <c r="E26" s="27">
        <v>336</v>
      </c>
      <c r="F26" s="27">
        <v>4</v>
      </c>
      <c r="G26" s="27">
        <v>4</v>
      </c>
      <c r="H26" s="27">
        <v>4953</v>
      </c>
      <c r="I26" s="27" t="s">
        <v>543</v>
      </c>
      <c r="J26" s="27">
        <v>59325596</v>
      </c>
      <c r="K26" s="27" t="s">
        <v>3351</v>
      </c>
      <c r="L26" s="27" t="s">
        <v>3352</v>
      </c>
      <c r="M26" s="27">
        <v>99900</v>
      </c>
      <c r="N26" s="15" t="s">
        <v>19</v>
      </c>
      <c r="O26" s="15" t="s">
        <v>3516</v>
      </c>
      <c r="P26" s="15" t="s">
        <v>19</v>
      </c>
    </row>
    <row r="27" spans="1:16" x14ac:dyDescent="0.25">
      <c r="A27" s="27" t="s">
        <v>3517</v>
      </c>
      <c r="B27" s="7">
        <v>46121</v>
      </c>
      <c r="C27" s="7">
        <v>46127</v>
      </c>
      <c r="D27" s="27">
        <v>3271</v>
      </c>
      <c r="E27" s="27">
        <v>336</v>
      </c>
      <c r="F27" s="27">
        <v>4</v>
      </c>
      <c r="G27" s="27">
        <v>4</v>
      </c>
      <c r="H27" s="27">
        <v>4953</v>
      </c>
      <c r="I27" s="27" t="s">
        <v>543</v>
      </c>
      <c r="J27" s="27">
        <v>59325603</v>
      </c>
      <c r="K27" s="27" t="s">
        <v>3351</v>
      </c>
      <c r="L27" s="27" t="s">
        <v>3353</v>
      </c>
      <c r="M27" s="27">
        <v>99900</v>
      </c>
      <c r="N27" s="15" t="s">
        <v>19</v>
      </c>
      <c r="O27" s="15" t="s">
        <v>3516</v>
      </c>
      <c r="P27" s="15" t="s">
        <v>19</v>
      </c>
    </row>
    <row r="28" spans="1:16" x14ac:dyDescent="0.25">
      <c r="A28" s="27" t="s">
        <v>3517</v>
      </c>
      <c r="B28" s="7">
        <v>46121</v>
      </c>
      <c r="C28" s="7">
        <v>46127</v>
      </c>
      <c r="D28" s="27">
        <v>3271</v>
      </c>
      <c r="E28" s="27">
        <v>336</v>
      </c>
      <c r="F28" s="27">
        <v>4</v>
      </c>
      <c r="G28" s="27">
        <v>4</v>
      </c>
      <c r="H28" s="27">
        <v>4953</v>
      </c>
      <c r="I28" s="27" t="s">
        <v>543</v>
      </c>
      <c r="J28" s="27">
        <v>59325612</v>
      </c>
      <c r="K28" s="27" t="s">
        <v>3351</v>
      </c>
      <c r="L28" s="27" t="s">
        <v>3354</v>
      </c>
      <c r="M28" s="27">
        <v>99900</v>
      </c>
      <c r="N28" s="15" t="s">
        <v>19</v>
      </c>
      <c r="O28" s="15" t="s">
        <v>3516</v>
      </c>
      <c r="P28" s="15" t="s">
        <v>19</v>
      </c>
    </row>
    <row r="29" spans="1:16" x14ac:dyDescent="0.25">
      <c r="A29" s="27" t="s">
        <v>3517</v>
      </c>
      <c r="B29" s="7">
        <v>46121</v>
      </c>
      <c r="C29" s="7">
        <v>46127</v>
      </c>
      <c r="D29" s="27">
        <v>3271</v>
      </c>
      <c r="E29" s="27">
        <v>336</v>
      </c>
      <c r="F29" s="27">
        <v>4</v>
      </c>
      <c r="G29" s="27">
        <v>4</v>
      </c>
      <c r="H29" s="27">
        <v>4953</v>
      </c>
      <c r="I29" s="27" t="s">
        <v>543</v>
      </c>
      <c r="J29" s="27">
        <v>59325621</v>
      </c>
      <c r="K29" s="27" t="s">
        <v>3351</v>
      </c>
      <c r="L29" s="27" t="s">
        <v>3355</v>
      </c>
      <c r="M29" s="27">
        <v>99900</v>
      </c>
      <c r="N29" s="15" t="s">
        <v>19</v>
      </c>
      <c r="O29" s="15" t="s">
        <v>3516</v>
      </c>
      <c r="P29" s="15" t="s">
        <v>19</v>
      </c>
    </row>
    <row r="30" spans="1:16" x14ac:dyDescent="0.25">
      <c r="A30" s="27" t="s">
        <v>3517</v>
      </c>
      <c r="B30" s="7">
        <v>46121</v>
      </c>
      <c r="C30" s="7">
        <v>46127</v>
      </c>
      <c r="D30" s="27">
        <v>3271</v>
      </c>
      <c r="E30" s="27">
        <v>336</v>
      </c>
      <c r="F30" s="27">
        <v>4</v>
      </c>
      <c r="G30" s="27">
        <v>4</v>
      </c>
      <c r="H30" s="27">
        <v>4953</v>
      </c>
      <c r="I30" s="27" t="s">
        <v>543</v>
      </c>
      <c r="J30" s="27">
        <v>59325630</v>
      </c>
      <c r="K30" s="27" t="s">
        <v>3351</v>
      </c>
      <c r="L30" s="27" t="s">
        <v>3356</v>
      </c>
      <c r="M30" s="27">
        <v>99900</v>
      </c>
      <c r="N30" s="15" t="s">
        <v>19</v>
      </c>
      <c r="O30" s="15" t="s">
        <v>3516</v>
      </c>
      <c r="P30" s="15" t="s">
        <v>19</v>
      </c>
    </row>
    <row r="31" spans="1:16" x14ac:dyDescent="0.25">
      <c r="A31" s="27" t="s">
        <v>3517</v>
      </c>
      <c r="B31" s="7">
        <v>46121</v>
      </c>
      <c r="C31" s="7">
        <v>46127</v>
      </c>
      <c r="D31" s="27">
        <v>3271</v>
      </c>
      <c r="E31" s="27">
        <v>336</v>
      </c>
      <c r="F31" s="27">
        <v>4</v>
      </c>
      <c r="G31" s="27">
        <v>4</v>
      </c>
      <c r="H31" s="27">
        <v>4953</v>
      </c>
      <c r="I31" s="27" t="s">
        <v>543</v>
      </c>
      <c r="J31" s="27">
        <v>59325649</v>
      </c>
      <c r="K31" s="27" t="s">
        <v>3351</v>
      </c>
      <c r="L31" s="27" t="s">
        <v>3357</v>
      </c>
      <c r="M31" s="27">
        <v>99900</v>
      </c>
      <c r="N31" s="15" t="s">
        <v>19</v>
      </c>
      <c r="O31" s="15" t="s">
        <v>3516</v>
      </c>
      <c r="P31" s="15" t="s">
        <v>19</v>
      </c>
    </row>
    <row r="32" spans="1:16" x14ac:dyDescent="0.25">
      <c r="A32" s="27" t="s">
        <v>3517</v>
      </c>
      <c r="B32" s="7">
        <v>46121</v>
      </c>
      <c r="C32" s="7">
        <v>46127</v>
      </c>
      <c r="D32" s="27">
        <v>3271</v>
      </c>
      <c r="E32" s="27">
        <v>336</v>
      </c>
      <c r="F32" s="27">
        <v>4</v>
      </c>
      <c r="G32" s="27">
        <v>4</v>
      </c>
      <c r="H32" s="27">
        <v>4953</v>
      </c>
      <c r="I32" s="27" t="s">
        <v>543</v>
      </c>
      <c r="J32" s="27">
        <v>61500276</v>
      </c>
      <c r="K32" s="27" t="s">
        <v>3358</v>
      </c>
      <c r="L32" s="27" t="s">
        <v>3359</v>
      </c>
      <c r="M32" s="27">
        <v>129900</v>
      </c>
      <c r="N32" s="15" t="s">
        <v>19</v>
      </c>
      <c r="O32" s="15" t="s">
        <v>3516</v>
      </c>
      <c r="P32" s="15" t="s">
        <v>19</v>
      </c>
    </row>
    <row r="33" spans="1:16" x14ac:dyDescent="0.25">
      <c r="A33" s="27" t="s">
        <v>3517</v>
      </c>
      <c r="B33" s="7">
        <v>46121</v>
      </c>
      <c r="C33" s="7">
        <v>46127</v>
      </c>
      <c r="D33" s="27">
        <v>3271</v>
      </c>
      <c r="E33" s="27">
        <v>336</v>
      </c>
      <c r="F33" s="27">
        <v>4</v>
      </c>
      <c r="G33" s="27">
        <v>4</v>
      </c>
      <c r="H33" s="27">
        <v>4953</v>
      </c>
      <c r="I33" s="27" t="s">
        <v>543</v>
      </c>
      <c r="J33" s="27">
        <v>61500285</v>
      </c>
      <c r="K33" s="27" t="s">
        <v>3358</v>
      </c>
      <c r="L33" s="27" t="s">
        <v>3360</v>
      </c>
      <c r="M33" s="27">
        <v>129900</v>
      </c>
      <c r="N33" s="15" t="s">
        <v>19</v>
      </c>
      <c r="O33" s="15" t="s">
        <v>3516</v>
      </c>
      <c r="P33" s="15" t="s">
        <v>19</v>
      </c>
    </row>
    <row r="34" spans="1:16" x14ac:dyDescent="0.25">
      <c r="A34" s="27" t="s">
        <v>3517</v>
      </c>
      <c r="B34" s="7">
        <v>46121</v>
      </c>
      <c r="C34" s="7">
        <v>46127</v>
      </c>
      <c r="D34" s="27">
        <v>3271</v>
      </c>
      <c r="E34" s="27">
        <v>336</v>
      </c>
      <c r="F34" s="27">
        <v>4</v>
      </c>
      <c r="G34" s="27">
        <v>4</v>
      </c>
      <c r="H34" s="27">
        <v>4953</v>
      </c>
      <c r="I34" s="27" t="s">
        <v>543</v>
      </c>
      <c r="J34" s="27">
        <v>61500294</v>
      </c>
      <c r="K34" s="27" t="s">
        <v>3358</v>
      </c>
      <c r="L34" s="27" t="s">
        <v>3361</v>
      </c>
      <c r="M34" s="27">
        <v>129900</v>
      </c>
      <c r="N34" s="15" t="s">
        <v>19</v>
      </c>
      <c r="O34" s="15" t="s">
        <v>3516</v>
      </c>
      <c r="P34" s="15" t="s">
        <v>19</v>
      </c>
    </row>
    <row r="35" spans="1:16" x14ac:dyDescent="0.25">
      <c r="A35" s="27" t="s">
        <v>3517</v>
      </c>
      <c r="B35" s="7">
        <v>46121</v>
      </c>
      <c r="C35" s="7">
        <v>46127</v>
      </c>
      <c r="D35" s="27">
        <v>3271</v>
      </c>
      <c r="E35" s="27">
        <v>336</v>
      </c>
      <c r="F35" s="27">
        <v>4</v>
      </c>
      <c r="G35" s="27">
        <v>4</v>
      </c>
      <c r="H35" s="27">
        <v>4953</v>
      </c>
      <c r="I35" s="27" t="s">
        <v>543</v>
      </c>
      <c r="J35" s="27">
        <v>61500301</v>
      </c>
      <c r="K35" s="27" t="s">
        <v>3358</v>
      </c>
      <c r="L35" s="27" t="s">
        <v>3362</v>
      </c>
      <c r="M35" s="27">
        <v>129900</v>
      </c>
      <c r="N35" s="15" t="s">
        <v>19</v>
      </c>
      <c r="O35" s="15" t="s">
        <v>3516</v>
      </c>
      <c r="P35" s="15" t="s">
        <v>19</v>
      </c>
    </row>
    <row r="36" spans="1:16" x14ac:dyDescent="0.25">
      <c r="A36" s="27" t="s">
        <v>3517</v>
      </c>
      <c r="B36" s="7">
        <v>46121</v>
      </c>
      <c r="C36" s="7">
        <v>46127</v>
      </c>
      <c r="D36" s="27">
        <v>3271</v>
      </c>
      <c r="E36" s="27">
        <v>336</v>
      </c>
      <c r="F36" s="27">
        <v>4</v>
      </c>
      <c r="G36" s="27">
        <v>4</v>
      </c>
      <c r="H36" s="27">
        <v>4953</v>
      </c>
      <c r="I36" s="27" t="s">
        <v>543</v>
      </c>
      <c r="J36" s="27">
        <v>61500310</v>
      </c>
      <c r="K36" s="27" t="s">
        <v>3358</v>
      </c>
      <c r="L36" s="27" t="s">
        <v>3363</v>
      </c>
      <c r="M36" s="27">
        <v>129900</v>
      </c>
      <c r="N36" s="15" t="s">
        <v>19</v>
      </c>
      <c r="O36" s="15" t="s">
        <v>3516</v>
      </c>
      <c r="P36" s="15" t="s">
        <v>19</v>
      </c>
    </row>
    <row r="37" spans="1:16" x14ac:dyDescent="0.25">
      <c r="A37" s="27" t="s">
        <v>3517</v>
      </c>
      <c r="B37" s="7">
        <v>46121</v>
      </c>
      <c r="C37" s="7">
        <v>46127</v>
      </c>
      <c r="D37" s="27">
        <v>3271</v>
      </c>
      <c r="E37" s="27">
        <v>336</v>
      </c>
      <c r="F37" s="27">
        <v>4</v>
      </c>
      <c r="G37" s="27">
        <v>4</v>
      </c>
      <c r="H37" s="27">
        <v>4953</v>
      </c>
      <c r="I37" s="27" t="s">
        <v>543</v>
      </c>
      <c r="J37" s="27">
        <v>61500329</v>
      </c>
      <c r="K37" s="27" t="s">
        <v>3358</v>
      </c>
      <c r="L37" s="27" t="s">
        <v>3364</v>
      </c>
      <c r="M37" s="27">
        <v>129900</v>
      </c>
      <c r="N37" s="15" t="s">
        <v>19</v>
      </c>
      <c r="O37" s="15" t="s">
        <v>3516</v>
      </c>
      <c r="P37" s="15" t="s">
        <v>19</v>
      </c>
    </row>
    <row r="38" spans="1:16" x14ac:dyDescent="0.25">
      <c r="A38" s="27" t="s">
        <v>3517</v>
      </c>
      <c r="B38" s="7">
        <v>46121</v>
      </c>
      <c r="C38" s="7">
        <v>46127</v>
      </c>
      <c r="D38" s="27">
        <v>3271</v>
      </c>
      <c r="E38" s="27">
        <v>336</v>
      </c>
      <c r="F38" s="27">
        <v>4</v>
      </c>
      <c r="G38" s="27">
        <v>4</v>
      </c>
      <c r="H38" s="27">
        <v>4953</v>
      </c>
      <c r="I38" s="27" t="s">
        <v>543</v>
      </c>
      <c r="J38" s="27">
        <v>67930292</v>
      </c>
      <c r="K38" s="27" t="s">
        <v>3365</v>
      </c>
      <c r="L38" s="27" t="s">
        <v>3366</v>
      </c>
      <c r="M38" s="27">
        <v>129900</v>
      </c>
      <c r="N38" s="15" t="s">
        <v>19</v>
      </c>
      <c r="O38" s="15" t="s">
        <v>3516</v>
      </c>
      <c r="P38" s="15" t="s">
        <v>19</v>
      </c>
    </row>
    <row r="39" spans="1:16" x14ac:dyDescent="0.25">
      <c r="A39" s="27" t="s">
        <v>3517</v>
      </c>
      <c r="B39" s="7">
        <v>46121</v>
      </c>
      <c r="C39" s="7">
        <v>46127</v>
      </c>
      <c r="D39" s="27">
        <v>3271</v>
      </c>
      <c r="E39" s="27">
        <v>336</v>
      </c>
      <c r="F39" s="27">
        <v>4</v>
      </c>
      <c r="G39" s="27">
        <v>4</v>
      </c>
      <c r="H39" s="27">
        <v>4953</v>
      </c>
      <c r="I39" s="27" t="s">
        <v>543</v>
      </c>
      <c r="J39" s="27">
        <v>67930309</v>
      </c>
      <c r="K39" s="27" t="s">
        <v>3365</v>
      </c>
      <c r="L39" s="27" t="s">
        <v>3367</v>
      </c>
      <c r="M39" s="27">
        <v>129900</v>
      </c>
      <c r="N39" s="15" t="s">
        <v>19</v>
      </c>
      <c r="O39" s="15" t="s">
        <v>3516</v>
      </c>
      <c r="P39" s="15" t="s">
        <v>19</v>
      </c>
    </row>
    <row r="40" spans="1:16" x14ac:dyDescent="0.25">
      <c r="A40" s="27" t="s">
        <v>3517</v>
      </c>
      <c r="B40" s="7">
        <v>46121</v>
      </c>
      <c r="C40" s="7">
        <v>46127</v>
      </c>
      <c r="D40" s="27">
        <v>3271</v>
      </c>
      <c r="E40" s="27">
        <v>336</v>
      </c>
      <c r="F40" s="27">
        <v>4</v>
      </c>
      <c r="G40" s="27">
        <v>4</v>
      </c>
      <c r="H40" s="27">
        <v>4953</v>
      </c>
      <c r="I40" s="27" t="s">
        <v>543</v>
      </c>
      <c r="J40" s="27">
        <v>67930318</v>
      </c>
      <c r="K40" s="27" t="s">
        <v>3365</v>
      </c>
      <c r="L40" s="27" t="s">
        <v>3368</v>
      </c>
      <c r="M40" s="27">
        <v>129900</v>
      </c>
      <c r="N40" s="15" t="s">
        <v>19</v>
      </c>
      <c r="O40" s="15" t="s">
        <v>3516</v>
      </c>
      <c r="P40" s="15" t="s">
        <v>19</v>
      </c>
    </row>
    <row r="41" spans="1:16" x14ac:dyDescent="0.25">
      <c r="A41" s="27" t="s">
        <v>3517</v>
      </c>
      <c r="B41" s="7">
        <v>46121</v>
      </c>
      <c r="C41" s="7">
        <v>46127</v>
      </c>
      <c r="D41" s="27">
        <v>3271</v>
      </c>
      <c r="E41" s="27">
        <v>336</v>
      </c>
      <c r="F41" s="27">
        <v>4</v>
      </c>
      <c r="G41" s="27">
        <v>4</v>
      </c>
      <c r="H41" s="27">
        <v>4953</v>
      </c>
      <c r="I41" s="27" t="s">
        <v>543</v>
      </c>
      <c r="J41" s="27">
        <v>67930327</v>
      </c>
      <c r="K41" s="27" t="s">
        <v>3365</v>
      </c>
      <c r="L41" s="27" t="s">
        <v>3369</v>
      </c>
      <c r="M41" s="27">
        <v>129900</v>
      </c>
      <c r="N41" s="15" t="s">
        <v>19</v>
      </c>
      <c r="O41" s="15" t="s">
        <v>3516</v>
      </c>
      <c r="P41" s="15" t="s">
        <v>19</v>
      </c>
    </row>
    <row r="42" spans="1:16" x14ac:dyDescent="0.25">
      <c r="A42" s="27" t="s">
        <v>3517</v>
      </c>
      <c r="B42" s="7">
        <v>46121</v>
      </c>
      <c r="C42" s="7">
        <v>46127</v>
      </c>
      <c r="D42" s="27">
        <v>3271</v>
      </c>
      <c r="E42" s="27">
        <v>336</v>
      </c>
      <c r="F42" s="27">
        <v>4</v>
      </c>
      <c r="G42" s="27">
        <v>4</v>
      </c>
      <c r="H42" s="27">
        <v>4953</v>
      </c>
      <c r="I42" s="27" t="s">
        <v>543</v>
      </c>
      <c r="J42" s="27">
        <v>67930336</v>
      </c>
      <c r="K42" s="27" t="s">
        <v>3365</v>
      </c>
      <c r="L42" s="27" t="s">
        <v>3370</v>
      </c>
      <c r="M42" s="27">
        <v>129900</v>
      </c>
      <c r="N42" s="15" t="s">
        <v>19</v>
      </c>
      <c r="O42" s="15" t="s">
        <v>3516</v>
      </c>
      <c r="P42" s="15" t="s">
        <v>19</v>
      </c>
    </row>
    <row r="43" spans="1:16" x14ac:dyDescent="0.25">
      <c r="A43" s="27" t="s">
        <v>3517</v>
      </c>
      <c r="B43" s="7">
        <v>46121</v>
      </c>
      <c r="C43" s="7">
        <v>46127</v>
      </c>
      <c r="D43" s="27">
        <v>3271</v>
      </c>
      <c r="E43" s="27">
        <v>336</v>
      </c>
      <c r="F43" s="27">
        <v>4</v>
      </c>
      <c r="G43" s="27">
        <v>4</v>
      </c>
      <c r="H43" s="27">
        <v>4953</v>
      </c>
      <c r="I43" s="27" t="s">
        <v>543</v>
      </c>
      <c r="J43" s="27">
        <v>67930345</v>
      </c>
      <c r="K43" s="27" t="s">
        <v>3365</v>
      </c>
      <c r="L43" s="27" t="s">
        <v>3371</v>
      </c>
      <c r="M43" s="27">
        <v>129900</v>
      </c>
      <c r="N43" s="15" t="s">
        <v>19</v>
      </c>
      <c r="O43" s="15" t="s">
        <v>3516</v>
      </c>
      <c r="P43" s="15" t="s">
        <v>19</v>
      </c>
    </row>
    <row r="44" spans="1:16" x14ac:dyDescent="0.25">
      <c r="A44" s="27" t="s">
        <v>3517</v>
      </c>
      <c r="B44" s="7">
        <v>46121</v>
      </c>
      <c r="C44" s="7">
        <v>46127</v>
      </c>
      <c r="D44" s="27">
        <v>3271</v>
      </c>
      <c r="E44" s="27">
        <v>336</v>
      </c>
      <c r="F44" s="27">
        <v>4</v>
      </c>
      <c r="G44" s="27">
        <v>4</v>
      </c>
      <c r="H44" s="27">
        <v>4953</v>
      </c>
      <c r="I44" s="27" t="s">
        <v>543</v>
      </c>
      <c r="J44" s="27">
        <v>67930354</v>
      </c>
      <c r="K44" s="27" t="s">
        <v>3365</v>
      </c>
      <c r="L44" s="27" t="s">
        <v>3372</v>
      </c>
      <c r="M44" s="27">
        <v>129900</v>
      </c>
      <c r="N44" s="15" t="s">
        <v>19</v>
      </c>
      <c r="O44" s="15" t="s">
        <v>3516</v>
      </c>
      <c r="P44" s="15" t="s">
        <v>19</v>
      </c>
    </row>
    <row r="45" spans="1:16" x14ac:dyDescent="0.25">
      <c r="A45" s="27" t="s">
        <v>3517</v>
      </c>
      <c r="B45" s="7">
        <v>46121</v>
      </c>
      <c r="C45" s="7">
        <v>46127</v>
      </c>
      <c r="D45" s="27">
        <v>3271</v>
      </c>
      <c r="E45" s="27">
        <v>336</v>
      </c>
      <c r="F45" s="27">
        <v>4</v>
      </c>
      <c r="G45" s="27">
        <v>4</v>
      </c>
      <c r="H45" s="27">
        <v>4953</v>
      </c>
      <c r="I45" s="27" t="s">
        <v>543</v>
      </c>
      <c r="J45" s="27">
        <v>67930363</v>
      </c>
      <c r="K45" s="27" t="s">
        <v>3365</v>
      </c>
      <c r="L45" s="27" t="s">
        <v>3373</v>
      </c>
      <c r="M45" s="27">
        <v>129900</v>
      </c>
      <c r="N45" s="15" t="s">
        <v>19</v>
      </c>
      <c r="O45" s="15" t="s">
        <v>3516</v>
      </c>
      <c r="P45" s="15" t="s">
        <v>19</v>
      </c>
    </row>
    <row r="46" spans="1:16" x14ac:dyDescent="0.25">
      <c r="A46" s="27" t="s">
        <v>3517</v>
      </c>
      <c r="B46" s="7">
        <v>46121</v>
      </c>
      <c r="C46" s="7">
        <v>46127</v>
      </c>
      <c r="D46" s="27">
        <v>3271</v>
      </c>
      <c r="E46" s="27">
        <v>336</v>
      </c>
      <c r="F46" s="27">
        <v>4</v>
      </c>
      <c r="G46" s="27">
        <v>4</v>
      </c>
      <c r="H46" s="27">
        <v>4953</v>
      </c>
      <c r="I46" s="27" t="s">
        <v>543</v>
      </c>
      <c r="J46" s="27">
        <v>67930372</v>
      </c>
      <c r="K46" s="27" t="s">
        <v>3365</v>
      </c>
      <c r="L46" s="27" t="s">
        <v>3374</v>
      </c>
      <c r="M46" s="27">
        <v>129900</v>
      </c>
      <c r="N46" s="15" t="s">
        <v>19</v>
      </c>
      <c r="O46" s="15" t="s">
        <v>3516</v>
      </c>
      <c r="P46" s="15" t="s">
        <v>19</v>
      </c>
    </row>
    <row r="47" spans="1:16" x14ac:dyDescent="0.25">
      <c r="A47" s="27" t="s">
        <v>3517</v>
      </c>
      <c r="B47" s="7">
        <v>46121</v>
      </c>
      <c r="C47" s="7">
        <v>46127</v>
      </c>
      <c r="D47" s="27">
        <v>3271</v>
      </c>
      <c r="E47" s="27">
        <v>336</v>
      </c>
      <c r="F47" s="27">
        <v>4</v>
      </c>
      <c r="G47" s="27">
        <v>4</v>
      </c>
      <c r="H47" s="27">
        <v>4953</v>
      </c>
      <c r="I47" s="27" t="s">
        <v>543</v>
      </c>
      <c r="J47" s="27">
        <v>67930381</v>
      </c>
      <c r="K47" s="27" t="s">
        <v>3365</v>
      </c>
      <c r="L47" s="27" t="s">
        <v>3375</v>
      </c>
      <c r="M47" s="27">
        <v>129900</v>
      </c>
      <c r="N47" s="15" t="s">
        <v>19</v>
      </c>
      <c r="O47" s="15" t="s">
        <v>3516</v>
      </c>
      <c r="P47" s="15" t="s">
        <v>19</v>
      </c>
    </row>
    <row r="48" spans="1:16" x14ac:dyDescent="0.25">
      <c r="A48" s="27" t="s">
        <v>3517</v>
      </c>
      <c r="B48" s="7">
        <v>46121</v>
      </c>
      <c r="C48" s="7">
        <v>46127</v>
      </c>
      <c r="D48" s="27">
        <v>3271</v>
      </c>
      <c r="E48" s="27">
        <v>336</v>
      </c>
      <c r="F48" s="27">
        <v>4</v>
      </c>
      <c r="G48" s="27">
        <v>4</v>
      </c>
      <c r="H48" s="27">
        <v>4953</v>
      </c>
      <c r="I48" s="27" t="s">
        <v>543</v>
      </c>
      <c r="J48" s="27">
        <v>67930390</v>
      </c>
      <c r="K48" s="27" t="s">
        <v>3365</v>
      </c>
      <c r="L48" s="27" t="s">
        <v>3376</v>
      </c>
      <c r="M48" s="27">
        <v>129900</v>
      </c>
      <c r="N48" s="15" t="s">
        <v>19</v>
      </c>
      <c r="O48" s="15" t="s">
        <v>3516</v>
      </c>
      <c r="P48" s="15" t="s">
        <v>19</v>
      </c>
    </row>
    <row r="49" spans="1:16" x14ac:dyDescent="0.25">
      <c r="A49" s="27" t="s">
        <v>3517</v>
      </c>
      <c r="B49" s="7">
        <v>46121</v>
      </c>
      <c r="C49" s="7">
        <v>46127</v>
      </c>
      <c r="D49" s="27">
        <v>3271</v>
      </c>
      <c r="E49" s="27">
        <v>336</v>
      </c>
      <c r="F49" s="27">
        <v>4</v>
      </c>
      <c r="G49" s="27">
        <v>4</v>
      </c>
      <c r="H49" s="27">
        <v>4953</v>
      </c>
      <c r="I49" s="27" t="s">
        <v>543</v>
      </c>
      <c r="J49" s="27">
        <v>67930407</v>
      </c>
      <c r="K49" s="27" t="s">
        <v>3365</v>
      </c>
      <c r="L49" s="27" t="s">
        <v>3377</v>
      </c>
      <c r="M49" s="27">
        <v>129900</v>
      </c>
      <c r="N49" s="15" t="s">
        <v>19</v>
      </c>
      <c r="O49" s="15" t="s">
        <v>3516</v>
      </c>
      <c r="P49" s="15" t="s">
        <v>19</v>
      </c>
    </row>
    <row r="50" spans="1:16" x14ac:dyDescent="0.25">
      <c r="A50" s="27" t="s">
        <v>3517</v>
      </c>
      <c r="B50" s="7">
        <v>46121</v>
      </c>
      <c r="C50" s="7">
        <v>46127</v>
      </c>
      <c r="D50" s="27">
        <v>3271</v>
      </c>
      <c r="E50" s="27">
        <v>336</v>
      </c>
      <c r="F50" s="27">
        <v>4</v>
      </c>
      <c r="G50" s="27">
        <v>4</v>
      </c>
      <c r="H50" s="27">
        <v>80957</v>
      </c>
      <c r="I50" s="27" t="s">
        <v>543</v>
      </c>
      <c r="J50" s="27">
        <v>67930416</v>
      </c>
      <c r="K50" s="27" t="s">
        <v>3378</v>
      </c>
      <c r="L50" s="27" t="s">
        <v>3379</v>
      </c>
      <c r="M50" s="27">
        <v>99900</v>
      </c>
      <c r="N50" s="15" t="s">
        <v>19</v>
      </c>
      <c r="O50" s="15" t="s">
        <v>3516</v>
      </c>
      <c r="P50" s="15" t="s">
        <v>19</v>
      </c>
    </row>
    <row r="51" spans="1:16" x14ac:dyDescent="0.25">
      <c r="A51" s="27" t="s">
        <v>3517</v>
      </c>
      <c r="B51" s="7">
        <v>46121</v>
      </c>
      <c r="C51" s="7">
        <v>46127</v>
      </c>
      <c r="D51" s="27">
        <v>3271</v>
      </c>
      <c r="E51" s="27">
        <v>336</v>
      </c>
      <c r="F51" s="27">
        <v>4</v>
      </c>
      <c r="G51" s="27">
        <v>4</v>
      </c>
      <c r="H51" s="27">
        <v>80957</v>
      </c>
      <c r="I51" s="27" t="s">
        <v>543</v>
      </c>
      <c r="J51" s="27">
        <v>67930425</v>
      </c>
      <c r="K51" s="27" t="s">
        <v>3378</v>
      </c>
      <c r="L51" s="27" t="s">
        <v>3380</v>
      </c>
      <c r="M51" s="27">
        <v>99900</v>
      </c>
      <c r="N51" s="15" t="s">
        <v>19</v>
      </c>
      <c r="O51" s="15" t="s">
        <v>3516</v>
      </c>
      <c r="P51" s="15" t="s">
        <v>19</v>
      </c>
    </row>
    <row r="52" spans="1:16" x14ac:dyDescent="0.25">
      <c r="A52" s="27" t="s">
        <v>3517</v>
      </c>
      <c r="B52" s="7">
        <v>46121</v>
      </c>
      <c r="C52" s="7">
        <v>46127</v>
      </c>
      <c r="D52" s="27">
        <v>3271</v>
      </c>
      <c r="E52" s="27">
        <v>336</v>
      </c>
      <c r="F52" s="27">
        <v>4</v>
      </c>
      <c r="G52" s="27">
        <v>4</v>
      </c>
      <c r="H52" s="27">
        <v>80957</v>
      </c>
      <c r="I52" s="27" t="s">
        <v>543</v>
      </c>
      <c r="J52" s="27">
        <v>67930434</v>
      </c>
      <c r="K52" s="27" t="s">
        <v>3378</v>
      </c>
      <c r="L52" s="27" t="s">
        <v>3381</v>
      </c>
      <c r="M52" s="27">
        <v>99900</v>
      </c>
      <c r="N52" s="15" t="s">
        <v>19</v>
      </c>
      <c r="O52" s="15" t="s">
        <v>3516</v>
      </c>
      <c r="P52" s="15" t="s">
        <v>19</v>
      </c>
    </row>
    <row r="53" spans="1:16" x14ac:dyDescent="0.25">
      <c r="A53" s="27" t="s">
        <v>3517</v>
      </c>
      <c r="B53" s="7">
        <v>46121</v>
      </c>
      <c r="C53" s="7">
        <v>46127</v>
      </c>
      <c r="D53" s="27">
        <v>3271</v>
      </c>
      <c r="E53" s="27">
        <v>336</v>
      </c>
      <c r="F53" s="27">
        <v>4</v>
      </c>
      <c r="G53" s="27">
        <v>4</v>
      </c>
      <c r="H53" s="27">
        <v>80957</v>
      </c>
      <c r="I53" s="27" t="s">
        <v>543</v>
      </c>
      <c r="J53" s="27">
        <v>67930443</v>
      </c>
      <c r="K53" s="27" t="s">
        <v>3378</v>
      </c>
      <c r="L53" s="27" t="s">
        <v>3382</v>
      </c>
      <c r="M53" s="27">
        <v>99900</v>
      </c>
      <c r="N53" s="15" t="s">
        <v>19</v>
      </c>
      <c r="O53" s="15" t="s">
        <v>3516</v>
      </c>
      <c r="P53" s="15" t="s">
        <v>19</v>
      </c>
    </row>
    <row r="54" spans="1:16" x14ac:dyDescent="0.25">
      <c r="A54" s="27" t="s">
        <v>3517</v>
      </c>
      <c r="B54" s="7">
        <v>46121</v>
      </c>
      <c r="C54" s="7">
        <v>46127</v>
      </c>
      <c r="D54" s="27">
        <v>3271</v>
      </c>
      <c r="E54" s="27">
        <v>336</v>
      </c>
      <c r="F54" s="27">
        <v>4</v>
      </c>
      <c r="G54" s="27">
        <v>4</v>
      </c>
      <c r="H54" s="27">
        <v>80957</v>
      </c>
      <c r="I54" s="27" t="s">
        <v>543</v>
      </c>
      <c r="J54" s="27">
        <v>67930452</v>
      </c>
      <c r="K54" s="27" t="s">
        <v>3378</v>
      </c>
      <c r="L54" s="27" t="s">
        <v>3383</v>
      </c>
      <c r="M54" s="27">
        <v>99900</v>
      </c>
      <c r="N54" s="15" t="s">
        <v>19</v>
      </c>
      <c r="O54" s="15" t="s">
        <v>3516</v>
      </c>
      <c r="P54" s="15" t="s">
        <v>19</v>
      </c>
    </row>
    <row r="55" spans="1:16" x14ac:dyDescent="0.25">
      <c r="A55" s="27" t="s">
        <v>3517</v>
      </c>
      <c r="B55" s="7">
        <v>46121</v>
      </c>
      <c r="C55" s="7">
        <v>46127</v>
      </c>
      <c r="D55" s="27">
        <v>3271</v>
      </c>
      <c r="E55" s="27">
        <v>336</v>
      </c>
      <c r="F55" s="27">
        <v>4</v>
      </c>
      <c r="G55" s="27">
        <v>4</v>
      </c>
      <c r="H55" s="27">
        <v>80957</v>
      </c>
      <c r="I55" s="27" t="s">
        <v>543</v>
      </c>
      <c r="J55" s="27">
        <v>67930461</v>
      </c>
      <c r="K55" s="27" t="s">
        <v>3378</v>
      </c>
      <c r="L55" s="27" t="s">
        <v>3384</v>
      </c>
      <c r="M55" s="27">
        <v>99900</v>
      </c>
      <c r="N55" s="15" t="s">
        <v>19</v>
      </c>
      <c r="O55" s="15" t="s">
        <v>3516</v>
      </c>
      <c r="P55" s="15" t="s">
        <v>19</v>
      </c>
    </row>
    <row r="56" spans="1:16" x14ac:dyDescent="0.25">
      <c r="A56" s="27" t="s">
        <v>3517</v>
      </c>
      <c r="B56" s="7">
        <v>46121</v>
      </c>
      <c r="C56" s="7">
        <v>46127</v>
      </c>
      <c r="D56" s="27">
        <v>3271</v>
      </c>
      <c r="E56" s="27">
        <v>336</v>
      </c>
      <c r="F56" s="27">
        <v>4</v>
      </c>
      <c r="G56" s="27">
        <v>4</v>
      </c>
      <c r="H56" s="27">
        <v>80957</v>
      </c>
      <c r="I56" s="27" t="s">
        <v>543</v>
      </c>
      <c r="J56" s="27">
        <v>67930470</v>
      </c>
      <c r="K56" s="27" t="s">
        <v>3378</v>
      </c>
      <c r="L56" s="27" t="s">
        <v>3385</v>
      </c>
      <c r="M56" s="27">
        <v>99900</v>
      </c>
      <c r="N56" s="15" t="s">
        <v>19</v>
      </c>
      <c r="O56" s="15" t="s">
        <v>3516</v>
      </c>
      <c r="P56" s="15" t="s">
        <v>19</v>
      </c>
    </row>
    <row r="57" spans="1:16" x14ac:dyDescent="0.25">
      <c r="A57" s="27" t="s">
        <v>3517</v>
      </c>
      <c r="B57" s="7">
        <v>46121</v>
      </c>
      <c r="C57" s="7">
        <v>46127</v>
      </c>
      <c r="D57" s="27">
        <v>3271</v>
      </c>
      <c r="E57" s="27">
        <v>336</v>
      </c>
      <c r="F57" s="27">
        <v>4</v>
      </c>
      <c r="G57" s="27">
        <v>4</v>
      </c>
      <c r="H57" s="27">
        <v>80957</v>
      </c>
      <c r="I57" s="27" t="s">
        <v>543</v>
      </c>
      <c r="J57" s="27">
        <v>67930489</v>
      </c>
      <c r="K57" s="27" t="s">
        <v>3378</v>
      </c>
      <c r="L57" s="27" t="s">
        <v>3386</v>
      </c>
      <c r="M57" s="27">
        <v>99900</v>
      </c>
      <c r="N57" s="15" t="s">
        <v>19</v>
      </c>
      <c r="O57" s="15" t="s">
        <v>3516</v>
      </c>
      <c r="P57" s="15" t="s">
        <v>19</v>
      </c>
    </row>
    <row r="58" spans="1:16" x14ac:dyDescent="0.25">
      <c r="A58" s="27" t="s">
        <v>3517</v>
      </c>
      <c r="B58" s="7">
        <v>46121</v>
      </c>
      <c r="C58" s="7">
        <v>46127</v>
      </c>
      <c r="D58" s="27">
        <v>3271</v>
      </c>
      <c r="E58" s="27">
        <v>336</v>
      </c>
      <c r="F58" s="27">
        <v>4</v>
      </c>
      <c r="G58" s="27">
        <v>4</v>
      </c>
      <c r="H58" s="27">
        <v>80957</v>
      </c>
      <c r="I58" s="27" t="s">
        <v>543</v>
      </c>
      <c r="J58" s="27">
        <v>67930498</v>
      </c>
      <c r="K58" s="27" t="s">
        <v>3378</v>
      </c>
      <c r="L58" s="27" t="s">
        <v>3387</v>
      </c>
      <c r="M58" s="27">
        <v>99900</v>
      </c>
      <c r="N58" s="15" t="s">
        <v>19</v>
      </c>
      <c r="O58" s="15" t="s">
        <v>3516</v>
      </c>
      <c r="P58" s="15" t="s">
        <v>19</v>
      </c>
    </row>
    <row r="59" spans="1:16" x14ac:dyDescent="0.25">
      <c r="A59" s="27" t="s">
        <v>3517</v>
      </c>
      <c r="B59" s="7">
        <v>46121</v>
      </c>
      <c r="C59" s="7">
        <v>46127</v>
      </c>
      <c r="D59" s="27">
        <v>3271</v>
      </c>
      <c r="E59" s="27">
        <v>336</v>
      </c>
      <c r="F59" s="27">
        <v>4</v>
      </c>
      <c r="G59" s="27">
        <v>4</v>
      </c>
      <c r="H59" s="27">
        <v>80957</v>
      </c>
      <c r="I59" s="27" t="s">
        <v>543</v>
      </c>
      <c r="J59" s="27">
        <v>67930505</v>
      </c>
      <c r="K59" s="27" t="s">
        <v>3378</v>
      </c>
      <c r="L59" s="27" t="s">
        <v>3388</v>
      </c>
      <c r="M59" s="27">
        <v>99900</v>
      </c>
      <c r="N59" s="15" t="s">
        <v>19</v>
      </c>
      <c r="O59" s="15" t="s">
        <v>3516</v>
      </c>
      <c r="P59" s="15" t="s">
        <v>19</v>
      </c>
    </row>
    <row r="60" spans="1:16" x14ac:dyDescent="0.25">
      <c r="A60" s="27" t="s">
        <v>3517</v>
      </c>
      <c r="B60" s="7">
        <v>46121</v>
      </c>
      <c r="C60" s="7">
        <v>46127</v>
      </c>
      <c r="D60" s="27">
        <v>3271</v>
      </c>
      <c r="E60" s="27">
        <v>336</v>
      </c>
      <c r="F60" s="27">
        <v>4</v>
      </c>
      <c r="G60" s="27">
        <v>4</v>
      </c>
      <c r="H60" s="27">
        <v>80957</v>
      </c>
      <c r="I60" s="27" t="s">
        <v>543</v>
      </c>
      <c r="J60" s="27">
        <v>67930514</v>
      </c>
      <c r="K60" s="27" t="s">
        <v>3378</v>
      </c>
      <c r="L60" s="27" t="s">
        <v>3389</v>
      </c>
      <c r="M60" s="27">
        <v>99900</v>
      </c>
      <c r="N60" s="15" t="s">
        <v>19</v>
      </c>
      <c r="O60" s="15" t="s">
        <v>3516</v>
      </c>
      <c r="P60" s="15" t="s">
        <v>19</v>
      </c>
    </row>
    <row r="61" spans="1:16" x14ac:dyDescent="0.25">
      <c r="A61" s="27" t="s">
        <v>3517</v>
      </c>
      <c r="B61" s="7">
        <v>46121</v>
      </c>
      <c r="C61" s="7">
        <v>46127</v>
      </c>
      <c r="D61" s="27">
        <v>3271</v>
      </c>
      <c r="E61" s="27">
        <v>336</v>
      </c>
      <c r="F61" s="27">
        <v>4</v>
      </c>
      <c r="G61" s="27">
        <v>4</v>
      </c>
      <c r="H61" s="27">
        <v>80957</v>
      </c>
      <c r="I61" s="27" t="s">
        <v>543</v>
      </c>
      <c r="J61" s="27">
        <v>67930523</v>
      </c>
      <c r="K61" s="27" t="s">
        <v>3378</v>
      </c>
      <c r="L61" s="27" t="s">
        <v>3390</v>
      </c>
      <c r="M61" s="27">
        <v>99900</v>
      </c>
      <c r="N61" s="15" t="s">
        <v>19</v>
      </c>
      <c r="O61" s="15" t="s">
        <v>3516</v>
      </c>
      <c r="P61" s="15" t="s">
        <v>19</v>
      </c>
    </row>
    <row r="62" spans="1:16" x14ac:dyDescent="0.25">
      <c r="A62" s="27" t="s">
        <v>3517</v>
      </c>
      <c r="B62" s="7">
        <v>46121</v>
      </c>
      <c r="C62" s="7">
        <v>46127</v>
      </c>
      <c r="D62" s="27">
        <v>3271</v>
      </c>
      <c r="E62" s="27">
        <v>336</v>
      </c>
      <c r="F62" s="27">
        <v>4</v>
      </c>
      <c r="G62" s="27">
        <v>4</v>
      </c>
      <c r="H62" s="27">
        <v>81662</v>
      </c>
      <c r="I62" s="27" t="s">
        <v>543</v>
      </c>
      <c r="J62" s="27">
        <v>61277465</v>
      </c>
      <c r="K62" s="27" t="s">
        <v>3391</v>
      </c>
      <c r="L62" s="27" t="s">
        <v>3392</v>
      </c>
      <c r="M62" s="27">
        <v>179900</v>
      </c>
      <c r="N62" s="15" t="s">
        <v>19</v>
      </c>
      <c r="O62" s="15" t="s">
        <v>3516</v>
      </c>
      <c r="P62" s="15" t="s">
        <v>19</v>
      </c>
    </row>
    <row r="63" spans="1:16" x14ac:dyDescent="0.25">
      <c r="A63" s="27" t="s">
        <v>3517</v>
      </c>
      <c r="B63" s="7">
        <v>46121</v>
      </c>
      <c r="C63" s="7">
        <v>46127</v>
      </c>
      <c r="D63" s="27">
        <v>3271</v>
      </c>
      <c r="E63" s="27">
        <v>336</v>
      </c>
      <c r="F63" s="27">
        <v>4</v>
      </c>
      <c r="G63" s="27">
        <v>4</v>
      </c>
      <c r="H63" s="27">
        <v>81662</v>
      </c>
      <c r="I63" s="27" t="s">
        <v>543</v>
      </c>
      <c r="J63" s="27">
        <v>61277474</v>
      </c>
      <c r="K63" s="27" t="s">
        <v>3391</v>
      </c>
      <c r="L63" s="27" t="s">
        <v>3393</v>
      </c>
      <c r="M63" s="27">
        <v>179900</v>
      </c>
      <c r="N63" s="15" t="s">
        <v>19</v>
      </c>
      <c r="O63" s="15" t="s">
        <v>3516</v>
      </c>
      <c r="P63" s="15" t="s">
        <v>19</v>
      </c>
    </row>
    <row r="64" spans="1:16" x14ac:dyDescent="0.25">
      <c r="A64" s="27" t="s">
        <v>3517</v>
      </c>
      <c r="B64" s="7">
        <v>46121</v>
      </c>
      <c r="C64" s="7">
        <v>46127</v>
      </c>
      <c r="D64" s="27">
        <v>3271</v>
      </c>
      <c r="E64" s="27">
        <v>336</v>
      </c>
      <c r="F64" s="27">
        <v>4</v>
      </c>
      <c r="G64" s="27">
        <v>4</v>
      </c>
      <c r="H64" s="27">
        <v>81662</v>
      </c>
      <c r="I64" s="27" t="s">
        <v>543</v>
      </c>
      <c r="J64" s="27">
        <v>61277483</v>
      </c>
      <c r="K64" s="27" t="s">
        <v>3391</v>
      </c>
      <c r="L64" s="27" t="s">
        <v>3394</v>
      </c>
      <c r="M64" s="27">
        <v>179900</v>
      </c>
      <c r="N64" s="15" t="s">
        <v>19</v>
      </c>
      <c r="O64" s="15" t="s">
        <v>3516</v>
      </c>
      <c r="P64" s="15" t="s">
        <v>19</v>
      </c>
    </row>
    <row r="65" spans="1:16" x14ac:dyDescent="0.25">
      <c r="A65" s="27" t="s">
        <v>3517</v>
      </c>
      <c r="B65" s="7">
        <v>46121</v>
      </c>
      <c r="C65" s="7">
        <v>46127</v>
      </c>
      <c r="D65" s="27">
        <v>3271</v>
      </c>
      <c r="E65" s="27">
        <v>336</v>
      </c>
      <c r="F65" s="27">
        <v>4</v>
      </c>
      <c r="G65" s="27">
        <v>4</v>
      </c>
      <c r="H65" s="27">
        <v>81662</v>
      </c>
      <c r="I65" s="27" t="s">
        <v>543</v>
      </c>
      <c r="J65" s="27">
        <v>61277492</v>
      </c>
      <c r="K65" s="27" t="s">
        <v>3391</v>
      </c>
      <c r="L65" s="27" t="s">
        <v>3395</v>
      </c>
      <c r="M65" s="27">
        <v>179900</v>
      </c>
      <c r="N65" s="15" t="s">
        <v>19</v>
      </c>
      <c r="O65" s="15" t="s">
        <v>3516</v>
      </c>
      <c r="P65" s="15" t="s">
        <v>19</v>
      </c>
    </row>
    <row r="66" spans="1:16" x14ac:dyDescent="0.25">
      <c r="A66" s="27" t="s">
        <v>3517</v>
      </c>
      <c r="B66" s="7">
        <v>46121</v>
      </c>
      <c r="C66" s="7">
        <v>46127</v>
      </c>
      <c r="D66" s="27">
        <v>3271</v>
      </c>
      <c r="E66" s="27">
        <v>336</v>
      </c>
      <c r="F66" s="27">
        <v>4</v>
      </c>
      <c r="G66" s="27">
        <v>4</v>
      </c>
      <c r="H66" s="27">
        <v>81662</v>
      </c>
      <c r="I66" s="27" t="s">
        <v>543</v>
      </c>
      <c r="J66" s="27">
        <v>61277509</v>
      </c>
      <c r="K66" s="27" t="s">
        <v>3391</v>
      </c>
      <c r="L66" s="27" t="s">
        <v>3396</v>
      </c>
      <c r="M66" s="27">
        <v>179900</v>
      </c>
      <c r="N66" s="15" t="s">
        <v>19</v>
      </c>
      <c r="O66" s="15" t="s">
        <v>3516</v>
      </c>
      <c r="P66" s="15" t="s">
        <v>19</v>
      </c>
    </row>
    <row r="67" spans="1:16" x14ac:dyDescent="0.25">
      <c r="A67" s="27" t="s">
        <v>3517</v>
      </c>
      <c r="B67" s="7">
        <v>46121</v>
      </c>
      <c r="C67" s="7">
        <v>46127</v>
      </c>
      <c r="D67" s="27">
        <v>3271</v>
      </c>
      <c r="E67" s="27">
        <v>336</v>
      </c>
      <c r="F67" s="27">
        <v>4</v>
      </c>
      <c r="G67" s="27">
        <v>4</v>
      </c>
      <c r="H67" s="27">
        <v>81662</v>
      </c>
      <c r="I67" s="27" t="s">
        <v>543</v>
      </c>
      <c r="J67" s="27">
        <v>61277518</v>
      </c>
      <c r="K67" s="27" t="s">
        <v>3391</v>
      </c>
      <c r="L67" s="27" t="s">
        <v>3397</v>
      </c>
      <c r="M67" s="27">
        <v>179900</v>
      </c>
      <c r="N67" s="15" t="s">
        <v>19</v>
      </c>
      <c r="O67" s="15" t="s">
        <v>3516</v>
      </c>
      <c r="P67" s="15" t="s">
        <v>19</v>
      </c>
    </row>
    <row r="68" spans="1:16" x14ac:dyDescent="0.25">
      <c r="A68" s="27" t="s">
        <v>3517</v>
      </c>
      <c r="B68" s="7">
        <v>46121</v>
      </c>
      <c r="C68" s="7">
        <v>46127</v>
      </c>
      <c r="D68" s="27">
        <v>3271</v>
      </c>
      <c r="E68" s="27">
        <v>336</v>
      </c>
      <c r="F68" s="27">
        <v>4</v>
      </c>
      <c r="G68" s="27">
        <v>4</v>
      </c>
      <c r="H68" s="27">
        <v>81662</v>
      </c>
      <c r="I68" s="27" t="s">
        <v>543</v>
      </c>
      <c r="J68" s="27">
        <v>61277527</v>
      </c>
      <c r="K68" s="27" t="s">
        <v>3391</v>
      </c>
      <c r="L68" s="27" t="s">
        <v>3398</v>
      </c>
      <c r="M68" s="27">
        <v>179900</v>
      </c>
      <c r="N68" s="15" t="s">
        <v>19</v>
      </c>
      <c r="O68" s="15" t="s">
        <v>3516</v>
      </c>
      <c r="P68" s="15" t="s">
        <v>19</v>
      </c>
    </row>
    <row r="69" spans="1:16" x14ac:dyDescent="0.25">
      <c r="A69" s="27" t="s">
        <v>3517</v>
      </c>
      <c r="B69" s="7">
        <v>46121</v>
      </c>
      <c r="C69" s="7">
        <v>46127</v>
      </c>
      <c r="D69" s="27">
        <v>3271</v>
      </c>
      <c r="E69" s="27">
        <v>336</v>
      </c>
      <c r="F69" s="27">
        <v>4</v>
      </c>
      <c r="G69" s="27">
        <v>4</v>
      </c>
      <c r="H69" s="27">
        <v>81662</v>
      </c>
      <c r="I69" s="27" t="s">
        <v>543</v>
      </c>
      <c r="J69" s="27">
        <v>61277536</v>
      </c>
      <c r="K69" s="27" t="s">
        <v>3391</v>
      </c>
      <c r="L69" s="27" t="s">
        <v>3399</v>
      </c>
      <c r="M69" s="27">
        <v>179900</v>
      </c>
      <c r="N69" s="15" t="s">
        <v>19</v>
      </c>
      <c r="O69" s="15" t="s">
        <v>3516</v>
      </c>
      <c r="P69" s="15" t="s">
        <v>19</v>
      </c>
    </row>
    <row r="70" spans="1:16" x14ac:dyDescent="0.25">
      <c r="A70" s="27" t="s">
        <v>3517</v>
      </c>
      <c r="B70" s="7">
        <v>46121</v>
      </c>
      <c r="C70" s="7">
        <v>46127</v>
      </c>
      <c r="D70" s="27">
        <v>3271</v>
      </c>
      <c r="E70" s="27">
        <v>336</v>
      </c>
      <c r="F70" s="27">
        <v>4</v>
      </c>
      <c r="G70" s="27">
        <v>4</v>
      </c>
      <c r="H70" s="27">
        <v>81662</v>
      </c>
      <c r="I70" s="27" t="s">
        <v>543</v>
      </c>
      <c r="J70" s="27">
        <v>61277545</v>
      </c>
      <c r="K70" s="27" t="s">
        <v>3391</v>
      </c>
      <c r="L70" s="27" t="s">
        <v>3400</v>
      </c>
      <c r="M70" s="27">
        <v>179900</v>
      </c>
      <c r="N70" s="15" t="s">
        <v>19</v>
      </c>
      <c r="O70" s="15" t="s">
        <v>3516</v>
      </c>
      <c r="P70" s="15" t="s">
        <v>19</v>
      </c>
    </row>
    <row r="71" spans="1:16" x14ac:dyDescent="0.25">
      <c r="A71" s="27" t="s">
        <v>3517</v>
      </c>
      <c r="B71" s="7">
        <v>46121</v>
      </c>
      <c r="C71" s="7">
        <v>46127</v>
      </c>
      <c r="D71" s="27">
        <v>3271</v>
      </c>
      <c r="E71" s="27">
        <v>336</v>
      </c>
      <c r="F71" s="27">
        <v>4</v>
      </c>
      <c r="G71" s="27">
        <v>4</v>
      </c>
      <c r="H71" s="27">
        <v>81662</v>
      </c>
      <c r="I71" s="27" t="s">
        <v>543</v>
      </c>
      <c r="J71" s="27">
        <v>61277554</v>
      </c>
      <c r="K71" s="27" t="s">
        <v>3391</v>
      </c>
      <c r="L71" s="27" t="s">
        <v>3401</v>
      </c>
      <c r="M71" s="27">
        <v>179900</v>
      </c>
      <c r="N71" s="15" t="s">
        <v>19</v>
      </c>
      <c r="O71" s="15" t="s">
        <v>3516</v>
      </c>
      <c r="P71" s="15" t="s">
        <v>19</v>
      </c>
    </row>
    <row r="72" spans="1:16" x14ac:dyDescent="0.25">
      <c r="A72" s="27" t="s">
        <v>3517</v>
      </c>
      <c r="B72" s="7">
        <v>46121</v>
      </c>
      <c r="C72" s="7">
        <v>46127</v>
      </c>
      <c r="D72" s="27">
        <v>3271</v>
      </c>
      <c r="E72" s="27">
        <v>336</v>
      </c>
      <c r="F72" s="27">
        <v>4</v>
      </c>
      <c r="G72" s="27">
        <v>4</v>
      </c>
      <c r="H72" s="27">
        <v>81662</v>
      </c>
      <c r="I72" s="27" t="s">
        <v>543</v>
      </c>
      <c r="J72" s="27">
        <v>61277563</v>
      </c>
      <c r="K72" s="27" t="s">
        <v>3391</v>
      </c>
      <c r="L72" s="27" t="s">
        <v>3402</v>
      </c>
      <c r="M72" s="27">
        <v>179900</v>
      </c>
      <c r="N72" s="15" t="s">
        <v>19</v>
      </c>
      <c r="O72" s="15" t="s">
        <v>3516</v>
      </c>
      <c r="P72" s="15" t="s">
        <v>19</v>
      </c>
    </row>
    <row r="73" spans="1:16" x14ac:dyDescent="0.25">
      <c r="A73" s="27" t="s">
        <v>3517</v>
      </c>
      <c r="B73" s="7">
        <v>46121</v>
      </c>
      <c r="C73" s="7">
        <v>46127</v>
      </c>
      <c r="D73" s="27">
        <v>3271</v>
      </c>
      <c r="E73" s="27">
        <v>336</v>
      </c>
      <c r="F73" s="27">
        <v>4</v>
      </c>
      <c r="G73" s="27">
        <v>4</v>
      </c>
      <c r="H73" s="27">
        <v>81662</v>
      </c>
      <c r="I73" s="27" t="s">
        <v>543</v>
      </c>
      <c r="J73" s="27">
        <v>61277572</v>
      </c>
      <c r="K73" s="27" t="s">
        <v>3391</v>
      </c>
      <c r="L73" s="27" t="s">
        <v>3403</v>
      </c>
      <c r="M73" s="27">
        <v>179900</v>
      </c>
      <c r="N73" s="15" t="s">
        <v>19</v>
      </c>
      <c r="O73" s="15" t="s">
        <v>3516</v>
      </c>
      <c r="P73" s="15" t="s">
        <v>19</v>
      </c>
    </row>
    <row r="74" spans="1:16" x14ac:dyDescent="0.25">
      <c r="A74" s="27" t="s">
        <v>3517</v>
      </c>
      <c r="B74" s="7">
        <v>46121</v>
      </c>
      <c r="C74" s="7">
        <v>46127</v>
      </c>
      <c r="D74" s="27">
        <v>3271</v>
      </c>
      <c r="E74" s="27">
        <v>336</v>
      </c>
      <c r="F74" s="27">
        <v>4</v>
      </c>
      <c r="G74" s="27">
        <v>4</v>
      </c>
      <c r="H74" s="27">
        <v>81662</v>
      </c>
      <c r="I74" s="27" t="s">
        <v>543</v>
      </c>
      <c r="J74" s="27">
        <v>63153380</v>
      </c>
      <c r="K74" s="27" t="s">
        <v>3404</v>
      </c>
      <c r="L74" s="27" t="s">
        <v>3405</v>
      </c>
      <c r="M74" s="27">
        <v>179900</v>
      </c>
      <c r="N74" s="15" t="s">
        <v>19</v>
      </c>
      <c r="O74" s="15" t="s">
        <v>3516</v>
      </c>
      <c r="P74" s="15" t="s">
        <v>19</v>
      </c>
    </row>
    <row r="75" spans="1:16" x14ac:dyDescent="0.25">
      <c r="A75" s="27" t="s">
        <v>3517</v>
      </c>
      <c r="B75" s="7">
        <v>46121</v>
      </c>
      <c r="C75" s="7">
        <v>46127</v>
      </c>
      <c r="D75" s="27">
        <v>3271</v>
      </c>
      <c r="E75" s="27">
        <v>336</v>
      </c>
      <c r="F75" s="27">
        <v>4</v>
      </c>
      <c r="G75" s="27">
        <v>4</v>
      </c>
      <c r="H75" s="27">
        <v>81662</v>
      </c>
      <c r="I75" s="27" t="s">
        <v>543</v>
      </c>
      <c r="J75" s="27">
        <v>63153399</v>
      </c>
      <c r="K75" s="27" t="s">
        <v>3404</v>
      </c>
      <c r="L75" s="27" t="s">
        <v>3406</v>
      </c>
      <c r="M75" s="27">
        <v>179900</v>
      </c>
      <c r="N75" s="15" t="s">
        <v>19</v>
      </c>
      <c r="O75" s="15" t="s">
        <v>3516</v>
      </c>
      <c r="P75" s="15" t="s">
        <v>19</v>
      </c>
    </row>
    <row r="76" spans="1:16" x14ac:dyDescent="0.25">
      <c r="A76" s="27" t="s">
        <v>3517</v>
      </c>
      <c r="B76" s="7">
        <v>46121</v>
      </c>
      <c r="C76" s="7">
        <v>46127</v>
      </c>
      <c r="D76" s="27">
        <v>3271</v>
      </c>
      <c r="E76" s="27">
        <v>336</v>
      </c>
      <c r="F76" s="27">
        <v>4</v>
      </c>
      <c r="G76" s="27">
        <v>4</v>
      </c>
      <c r="H76" s="27">
        <v>81662</v>
      </c>
      <c r="I76" s="27" t="s">
        <v>543</v>
      </c>
      <c r="J76" s="27">
        <v>63153406</v>
      </c>
      <c r="K76" s="27" t="s">
        <v>3404</v>
      </c>
      <c r="L76" s="27" t="s">
        <v>3407</v>
      </c>
      <c r="M76" s="27">
        <v>179900</v>
      </c>
      <c r="N76" s="15" t="s">
        <v>19</v>
      </c>
      <c r="O76" s="15" t="s">
        <v>3516</v>
      </c>
      <c r="P76" s="15" t="s">
        <v>19</v>
      </c>
    </row>
    <row r="77" spans="1:16" x14ac:dyDescent="0.25">
      <c r="A77" s="27" t="s">
        <v>3517</v>
      </c>
      <c r="B77" s="7">
        <v>46121</v>
      </c>
      <c r="C77" s="7">
        <v>46127</v>
      </c>
      <c r="D77" s="27">
        <v>3271</v>
      </c>
      <c r="E77" s="27">
        <v>336</v>
      </c>
      <c r="F77" s="27">
        <v>4</v>
      </c>
      <c r="G77" s="27">
        <v>4</v>
      </c>
      <c r="H77" s="27">
        <v>81662</v>
      </c>
      <c r="I77" s="27" t="s">
        <v>543</v>
      </c>
      <c r="J77" s="27">
        <v>63153415</v>
      </c>
      <c r="K77" s="27" t="s">
        <v>3404</v>
      </c>
      <c r="L77" s="27" t="s">
        <v>3408</v>
      </c>
      <c r="M77" s="27">
        <v>179900</v>
      </c>
      <c r="N77" s="15" t="s">
        <v>19</v>
      </c>
      <c r="O77" s="15" t="s">
        <v>3516</v>
      </c>
      <c r="P77" s="15" t="s">
        <v>19</v>
      </c>
    </row>
    <row r="78" spans="1:16" x14ac:dyDescent="0.25">
      <c r="A78" s="27" t="s">
        <v>3517</v>
      </c>
      <c r="B78" s="7">
        <v>46121</v>
      </c>
      <c r="C78" s="7">
        <v>46127</v>
      </c>
      <c r="D78" s="27">
        <v>3271</v>
      </c>
      <c r="E78" s="27">
        <v>336</v>
      </c>
      <c r="F78" s="27">
        <v>4</v>
      </c>
      <c r="G78" s="27">
        <v>4</v>
      </c>
      <c r="H78" s="27">
        <v>81662</v>
      </c>
      <c r="I78" s="27" t="s">
        <v>543</v>
      </c>
      <c r="J78" s="27">
        <v>63153424</v>
      </c>
      <c r="K78" s="27" t="s">
        <v>3404</v>
      </c>
      <c r="L78" s="27" t="s">
        <v>3409</v>
      </c>
      <c r="M78" s="27">
        <v>179900</v>
      </c>
      <c r="N78" s="15" t="s">
        <v>19</v>
      </c>
      <c r="O78" s="15" t="s">
        <v>3516</v>
      </c>
      <c r="P78" s="15" t="s">
        <v>19</v>
      </c>
    </row>
    <row r="79" spans="1:16" x14ac:dyDescent="0.25">
      <c r="A79" s="27" t="s">
        <v>3517</v>
      </c>
      <c r="B79" s="7">
        <v>46121</v>
      </c>
      <c r="C79" s="7">
        <v>46127</v>
      </c>
      <c r="D79" s="27">
        <v>3271</v>
      </c>
      <c r="E79" s="27">
        <v>336</v>
      </c>
      <c r="F79" s="27">
        <v>4</v>
      </c>
      <c r="G79" s="27">
        <v>4</v>
      </c>
      <c r="H79" s="27">
        <v>81662</v>
      </c>
      <c r="I79" s="27" t="s">
        <v>543</v>
      </c>
      <c r="J79" s="27">
        <v>63153433</v>
      </c>
      <c r="K79" s="27" t="s">
        <v>3404</v>
      </c>
      <c r="L79" s="27" t="s">
        <v>3410</v>
      </c>
      <c r="M79" s="27">
        <v>179900</v>
      </c>
      <c r="N79" s="15" t="s">
        <v>19</v>
      </c>
      <c r="O79" s="15" t="s">
        <v>3516</v>
      </c>
      <c r="P79" s="15" t="s">
        <v>19</v>
      </c>
    </row>
    <row r="80" spans="1:16" x14ac:dyDescent="0.25">
      <c r="A80" s="27" t="s">
        <v>3517</v>
      </c>
      <c r="B80" s="7">
        <v>46121</v>
      </c>
      <c r="C80" s="7">
        <v>46127</v>
      </c>
      <c r="D80" s="27">
        <v>3271</v>
      </c>
      <c r="E80" s="27">
        <v>336</v>
      </c>
      <c r="F80" s="27">
        <v>4</v>
      </c>
      <c r="G80" s="27">
        <v>4</v>
      </c>
      <c r="H80" s="27">
        <v>81662</v>
      </c>
      <c r="I80" s="27" t="s">
        <v>543</v>
      </c>
      <c r="J80" s="27">
        <v>69379779</v>
      </c>
      <c r="K80" s="27" t="s">
        <v>3411</v>
      </c>
      <c r="L80" s="27" t="s">
        <v>3412</v>
      </c>
      <c r="M80" s="27">
        <v>179900</v>
      </c>
      <c r="N80" s="15" t="s">
        <v>19</v>
      </c>
      <c r="O80" s="15" t="s">
        <v>3516</v>
      </c>
      <c r="P80" s="15" t="s">
        <v>19</v>
      </c>
    </row>
    <row r="81" spans="1:16" x14ac:dyDescent="0.25">
      <c r="A81" s="27" t="s">
        <v>3517</v>
      </c>
      <c r="B81" s="7">
        <v>46121</v>
      </c>
      <c r="C81" s="7">
        <v>46127</v>
      </c>
      <c r="D81" s="27">
        <v>3271</v>
      </c>
      <c r="E81" s="27">
        <v>336</v>
      </c>
      <c r="F81" s="27">
        <v>4</v>
      </c>
      <c r="G81" s="27">
        <v>4</v>
      </c>
      <c r="H81" s="27">
        <v>81662</v>
      </c>
      <c r="I81" s="27" t="s">
        <v>543</v>
      </c>
      <c r="J81" s="27">
        <v>69379788</v>
      </c>
      <c r="K81" s="27" t="s">
        <v>3411</v>
      </c>
      <c r="L81" s="27" t="s">
        <v>3413</v>
      </c>
      <c r="M81" s="27">
        <v>179900</v>
      </c>
      <c r="N81" s="15" t="s">
        <v>19</v>
      </c>
      <c r="O81" s="15" t="s">
        <v>3516</v>
      </c>
      <c r="P81" s="15" t="s">
        <v>19</v>
      </c>
    </row>
    <row r="82" spans="1:16" x14ac:dyDescent="0.25">
      <c r="A82" s="27" t="s">
        <v>3517</v>
      </c>
      <c r="B82" s="7">
        <v>46121</v>
      </c>
      <c r="C82" s="7">
        <v>46127</v>
      </c>
      <c r="D82" s="27">
        <v>3271</v>
      </c>
      <c r="E82" s="27">
        <v>336</v>
      </c>
      <c r="F82" s="27">
        <v>4</v>
      </c>
      <c r="G82" s="27">
        <v>4</v>
      </c>
      <c r="H82" s="27">
        <v>81662</v>
      </c>
      <c r="I82" s="27" t="s">
        <v>543</v>
      </c>
      <c r="J82" s="27">
        <v>69379797</v>
      </c>
      <c r="K82" s="27" t="s">
        <v>3411</v>
      </c>
      <c r="L82" s="27" t="s">
        <v>3414</v>
      </c>
      <c r="M82" s="27">
        <v>179900</v>
      </c>
      <c r="N82" s="15" t="s">
        <v>19</v>
      </c>
      <c r="O82" s="15" t="s">
        <v>3516</v>
      </c>
      <c r="P82" s="15" t="s">
        <v>19</v>
      </c>
    </row>
    <row r="83" spans="1:16" x14ac:dyDescent="0.25">
      <c r="A83" s="27" t="s">
        <v>3517</v>
      </c>
      <c r="B83" s="7">
        <v>46121</v>
      </c>
      <c r="C83" s="7">
        <v>46127</v>
      </c>
      <c r="D83" s="27">
        <v>3271</v>
      </c>
      <c r="E83" s="27">
        <v>336</v>
      </c>
      <c r="F83" s="27">
        <v>4</v>
      </c>
      <c r="G83" s="27">
        <v>4</v>
      </c>
      <c r="H83" s="27">
        <v>81662</v>
      </c>
      <c r="I83" s="27" t="s">
        <v>543</v>
      </c>
      <c r="J83" s="27">
        <v>69379804</v>
      </c>
      <c r="K83" s="27" t="s">
        <v>3411</v>
      </c>
      <c r="L83" s="27" t="s">
        <v>3415</v>
      </c>
      <c r="M83" s="27">
        <v>179900</v>
      </c>
      <c r="N83" s="15" t="s">
        <v>19</v>
      </c>
      <c r="O83" s="15" t="s">
        <v>3516</v>
      </c>
      <c r="P83" s="15" t="s">
        <v>19</v>
      </c>
    </row>
    <row r="84" spans="1:16" x14ac:dyDescent="0.25">
      <c r="A84" s="27" t="s">
        <v>3517</v>
      </c>
      <c r="B84" s="7">
        <v>46121</v>
      </c>
      <c r="C84" s="7">
        <v>46127</v>
      </c>
      <c r="D84" s="27">
        <v>3271</v>
      </c>
      <c r="E84" s="27">
        <v>336</v>
      </c>
      <c r="F84" s="27">
        <v>4</v>
      </c>
      <c r="G84" s="27">
        <v>4</v>
      </c>
      <c r="H84" s="27">
        <v>81662</v>
      </c>
      <c r="I84" s="27" t="s">
        <v>543</v>
      </c>
      <c r="J84" s="27">
        <v>69379813</v>
      </c>
      <c r="K84" s="27" t="s">
        <v>3411</v>
      </c>
      <c r="L84" s="27" t="s">
        <v>3416</v>
      </c>
      <c r="M84" s="27">
        <v>179900</v>
      </c>
      <c r="N84" s="15" t="s">
        <v>19</v>
      </c>
      <c r="O84" s="15" t="s">
        <v>3516</v>
      </c>
      <c r="P84" s="15" t="s">
        <v>19</v>
      </c>
    </row>
    <row r="85" spans="1:16" x14ac:dyDescent="0.25">
      <c r="A85" s="27" t="s">
        <v>3517</v>
      </c>
      <c r="B85" s="7">
        <v>46121</v>
      </c>
      <c r="C85" s="7">
        <v>46127</v>
      </c>
      <c r="D85" s="27">
        <v>3271</v>
      </c>
      <c r="E85" s="27">
        <v>336</v>
      </c>
      <c r="F85" s="27">
        <v>4</v>
      </c>
      <c r="G85" s="27">
        <v>4</v>
      </c>
      <c r="H85" s="27">
        <v>81662</v>
      </c>
      <c r="I85" s="27" t="s">
        <v>543</v>
      </c>
      <c r="J85" s="27">
        <v>69379822</v>
      </c>
      <c r="K85" s="27" t="s">
        <v>3411</v>
      </c>
      <c r="L85" s="27" t="s">
        <v>3417</v>
      </c>
      <c r="M85" s="27">
        <v>179900</v>
      </c>
      <c r="N85" s="15" t="s">
        <v>19</v>
      </c>
      <c r="O85" s="15" t="s">
        <v>3516</v>
      </c>
      <c r="P85" s="15" t="s">
        <v>19</v>
      </c>
    </row>
    <row r="86" spans="1:16" x14ac:dyDescent="0.25">
      <c r="A86" s="27" t="s">
        <v>3517</v>
      </c>
      <c r="B86" s="7">
        <v>46121</v>
      </c>
      <c r="C86" s="7">
        <v>46127</v>
      </c>
      <c r="D86" s="27">
        <v>3271</v>
      </c>
      <c r="E86" s="27">
        <v>336</v>
      </c>
      <c r="F86" s="27">
        <v>4</v>
      </c>
      <c r="G86" s="27">
        <v>4</v>
      </c>
      <c r="H86" s="27">
        <v>81683</v>
      </c>
      <c r="I86" s="27" t="s">
        <v>543</v>
      </c>
      <c r="J86" s="27">
        <v>67930532</v>
      </c>
      <c r="K86" s="27" t="s">
        <v>3418</v>
      </c>
      <c r="L86" s="27" t="s">
        <v>3419</v>
      </c>
      <c r="M86" s="27">
        <v>179900</v>
      </c>
      <c r="N86" s="15" t="s">
        <v>19</v>
      </c>
      <c r="O86" s="15" t="s">
        <v>3516</v>
      </c>
      <c r="P86" s="15" t="s">
        <v>19</v>
      </c>
    </row>
    <row r="87" spans="1:16" x14ac:dyDescent="0.25">
      <c r="A87" s="27" t="s">
        <v>3517</v>
      </c>
      <c r="B87" s="7">
        <v>46121</v>
      </c>
      <c r="C87" s="7">
        <v>46127</v>
      </c>
      <c r="D87" s="27">
        <v>3271</v>
      </c>
      <c r="E87" s="27">
        <v>336</v>
      </c>
      <c r="F87" s="27">
        <v>4</v>
      </c>
      <c r="G87" s="27">
        <v>4</v>
      </c>
      <c r="H87" s="27">
        <v>81683</v>
      </c>
      <c r="I87" s="27" t="s">
        <v>543</v>
      </c>
      <c r="J87" s="27">
        <v>67930541</v>
      </c>
      <c r="K87" s="27" t="s">
        <v>3418</v>
      </c>
      <c r="L87" s="27" t="s">
        <v>3420</v>
      </c>
      <c r="M87" s="27">
        <v>179900</v>
      </c>
      <c r="N87" s="15" t="s">
        <v>19</v>
      </c>
      <c r="O87" s="15" t="s">
        <v>3516</v>
      </c>
      <c r="P87" s="15" t="s">
        <v>19</v>
      </c>
    </row>
    <row r="88" spans="1:16" x14ac:dyDescent="0.25">
      <c r="A88" s="27" t="s">
        <v>3517</v>
      </c>
      <c r="B88" s="7">
        <v>46121</v>
      </c>
      <c r="C88" s="7">
        <v>46127</v>
      </c>
      <c r="D88" s="27">
        <v>3271</v>
      </c>
      <c r="E88" s="27">
        <v>336</v>
      </c>
      <c r="F88" s="27">
        <v>4</v>
      </c>
      <c r="G88" s="27">
        <v>4</v>
      </c>
      <c r="H88" s="27">
        <v>81683</v>
      </c>
      <c r="I88" s="27" t="s">
        <v>543</v>
      </c>
      <c r="J88" s="27">
        <v>67930550</v>
      </c>
      <c r="K88" s="27" t="s">
        <v>3418</v>
      </c>
      <c r="L88" s="27" t="s">
        <v>3421</v>
      </c>
      <c r="M88" s="27">
        <v>179900</v>
      </c>
      <c r="N88" s="15" t="s">
        <v>19</v>
      </c>
      <c r="O88" s="15" t="s">
        <v>3516</v>
      </c>
      <c r="P88" s="15" t="s">
        <v>19</v>
      </c>
    </row>
    <row r="89" spans="1:16" x14ac:dyDescent="0.25">
      <c r="A89" s="27" t="s">
        <v>3517</v>
      </c>
      <c r="B89" s="7">
        <v>46121</v>
      </c>
      <c r="C89" s="7">
        <v>46127</v>
      </c>
      <c r="D89" s="27">
        <v>3271</v>
      </c>
      <c r="E89" s="27">
        <v>336</v>
      </c>
      <c r="F89" s="27">
        <v>4</v>
      </c>
      <c r="G89" s="27">
        <v>4</v>
      </c>
      <c r="H89" s="27">
        <v>81683</v>
      </c>
      <c r="I89" s="27" t="s">
        <v>543</v>
      </c>
      <c r="J89" s="27">
        <v>67930569</v>
      </c>
      <c r="K89" s="27" t="s">
        <v>3418</v>
      </c>
      <c r="L89" s="27" t="s">
        <v>3422</v>
      </c>
      <c r="M89" s="27">
        <v>179900</v>
      </c>
      <c r="N89" s="15" t="s">
        <v>19</v>
      </c>
      <c r="O89" s="15" t="s">
        <v>3516</v>
      </c>
      <c r="P89" s="15" t="s">
        <v>19</v>
      </c>
    </row>
    <row r="90" spans="1:16" x14ac:dyDescent="0.25">
      <c r="A90" s="27" t="s">
        <v>3517</v>
      </c>
      <c r="B90" s="7">
        <v>46121</v>
      </c>
      <c r="C90" s="7">
        <v>46127</v>
      </c>
      <c r="D90" s="27">
        <v>3271</v>
      </c>
      <c r="E90" s="27">
        <v>336</v>
      </c>
      <c r="F90" s="27">
        <v>4</v>
      </c>
      <c r="G90" s="27">
        <v>4</v>
      </c>
      <c r="H90" s="27">
        <v>81683</v>
      </c>
      <c r="I90" s="27" t="s">
        <v>543</v>
      </c>
      <c r="J90" s="27">
        <v>67930578</v>
      </c>
      <c r="K90" s="27" t="s">
        <v>3418</v>
      </c>
      <c r="L90" s="27" t="s">
        <v>3423</v>
      </c>
      <c r="M90" s="27">
        <v>179900</v>
      </c>
      <c r="N90" s="15" t="s">
        <v>19</v>
      </c>
      <c r="O90" s="15" t="s">
        <v>3516</v>
      </c>
      <c r="P90" s="15" t="s">
        <v>19</v>
      </c>
    </row>
    <row r="91" spans="1:16" x14ac:dyDescent="0.25">
      <c r="A91" s="27" t="s">
        <v>3517</v>
      </c>
      <c r="B91" s="7">
        <v>46121</v>
      </c>
      <c r="C91" s="7">
        <v>46127</v>
      </c>
      <c r="D91" s="27">
        <v>3271</v>
      </c>
      <c r="E91" s="27">
        <v>336</v>
      </c>
      <c r="F91" s="27">
        <v>4</v>
      </c>
      <c r="G91" s="27">
        <v>4</v>
      </c>
      <c r="H91" s="27">
        <v>81683</v>
      </c>
      <c r="I91" s="27" t="s">
        <v>543</v>
      </c>
      <c r="J91" s="27">
        <v>67930587</v>
      </c>
      <c r="K91" s="27" t="s">
        <v>3418</v>
      </c>
      <c r="L91" s="27" t="s">
        <v>3424</v>
      </c>
      <c r="M91" s="27">
        <v>179900</v>
      </c>
      <c r="N91" s="15" t="s">
        <v>19</v>
      </c>
      <c r="O91" s="15" t="s">
        <v>3516</v>
      </c>
      <c r="P91" s="15" t="s">
        <v>19</v>
      </c>
    </row>
    <row r="92" spans="1:16" x14ac:dyDescent="0.25">
      <c r="A92" s="27" t="s">
        <v>3517</v>
      </c>
      <c r="B92" s="7">
        <v>46121</v>
      </c>
      <c r="C92" s="7">
        <v>46127</v>
      </c>
      <c r="D92" s="27">
        <v>3271</v>
      </c>
      <c r="E92" s="27">
        <v>336</v>
      </c>
      <c r="F92" s="27">
        <v>4</v>
      </c>
      <c r="G92" s="27">
        <v>4</v>
      </c>
      <c r="H92" s="27">
        <v>81683</v>
      </c>
      <c r="I92" s="27" t="s">
        <v>543</v>
      </c>
      <c r="J92" s="27">
        <v>67930596</v>
      </c>
      <c r="K92" s="27" t="s">
        <v>3418</v>
      </c>
      <c r="L92" s="27" t="s">
        <v>3425</v>
      </c>
      <c r="M92" s="27">
        <v>179900</v>
      </c>
      <c r="N92" s="15" t="s">
        <v>19</v>
      </c>
      <c r="O92" s="15" t="s">
        <v>3516</v>
      </c>
      <c r="P92" s="15" t="s">
        <v>19</v>
      </c>
    </row>
    <row r="93" spans="1:16" x14ac:dyDescent="0.25">
      <c r="A93" s="27" t="s">
        <v>3517</v>
      </c>
      <c r="B93" s="7">
        <v>46121</v>
      </c>
      <c r="C93" s="7">
        <v>46127</v>
      </c>
      <c r="D93" s="27">
        <v>3271</v>
      </c>
      <c r="E93" s="27">
        <v>336</v>
      </c>
      <c r="F93" s="27">
        <v>4</v>
      </c>
      <c r="G93" s="27">
        <v>4</v>
      </c>
      <c r="H93" s="27">
        <v>81683</v>
      </c>
      <c r="I93" s="27" t="s">
        <v>543</v>
      </c>
      <c r="J93" s="27">
        <v>67930603</v>
      </c>
      <c r="K93" s="27" t="s">
        <v>3418</v>
      </c>
      <c r="L93" s="27" t="s">
        <v>3426</v>
      </c>
      <c r="M93" s="27">
        <v>179900</v>
      </c>
      <c r="N93" s="15" t="s">
        <v>19</v>
      </c>
      <c r="O93" s="15" t="s">
        <v>3516</v>
      </c>
      <c r="P93" s="15" t="s">
        <v>19</v>
      </c>
    </row>
    <row r="94" spans="1:16" x14ac:dyDescent="0.25">
      <c r="A94" s="27" t="s">
        <v>3517</v>
      </c>
      <c r="B94" s="7">
        <v>46121</v>
      </c>
      <c r="C94" s="7">
        <v>46127</v>
      </c>
      <c r="D94" s="27">
        <v>3271</v>
      </c>
      <c r="E94" s="27">
        <v>336</v>
      </c>
      <c r="F94" s="27">
        <v>4</v>
      </c>
      <c r="G94" s="27">
        <v>4</v>
      </c>
      <c r="H94" s="27">
        <v>81683</v>
      </c>
      <c r="I94" s="27" t="s">
        <v>543</v>
      </c>
      <c r="J94" s="27">
        <v>67930612</v>
      </c>
      <c r="K94" s="27" t="s">
        <v>3418</v>
      </c>
      <c r="L94" s="27" t="s">
        <v>3427</v>
      </c>
      <c r="M94" s="27">
        <v>179900</v>
      </c>
      <c r="N94" s="15" t="s">
        <v>19</v>
      </c>
      <c r="O94" s="15" t="s">
        <v>3516</v>
      </c>
      <c r="P94" s="15" t="s">
        <v>19</v>
      </c>
    </row>
    <row r="95" spans="1:16" x14ac:dyDescent="0.25">
      <c r="A95" s="27" t="s">
        <v>3517</v>
      </c>
      <c r="B95" s="7">
        <v>46121</v>
      </c>
      <c r="C95" s="7">
        <v>46127</v>
      </c>
      <c r="D95" s="27">
        <v>3271</v>
      </c>
      <c r="E95" s="27">
        <v>336</v>
      </c>
      <c r="F95" s="27">
        <v>4</v>
      </c>
      <c r="G95" s="27">
        <v>4</v>
      </c>
      <c r="H95" s="27">
        <v>81683</v>
      </c>
      <c r="I95" s="27" t="s">
        <v>543</v>
      </c>
      <c r="J95" s="27">
        <v>67930621</v>
      </c>
      <c r="K95" s="27" t="s">
        <v>3418</v>
      </c>
      <c r="L95" s="27" t="s">
        <v>3428</v>
      </c>
      <c r="M95" s="27">
        <v>179900</v>
      </c>
      <c r="N95" s="15" t="s">
        <v>19</v>
      </c>
      <c r="O95" s="15" t="s">
        <v>3516</v>
      </c>
      <c r="P95" s="15" t="s">
        <v>19</v>
      </c>
    </row>
    <row r="96" spans="1:16" x14ac:dyDescent="0.25">
      <c r="A96" s="27" t="s">
        <v>3517</v>
      </c>
      <c r="B96" s="7">
        <v>46121</v>
      </c>
      <c r="C96" s="7">
        <v>46127</v>
      </c>
      <c r="D96" s="27">
        <v>3271</v>
      </c>
      <c r="E96" s="27">
        <v>336</v>
      </c>
      <c r="F96" s="27">
        <v>4</v>
      </c>
      <c r="G96" s="27">
        <v>4</v>
      </c>
      <c r="H96" s="27">
        <v>81683</v>
      </c>
      <c r="I96" s="27" t="s">
        <v>543</v>
      </c>
      <c r="J96" s="27">
        <v>67930630</v>
      </c>
      <c r="K96" s="27" t="s">
        <v>3418</v>
      </c>
      <c r="L96" s="27" t="s">
        <v>3429</v>
      </c>
      <c r="M96" s="27">
        <v>179900</v>
      </c>
      <c r="N96" s="15" t="s">
        <v>19</v>
      </c>
      <c r="O96" s="15" t="s">
        <v>3516</v>
      </c>
      <c r="P96" s="15" t="s">
        <v>19</v>
      </c>
    </row>
    <row r="97" spans="1:16" x14ac:dyDescent="0.25">
      <c r="A97" s="27" t="s">
        <v>3517</v>
      </c>
      <c r="B97" s="7">
        <v>46121</v>
      </c>
      <c r="C97" s="7">
        <v>46127</v>
      </c>
      <c r="D97" s="27">
        <v>3271</v>
      </c>
      <c r="E97" s="27">
        <v>336</v>
      </c>
      <c r="F97" s="27">
        <v>4</v>
      </c>
      <c r="G97" s="27">
        <v>4</v>
      </c>
      <c r="H97" s="27">
        <v>81683</v>
      </c>
      <c r="I97" s="27" t="s">
        <v>543</v>
      </c>
      <c r="J97" s="27">
        <v>67930649</v>
      </c>
      <c r="K97" s="27" t="s">
        <v>3418</v>
      </c>
      <c r="L97" s="27" t="s">
        <v>3430</v>
      </c>
      <c r="M97" s="27">
        <v>179900</v>
      </c>
      <c r="N97" s="15" t="s">
        <v>19</v>
      </c>
      <c r="O97" s="15" t="s">
        <v>3516</v>
      </c>
      <c r="P97" s="15" t="s">
        <v>19</v>
      </c>
    </row>
    <row r="98" spans="1:16" x14ac:dyDescent="0.25">
      <c r="A98" s="27" t="s">
        <v>3517</v>
      </c>
      <c r="B98" s="7">
        <v>46121</v>
      </c>
      <c r="C98" s="7">
        <v>46127</v>
      </c>
      <c r="D98" s="27">
        <v>3271</v>
      </c>
      <c r="E98" s="27">
        <v>336</v>
      </c>
      <c r="F98" s="27">
        <v>4</v>
      </c>
      <c r="G98" s="27">
        <v>4</v>
      </c>
      <c r="H98" s="27">
        <v>4953</v>
      </c>
      <c r="I98" s="27" t="s">
        <v>543</v>
      </c>
      <c r="J98" s="27">
        <v>61500338</v>
      </c>
      <c r="K98" s="27" t="s">
        <v>3358</v>
      </c>
      <c r="L98" s="27" t="s">
        <v>3431</v>
      </c>
      <c r="M98" s="27">
        <v>129900</v>
      </c>
      <c r="N98" s="15" t="s">
        <v>19</v>
      </c>
      <c r="O98" s="15" t="s">
        <v>3516</v>
      </c>
      <c r="P98" s="15" t="s">
        <v>19</v>
      </c>
    </row>
    <row r="99" spans="1:16" x14ac:dyDescent="0.25">
      <c r="A99" s="27" t="s">
        <v>3517</v>
      </c>
      <c r="B99" s="7">
        <v>46121</v>
      </c>
      <c r="C99" s="7">
        <v>46127</v>
      </c>
      <c r="D99" s="27">
        <v>3271</v>
      </c>
      <c r="E99" s="27">
        <v>336</v>
      </c>
      <c r="F99" s="27">
        <v>4</v>
      </c>
      <c r="G99" s="27">
        <v>4</v>
      </c>
      <c r="H99" s="27">
        <v>4953</v>
      </c>
      <c r="I99" s="27" t="s">
        <v>543</v>
      </c>
      <c r="J99" s="27">
        <v>61500347</v>
      </c>
      <c r="K99" s="27" t="s">
        <v>3358</v>
      </c>
      <c r="L99" s="27" t="s">
        <v>3432</v>
      </c>
      <c r="M99" s="27">
        <v>129900</v>
      </c>
      <c r="N99" s="15" t="s">
        <v>19</v>
      </c>
      <c r="O99" s="15" t="s">
        <v>3516</v>
      </c>
      <c r="P99" s="15" t="s">
        <v>19</v>
      </c>
    </row>
    <row r="100" spans="1:16" x14ac:dyDescent="0.25">
      <c r="A100" s="27" t="s">
        <v>3517</v>
      </c>
      <c r="B100" s="7">
        <v>46121</v>
      </c>
      <c r="C100" s="7">
        <v>46127</v>
      </c>
      <c r="D100" s="27">
        <v>3271</v>
      </c>
      <c r="E100" s="27">
        <v>336</v>
      </c>
      <c r="F100" s="27">
        <v>4</v>
      </c>
      <c r="G100" s="27">
        <v>4</v>
      </c>
      <c r="H100" s="27">
        <v>4953</v>
      </c>
      <c r="I100" s="27" t="s">
        <v>543</v>
      </c>
      <c r="J100" s="27">
        <v>61500356</v>
      </c>
      <c r="K100" s="27" t="s">
        <v>3358</v>
      </c>
      <c r="L100" s="27" t="s">
        <v>3433</v>
      </c>
      <c r="M100" s="27">
        <v>129900</v>
      </c>
      <c r="N100" s="15" t="s">
        <v>19</v>
      </c>
      <c r="O100" s="15" t="s">
        <v>3516</v>
      </c>
      <c r="P100" s="15" t="s">
        <v>19</v>
      </c>
    </row>
    <row r="101" spans="1:16" x14ac:dyDescent="0.25">
      <c r="A101" s="27" t="s">
        <v>3517</v>
      </c>
      <c r="B101" s="7">
        <v>46121</v>
      </c>
      <c r="C101" s="7">
        <v>46127</v>
      </c>
      <c r="D101" s="27">
        <v>3271</v>
      </c>
      <c r="E101" s="27">
        <v>336</v>
      </c>
      <c r="F101" s="27">
        <v>4</v>
      </c>
      <c r="G101" s="27">
        <v>4</v>
      </c>
      <c r="H101" s="27">
        <v>4953</v>
      </c>
      <c r="I101" s="27" t="s">
        <v>543</v>
      </c>
      <c r="J101" s="27">
        <v>61500365</v>
      </c>
      <c r="K101" s="27" t="s">
        <v>3358</v>
      </c>
      <c r="L101" s="27" t="s">
        <v>3434</v>
      </c>
      <c r="M101" s="27">
        <v>129900</v>
      </c>
      <c r="N101" s="15" t="s">
        <v>19</v>
      </c>
      <c r="O101" s="15" t="s">
        <v>3516</v>
      </c>
      <c r="P101" s="15" t="s">
        <v>19</v>
      </c>
    </row>
    <row r="102" spans="1:16" x14ac:dyDescent="0.25">
      <c r="A102" s="27" t="s">
        <v>3517</v>
      </c>
      <c r="B102" s="7">
        <v>46121</v>
      </c>
      <c r="C102" s="7">
        <v>46127</v>
      </c>
      <c r="D102" s="27">
        <v>3271</v>
      </c>
      <c r="E102" s="27">
        <v>336</v>
      </c>
      <c r="F102" s="27">
        <v>4</v>
      </c>
      <c r="G102" s="27">
        <v>4</v>
      </c>
      <c r="H102" s="27">
        <v>4953</v>
      </c>
      <c r="I102" s="27" t="s">
        <v>543</v>
      </c>
      <c r="J102" s="27">
        <v>61500374</v>
      </c>
      <c r="K102" s="27" t="s">
        <v>3358</v>
      </c>
      <c r="L102" s="27" t="s">
        <v>3435</v>
      </c>
      <c r="M102" s="27">
        <v>129900</v>
      </c>
      <c r="N102" s="15" t="s">
        <v>19</v>
      </c>
      <c r="O102" s="15" t="s">
        <v>3516</v>
      </c>
      <c r="P102" s="15" t="s">
        <v>19</v>
      </c>
    </row>
    <row r="103" spans="1:16" x14ac:dyDescent="0.25">
      <c r="A103" s="27" t="s">
        <v>3517</v>
      </c>
      <c r="B103" s="7">
        <v>46121</v>
      </c>
      <c r="C103" s="7">
        <v>46127</v>
      </c>
      <c r="D103" s="27">
        <v>3271</v>
      </c>
      <c r="E103" s="27">
        <v>336</v>
      </c>
      <c r="F103" s="27">
        <v>4</v>
      </c>
      <c r="G103" s="27">
        <v>4</v>
      </c>
      <c r="H103" s="27">
        <v>4953</v>
      </c>
      <c r="I103" s="27" t="s">
        <v>543</v>
      </c>
      <c r="J103" s="27">
        <v>61500383</v>
      </c>
      <c r="K103" s="27" t="s">
        <v>3358</v>
      </c>
      <c r="L103" s="27" t="s">
        <v>3436</v>
      </c>
      <c r="M103" s="27">
        <v>129900</v>
      </c>
      <c r="N103" s="15" t="s">
        <v>19</v>
      </c>
      <c r="O103" s="15" t="s">
        <v>3516</v>
      </c>
      <c r="P103" s="15" t="s">
        <v>19</v>
      </c>
    </row>
    <row r="104" spans="1:16" x14ac:dyDescent="0.25">
      <c r="A104" s="27" t="s">
        <v>3517</v>
      </c>
      <c r="B104" s="7">
        <v>46121</v>
      </c>
      <c r="C104" s="7">
        <v>46127</v>
      </c>
      <c r="D104" s="27">
        <v>3271</v>
      </c>
      <c r="E104" s="27">
        <v>336</v>
      </c>
      <c r="F104" s="27">
        <v>4</v>
      </c>
      <c r="G104" s="27">
        <v>4</v>
      </c>
      <c r="H104" s="27">
        <v>81662</v>
      </c>
      <c r="I104" s="27" t="s">
        <v>543</v>
      </c>
      <c r="J104" s="27">
        <v>69563408</v>
      </c>
      <c r="K104" s="27" t="s">
        <v>3437</v>
      </c>
      <c r="L104" s="27" t="s">
        <v>3438</v>
      </c>
      <c r="M104" s="27">
        <v>179900</v>
      </c>
      <c r="N104" s="15" t="s">
        <v>19</v>
      </c>
      <c r="O104" s="15" t="s">
        <v>3516</v>
      </c>
      <c r="P104" s="15" t="s">
        <v>19</v>
      </c>
    </row>
    <row r="105" spans="1:16" x14ac:dyDescent="0.25">
      <c r="A105" s="27" t="s">
        <v>3517</v>
      </c>
      <c r="B105" s="7">
        <v>46121</v>
      </c>
      <c r="C105" s="7">
        <v>46127</v>
      </c>
      <c r="D105" s="27">
        <v>3271</v>
      </c>
      <c r="E105" s="27">
        <v>336</v>
      </c>
      <c r="F105" s="27">
        <v>4</v>
      </c>
      <c r="G105" s="27">
        <v>4</v>
      </c>
      <c r="H105" s="27">
        <v>81662</v>
      </c>
      <c r="I105" s="27" t="s">
        <v>543</v>
      </c>
      <c r="J105" s="27">
        <v>69563417</v>
      </c>
      <c r="K105" s="27" t="s">
        <v>3437</v>
      </c>
      <c r="L105" s="27" t="s">
        <v>3439</v>
      </c>
      <c r="M105" s="27">
        <v>179900</v>
      </c>
      <c r="N105" s="15" t="s">
        <v>19</v>
      </c>
      <c r="O105" s="15" t="s">
        <v>3516</v>
      </c>
      <c r="P105" s="15" t="s">
        <v>19</v>
      </c>
    </row>
    <row r="106" spans="1:16" x14ac:dyDescent="0.25">
      <c r="A106" s="27" t="s">
        <v>3517</v>
      </c>
      <c r="B106" s="7">
        <v>46121</v>
      </c>
      <c r="C106" s="7">
        <v>46127</v>
      </c>
      <c r="D106" s="27">
        <v>3271</v>
      </c>
      <c r="E106" s="27">
        <v>336</v>
      </c>
      <c r="F106" s="27">
        <v>4</v>
      </c>
      <c r="G106" s="27">
        <v>4</v>
      </c>
      <c r="H106" s="27">
        <v>81662</v>
      </c>
      <c r="I106" s="27" t="s">
        <v>543</v>
      </c>
      <c r="J106" s="27">
        <v>69563426</v>
      </c>
      <c r="K106" s="27" t="s">
        <v>3437</v>
      </c>
      <c r="L106" s="27" t="s">
        <v>3440</v>
      </c>
      <c r="M106" s="27">
        <v>179900</v>
      </c>
      <c r="N106" s="15" t="s">
        <v>19</v>
      </c>
      <c r="O106" s="15" t="s">
        <v>3516</v>
      </c>
      <c r="P106" s="15" t="s">
        <v>19</v>
      </c>
    </row>
    <row r="107" spans="1:16" x14ac:dyDescent="0.25">
      <c r="A107" s="27" t="s">
        <v>3517</v>
      </c>
      <c r="B107" s="7">
        <v>46121</v>
      </c>
      <c r="C107" s="7">
        <v>46127</v>
      </c>
      <c r="D107" s="27">
        <v>3271</v>
      </c>
      <c r="E107" s="27">
        <v>336</v>
      </c>
      <c r="F107" s="27">
        <v>4</v>
      </c>
      <c r="G107" s="27">
        <v>4</v>
      </c>
      <c r="H107" s="27">
        <v>81662</v>
      </c>
      <c r="I107" s="27" t="s">
        <v>543</v>
      </c>
      <c r="J107" s="27">
        <v>69563435</v>
      </c>
      <c r="K107" s="27" t="s">
        <v>3437</v>
      </c>
      <c r="L107" s="27" t="s">
        <v>3441</v>
      </c>
      <c r="M107" s="27">
        <v>179900</v>
      </c>
      <c r="N107" s="15" t="s">
        <v>19</v>
      </c>
      <c r="O107" s="15" t="s">
        <v>3516</v>
      </c>
      <c r="P107" s="15" t="s">
        <v>19</v>
      </c>
    </row>
    <row r="108" spans="1:16" x14ac:dyDescent="0.25">
      <c r="A108" s="27" t="s">
        <v>3517</v>
      </c>
      <c r="B108" s="7">
        <v>46121</v>
      </c>
      <c r="C108" s="7">
        <v>46127</v>
      </c>
      <c r="D108" s="27">
        <v>3271</v>
      </c>
      <c r="E108" s="27">
        <v>336</v>
      </c>
      <c r="F108" s="27">
        <v>4</v>
      </c>
      <c r="G108" s="27">
        <v>4</v>
      </c>
      <c r="H108" s="27">
        <v>81662</v>
      </c>
      <c r="I108" s="27" t="s">
        <v>543</v>
      </c>
      <c r="J108" s="27">
        <v>69563444</v>
      </c>
      <c r="K108" s="27" t="s">
        <v>3437</v>
      </c>
      <c r="L108" s="27" t="s">
        <v>3442</v>
      </c>
      <c r="M108" s="27">
        <v>179900</v>
      </c>
      <c r="N108" s="15" t="s">
        <v>19</v>
      </c>
      <c r="O108" s="15" t="s">
        <v>3516</v>
      </c>
      <c r="P108" s="15" t="s">
        <v>19</v>
      </c>
    </row>
    <row r="109" spans="1:16" x14ac:dyDescent="0.25">
      <c r="A109" s="27" t="s">
        <v>3517</v>
      </c>
      <c r="B109" s="7">
        <v>46121</v>
      </c>
      <c r="C109" s="7">
        <v>46127</v>
      </c>
      <c r="D109" s="27">
        <v>3271</v>
      </c>
      <c r="E109" s="27">
        <v>336</v>
      </c>
      <c r="F109" s="27">
        <v>4</v>
      </c>
      <c r="G109" s="27">
        <v>4</v>
      </c>
      <c r="H109" s="27">
        <v>81662</v>
      </c>
      <c r="I109" s="27" t="s">
        <v>543</v>
      </c>
      <c r="J109" s="27">
        <v>69563453</v>
      </c>
      <c r="K109" s="27" t="s">
        <v>3437</v>
      </c>
      <c r="L109" s="27" t="s">
        <v>3443</v>
      </c>
      <c r="M109" s="27">
        <v>179900</v>
      </c>
      <c r="N109" s="15" t="s">
        <v>19</v>
      </c>
      <c r="O109" s="15" t="s">
        <v>3516</v>
      </c>
      <c r="P109" s="15" t="s">
        <v>19</v>
      </c>
    </row>
    <row r="110" spans="1:16" x14ac:dyDescent="0.25">
      <c r="A110" s="27" t="s">
        <v>3517</v>
      </c>
      <c r="B110" s="7">
        <v>46121</v>
      </c>
      <c r="C110" s="7">
        <v>46127</v>
      </c>
      <c r="D110" s="27">
        <v>3271</v>
      </c>
      <c r="E110" s="27">
        <v>336</v>
      </c>
      <c r="F110" s="27">
        <v>4</v>
      </c>
      <c r="G110" s="27">
        <v>4</v>
      </c>
      <c r="H110" s="27">
        <v>81662</v>
      </c>
      <c r="I110" s="27" t="s">
        <v>543</v>
      </c>
      <c r="J110" s="27">
        <v>69563462</v>
      </c>
      <c r="K110" s="27" t="s">
        <v>3437</v>
      </c>
      <c r="L110" s="27" t="s">
        <v>3444</v>
      </c>
      <c r="M110" s="27">
        <v>179900</v>
      </c>
      <c r="N110" s="15" t="s">
        <v>19</v>
      </c>
      <c r="O110" s="15" t="s">
        <v>3516</v>
      </c>
      <c r="P110" s="15" t="s">
        <v>19</v>
      </c>
    </row>
    <row r="111" spans="1:16" x14ac:dyDescent="0.25">
      <c r="A111" s="27" t="s">
        <v>3517</v>
      </c>
      <c r="B111" s="7">
        <v>46121</v>
      </c>
      <c r="C111" s="7">
        <v>46127</v>
      </c>
      <c r="D111" s="27">
        <v>3271</v>
      </c>
      <c r="E111" s="27">
        <v>336</v>
      </c>
      <c r="F111" s="27">
        <v>4</v>
      </c>
      <c r="G111" s="27">
        <v>4</v>
      </c>
      <c r="H111" s="27">
        <v>81662</v>
      </c>
      <c r="I111" s="27" t="s">
        <v>543</v>
      </c>
      <c r="J111" s="27">
        <v>69563471</v>
      </c>
      <c r="K111" s="27" t="s">
        <v>3437</v>
      </c>
      <c r="L111" s="27" t="s">
        <v>3445</v>
      </c>
      <c r="M111" s="27">
        <v>179900</v>
      </c>
      <c r="N111" s="15" t="s">
        <v>19</v>
      </c>
      <c r="O111" s="15" t="s">
        <v>3516</v>
      </c>
      <c r="P111" s="15" t="s">
        <v>19</v>
      </c>
    </row>
    <row r="112" spans="1:16" x14ac:dyDescent="0.25">
      <c r="A112" s="27" t="s">
        <v>3517</v>
      </c>
      <c r="B112" s="7">
        <v>46121</v>
      </c>
      <c r="C112" s="7">
        <v>46127</v>
      </c>
      <c r="D112" s="27">
        <v>3271</v>
      </c>
      <c r="E112" s="27">
        <v>336</v>
      </c>
      <c r="F112" s="27">
        <v>4</v>
      </c>
      <c r="G112" s="27">
        <v>4</v>
      </c>
      <c r="H112" s="27">
        <v>81662</v>
      </c>
      <c r="I112" s="27" t="s">
        <v>543</v>
      </c>
      <c r="J112" s="27">
        <v>69563480</v>
      </c>
      <c r="K112" s="27" t="s">
        <v>3437</v>
      </c>
      <c r="L112" s="27" t="s">
        <v>3446</v>
      </c>
      <c r="M112" s="27">
        <v>179900</v>
      </c>
      <c r="N112" s="15" t="s">
        <v>19</v>
      </c>
      <c r="O112" s="15" t="s">
        <v>3516</v>
      </c>
      <c r="P112" s="15" t="s">
        <v>19</v>
      </c>
    </row>
    <row r="113" spans="1:16" x14ac:dyDescent="0.25">
      <c r="A113" s="27" t="s">
        <v>3517</v>
      </c>
      <c r="B113" s="7">
        <v>46121</v>
      </c>
      <c r="C113" s="7">
        <v>46127</v>
      </c>
      <c r="D113" s="27">
        <v>3271</v>
      </c>
      <c r="E113" s="27">
        <v>336</v>
      </c>
      <c r="F113" s="27">
        <v>4</v>
      </c>
      <c r="G113" s="27">
        <v>4</v>
      </c>
      <c r="H113" s="27">
        <v>81662</v>
      </c>
      <c r="I113" s="27" t="s">
        <v>543</v>
      </c>
      <c r="J113" s="27">
        <v>69563499</v>
      </c>
      <c r="K113" s="27" t="s">
        <v>3437</v>
      </c>
      <c r="L113" s="27" t="s">
        <v>3447</v>
      </c>
      <c r="M113" s="27">
        <v>179900</v>
      </c>
      <c r="N113" s="15" t="s">
        <v>19</v>
      </c>
      <c r="O113" s="15" t="s">
        <v>3516</v>
      </c>
      <c r="P113" s="15" t="s">
        <v>19</v>
      </c>
    </row>
    <row r="114" spans="1:16" x14ac:dyDescent="0.25">
      <c r="A114" s="27" t="s">
        <v>3517</v>
      </c>
      <c r="B114" s="7">
        <v>46121</v>
      </c>
      <c r="C114" s="7">
        <v>46127</v>
      </c>
      <c r="D114" s="27">
        <v>3271</v>
      </c>
      <c r="E114" s="27">
        <v>336</v>
      </c>
      <c r="F114" s="27">
        <v>4</v>
      </c>
      <c r="G114" s="27">
        <v>4</v>
      </c>
      <c r="H114" s="27">
        <v>81662</v>
      </c>
      <c r="I114" s="27" t="s">
        <v>543</v>
      </c>
      <c r="J114" s="27">
        <v>69563506</v>
      </c>
      <c r="K114" s="27" t="s">
        <v>3437</v>
      </c>
      <c r="L114" s="27" t="s">
        <v>3448</v>
      </c>
      <c r="M114" s="27">
        <v>179900</v>
      </c>
      <c r="N114" s="15" t="s">
        <v>19</v>
      </c>
      <c r="O114" s="15" t="s">
        <v>3516</v>
      </c>
      <c r="P114" s="15" t="s">
        <v>19</v>
      </c>
    </row>
    <row r="115" spans="1:16" x14ac:dyDescent="0.25">
      <c r="A115" s="27" t="s">
        <v>3517</v>
      </c>
      <c r="B115" s="7">
        <v>46121</v>
      </c>
      <c r="C115" s="7">
        <v>46127</v>
      </c>
      <c r="D115" s="27">
        <v>3271</v>
      </c>
      <c r="E115" s="27">
        <v>336</v>
      </c>
      <c r="F115" s="27">
        <v>4</v>
      </c>
      <c r="G115" s="27">
        <v>4</v>
      </c>
      <c r="H115" s="27">
        <v>81662</v>
      </c>
      <c r="I115" s="27" t="s">
        <v>543</v>
      </c>
      <c r="J115" s="27">
        <v>69563515</v>
      </c>
      <c r="K115" s="27" t="s">
        <v>3437</v>
      </c>
      <c r="L115" s="27" t="s">
        <v>3449</v>
      </c>
      <c r="M115" s="27">
        <v>179900</v>
      </c>
      <c r="N115" s="15" t="s">
        <v>19</v>
      </c>
      <c r="O115" s="15" t="s">
        <v>3516</v>
      </c>
      <c r="P115" s="15" t="s">
        <v>19</v>
      </c>
    </row>
    <row r="116" spans="1:16" x14ac:dyDescent="0.25">
      <c r="A116" s="27" t="s">
        <v>3517</v>
      </c>
      <c r="B116" s="7">
        <v>46121</v>
      </c>
      <c r="C116" s="7">
        <v>46127</v>
      </c>
      <c r="D116" s="27">
        <v>3271</v>
      </c>
      <c r="E116" s="27">
        <v>336</v>
      </c>
      <c r="F116" s="27">
        <v>4</v>
      </c>
      <c r="G116" s="27">
        <v>4</v>
      </c>
      <c r="H116" s="27">
        <v>81662</v>
      </c>
      <c r="I116" s="27" t="s">
        <v>543</v>
      </c>
      <c r="J116" s="27">
        <v>69655416</v>
      </c>
      <c r="K116" s="27" t="s">
        <v>3450</v>
      </c>
      <c r="L116" s="27" t="s">
        <v>3451</v>
      </c>
      <c r="M116" s="27">
        <v>179900</v>
      </c>
      <c r="N116" s="15" t="s">
        <v>19</v>
      </c>
      <c r="O116" s="15" t="s">
        <v>3516</v>
      </c>
      <c r="P116" s="15" t="s">
        <v>19</v>
      </c>
    </row>
    <row r="117" spans="1:16" x14ac:dyDescent="0.25">
      <c r="A117" s="27" t="s">
        <v>3517</v>
      </c>
      <c r="B117" s="7">
        <v>46121</v>
      </c>
      <c r="C117" s="7">
        <v>46127</v>
      </c>
      <c r="D117" s="27">
        <v>3271</v>
      </c>
      <c r="E117" s="27">
        <v>336</v>
      </c>
      <c r="F117" s="27">
        <v>4</v>
      </c>
      <c r="G117" s="27">
        <v>4</v>
      </c>
      <c r="H117" s="27">
        <v>81662</v>
      </c>
      <c r="I117" s="27" t="s">
        <v>543</v>
      </c>
      <c r="J117" s="27">
        <v>69655425</v>
      </c>
      <c r="K117" s="27" t="s">
        <v>3450</v>
      </c>
      <c r="L117" s="27" t="s">
        <v>3452</v>
      </c>
      <c r="M117" s="27">
        <v>179900</v>
      </c>
      <c r="N117" s="15" t="s">
        <v>19</v>
      </c>
      <c r="O117" s="15" t="s">
        <v>3516</v>
      </c>
      <c r="P117" s="15" t="s">
        <v>19</v>
      </c>
    </row>
    <row r="118" spans="1:16" x14ac:dyDescent="0.25">
      <c r="A118" s="27" t="s">
        <v>3517</v>
      </c>
      <c r="B118" s="7">
        <v>46121</v>
      </c>
      <c r="C118" s="7">
        <v>46127</v>
      </c>
      <c r="D118" s="27">
        <v>3271</v>
      </c>
      <c r="E118" s="27">
        <v>336</v>
      </c>
      <c r="F118" s="27">
        <v>4</v>
      </c>
      <c r="G118" s="27">
        <v>4</v>
      </c>
      <c r="H118" s="27">
        <v>81662</v>
      </c>
      <c r="I118" s="27" t="s">
        <v>543</v>
      </c>
      <c r="J118" s="27">
        <v>69655434</v>
      </c>
      <c r="K118" s="27" t="s">
        <v>3450</v>
      </c>
      <c r="L118" s="27" t="s">
        <v>3453</v>
      </c>
      <c r="M118" s="27">
        <v>179900</v>
      </c>
      <c r="N118" s="15" t="s">
        <v>19</v>
      </c>
      <c r="O118" s="15" t="s">
        <v>3516</v>
      </c>
      <c r="P118" s="15" t="s">
        <v>19</v>
      </c>
    </row>
    <row r="119" spans="1:16" x14ac:dyDescent="0.25">
      <c r="A119" s="27" t="s">
        <v>3517</v>
      </c>
      <c r="B119" s="7">
        <v>46121</v>
      </c>
      <c r="C119" s="7">
        <v>46127</v>
      </c>
      <c r="D119" s="27">
        <v>3271</v>
      </c>
      <c r="E119" s="27">
        <v>336</v>
      </c>
      <c r="F119" s="27">
        <v>4</v>
      </c>
      <c r="G119" s="27">
        <v>4</v>
      </c>
      <c r="H119" s="27">
        <v>81662</v>
      </c>
      <c r="I119" s="27" t="s">
        <v>543</v>
      </c>
      <c r="J119" s="27">
        <v>69655443</v>
      </c>
      <c r="K119" s="27" t="s">
        <v>3450</v>
      </c>
      <c r="L119" s="27" t="s">
        <v>3454</v>
      </c>
      <c r="M119" s="27">
        <v>179900</v>
      </c>
      <c r="N119" s="15" t="s">
        <v>19</v>
      </c>
      <c r="O119" s="15" t="s">
        <v>3516</v>
      </c>
      <c r="P119" s="15" t="s">
        <v>19</v>
      </c>
    </row>
    <row r="120" spans="1:16" x14ac:dyDescent="0.25">
      <c r="A120" s="27" t="s">
        <v>3517</v>
      </c>
      <c r="B120" s="7">
        <v>46121</v>
      </c>
      <c r="C120" s="7">
        <v>46127</v>
      </c>
      <c r="D120" s="27">
        <v>3271</v>
      </c>
      <c r="E120" s="27">
        <v>336</v>
      </c>
      <c r="F120" s="27">
        <v>4</v>
      </c>
      <c r="G120" s="27">
        <v>4</v>
      </c>
      <c r="H120" s="27">
        <v>81662</v>
      </c>
      <c r="I120" s="27" t="s">
        <v>543</v>
      </c>
      <c r="J120" s="27">
        <v>69655452</v>
      </c>
      <c r="K120" s="27" t="s">
        <v>3450</v>
      </c>
      <c r="L120" s="27" t="s">
        <v>3455</v>
      </c>
      <c r="M120" s="27">
        <v>179900</v>
      </c>
      <c r="N120" s="15" t="s">
        <v>19</v>
      </c>
      <c r="O120" s="15" t="s">
        <v>3516</v>
      </c>
      <c r="P120" s="15" t="s">
        <v>19</v>
      </c>
    </row>
    <row r="121" spans="1:16" x14ac:dyDescent="0.25">
      <c r="A121" s="27" t="s">
        <v>3517</v>
      </c>
      <c r="B121" s="7">
        <v>46121</v>
      </c>
      <c r="C121" s="7">
        <v>46127</v>
      </c>
      <c r="D121" s="27">
        <v>3271</v>
      </c>
      <c r="E121" s="27">
        <v>336</v>
      </c>
      <c r="F121" s="27">
        <v>4</v>
      </c>
      <c r="G121" s="27">
        <v>4</v>
      </c>
      <c r="H121" s="27">
        <v>81662</v>
      </c>
      <c r="I121" s="27" t="s">
        <v>543</v>
      </c>
      <c r="J121" s="27">
        <v>69655461</v>
      </c>
      <c r="K121" s="27" t="s">
        <v>3450</v>
      </c>
      <c r="L121" s="27" t="s">
        <v>3456</v>
      </c>
      <c r="M121" s="27">
        <v>179900</v>
      </c>
      <c r="N121" s="15" t="s">
        <v>19</v>
      </c>
      <c r="O121" s="15" t="s">
        <v>3516</v>
      </c>
      <c r="P121" s="15" t="s">
        <v>19</v>
      </c>
    </row>
    <row r="122" spans="1:16" x14ac:dyDescent="0.25">
      <c r="A122" s="27" t="s">
        <v>3517</v>
      </c>
      <c r="B122" s="7">
        <v>46121</v>
      </c>
      <c r="C122" s="7">
        <v>46127</v>
      </c>
      <c r="D122" s="27">
        <v>3271</v>
      </c>
      <c r="E122" s="27">
        <v>336</v>
      </c>
      <c r="F122" s="27">
        <v>4</v>
      </c>
      <c r="G122" s="27">
        <v>4</v>
      </c>
      <c r="H122" s="27">
        <v>81662</v>
      </c>
      <c r="I122" s="27" t="s">
        <v>543</v>
      </c>
      <c r="J122" s="27">
        <v>69655470</v>
      </c>
      <c r="K122" s="27" t="s">
        <v>3450</v>
      </c>
      <c r="L122" s="27" t="s">
        <v>3457</v>
      </c>
      <c r="M122" s="27">
        <v>179900</v>
      </c>
      <c r="N122" s="15" t="s">
        <v>19</v>
      </c>
      <c r="O122" s="15" t="s">
        <v>3516</v>
      </c>
      <c r="P122" s="15" t="s">
        <v>19</v>
      </c>
    </row>
    <row r="123" spans="1:16" x14ac:dyDescent="0.25">
      <c r="A123" s="27" t="s">
        <v>3517</v>
      </c>
      <c r="B123" s="7">
        <v>46121</v>
      </c>
      <c r="C123" s="7">
        <v>46127</v>
      </c>
      <c r="D123" s="27">
        <v>3271</v>
      </c>
      <c r="E123" s="27">
        <v>336</v>
      </c>
      <c r="F123" s="27">
        <v>4</v>
      </c>
      <c r="G123" s="27">
        <v>4</v>
      </c>
      <c r="H123" s="27">
        <v>81662</v>
      </c>
      <c r="I123" s="27" t="s">
        <v>543</v>
      </c>
      <c r="J123" s="27">
        <v>69655489</v>
      </c>
      <c r="K123" s="27" t="s">
        <v>3450</v>
      </c>
      <c r="L123" s="27" t="s">
        <v>3458</v>
      </c>
      <c r="M123" s="27">
        <v>179900</v>
      </c>
      <c r="N123" s="15" t="s">
        <v>19</v>
      </c>
      <c r="O123" s="15" t="s">
        <v>3516</v>
      </c>
      <c r="P123" s="15" t="s">
        <v>19</v>
      </c>
    </row>
    <row r="124" spans="1:16" x14ac:dyDescent="0.25">
      <c r="A124" s="27" t="s">
        <v>3517</v>
      </c>
      <c r="B124" s="7">
        <v>46121</v>
      </c>
      <c r="C124" s="7">
        <v>46127</v>
      </c>
      <c r="D124" s="27">
        <v>3271</v>
      </c>
      <c r="E124" s="27">
        <v>336</v>
      </c>
      <c r="F124" s="27">
        <v>4</v>
      </c>
      <c r="G124" s="27">
        <v>4</v>
      </c>
      <c r="H124" s="27">
        <v>81662</v>
      </c>
      <c r="I124" s="27" t="s">
        <v>543</v>
      </c>
      <c r="J124" s="27">
        <v>69655498</v>
      </c>
      <c r="K124" s="27" t="s">
        <v>3450</v>
      </c>
      <c r="L124" s="27" t="s">
        <v>3459</v>
      </c>
      <c r="M124" s="27">
        <v>179900</v>
      </c>
      <c r="N124" s="15" t="s">
        <v>19</v>
      </c>
      <c r="O124" s="15" t="s">
        <v>3516</v>
      </c>
      <c r="P124" s="15" t="s">
        <v>19</v>
      </c>
    </row>
    <row r="125" spans="1:16" x14ac:dyDescent="0.25">
      <c r="A125" s="27" t="s">
        <v>3517</v>
      </c>
      <c r="B125" s="7">
        <v>46121</v>
      </c>
      <c r="C125" s="7">
        <v>46127</v>
      </c>
      <c r="D125" s="27">
        <v>3271</v>
      </c>
      <c r="E125" s="27">
        <v>336</v>
      </c>
      <c r="F125" s="27">
        <v>4</v>
      </c>
      <c r="G125" s="27">
        <v>4</v>
      </c>
      <c r="H125" s="27">
        <v>81662</v>
      </c>
      <c r="I125" s="27" t="s">
        <v>543</v>
      </c>
      <c r="J125" s="27">
        <v>69655505</v>
      </c>
      <c r="K125" s="27" t="s">
        <v>3450</v>
      </c>
      <c r="L125" s="27" t="s">
        <v>3460</v>
      </c>
      <c r="M125" s="27">
        <v>179900</v>
      </c>
      <c r="N125" s="15" t="s">
        <v>19</v>
      </c>
      <c r="O125" s="15" t="s">
        <v>3516</v>
      </c>
      <c r="P125" s="15" t="s">
        <v>19</v>
      </c>
    </row>
    <row r="126" spans="1:16" x14ac:dyDescent="0.25">
      <c r="A126" s="27" t="s">
        <v>3517</v>
      </c>
      <c r="B126" s="7">
        <v>46121</v>
      </c>
      <c r="C126" s="7">
        <v>46127</v>
      </c>
      <c r="D126" s="27">
        <v>3271</v>
      </c>
      <c r="E126" s="27">
        <v>336</v>
      </c>
      <c r="F126" s="27">
        <v>4</v>
      </c>
      <c r="G126" s="27">
        <v>4</v>
      </c>
      <c r="H126" s="27">
        <v>81662</v>
      </c>
      <c r="I126" s="27" t="s">
        <v>543</v>
      </c>
      <c r="J126" s="27">
        <v>69655514</v>
      </c>
      <c r="K126" s="27" t="s">
        <v>3450</v>
      </c>
      <c r="L126" s="27" t="s">
        <v>3461</v>
      </c>
      <c r="M126" s="27">
        <v>179900</v>
      </c>
      <c r="N126" s="15" t="s">
        <v>19</v>
      </c>
      <c r="O126" s="15" t="s">
        <v>3516</v>
      </c>
      <c r="P126" s="15" t="s">
        <v>19</v>
      </c>
    </row>
    <row r="127" spans="1:16" x14ac:dyDescent="0.25">
      <c r="A127" s="27" t="s">
        <v>3517</v>
      </c>
      <c r="B127" s="7">
        <v>46121</v>
      </c>
      <c r="C127" s="7">
        <v>46127</v>
      </c>
      <c r="D127" s="27">
        <v>3271</v>
      </c>
      <c r="E127" s="27">
        <v>336</v>
      </c>
      <c r="F127" s="27">
        <v>4</v>
      </c>
      <c r="G127" s="27">
        <v>4</v>
      </c>
      <c r="H127" s="27">
        <v>81662</v>
      </c>
      <c r="I127" s="27" t="s">
        <v>543</v>
      </c>
      <c r="J127" s="27">
        <v>69655523</v>
      </c>
      <c r="K127" s="27" t="s">
        <v>3450</v>
      </c>
      <c r="L127" s="27" t="s">
        <v>3462</v>
      </c>
      <c r="M127" s="27">
        <v>179900</v>
      </c>
      <c r="N127" s="15" t="s">
        <v>19</v>
      </c>
      <c r="O127" s="15" t="s">
        <v>3516</v>
      </c>
      <c r="P127" s="15" t="s">
        <v>19</v>
      </c>
    </row>
    <row r="128" spans="1:16" x14ac:dyDescent="0.25">
      <c r="A128" s="27" t="s">
        <v>3517</v>
      </c>
      <c r="B128" s="7">
        <v>46121</v>
      </c>
      <c r="C128" s="7">
        <v>46127</v>
      </c>
      <c r="D128" s="27">
        <v>3271</v>
      </c>
      <c r="E128" s="27">
        <v>336</v>
      </c>
      <c r="F128" s="27">
        <v>4</v>
      </c>
      <c r="G128" s="27">
        <v>4</v>
      </c>
      <c r="H128" s="27">
        <v>81662</v>
      </c>
      <c r="I128" s="27" t="s">
        <v>543</v>
      </c>
      <c r="J128" s="27">
        <v>69655532</v>
      </c>
      <c r="K128" s="27" t="s">
        <v>3463</v>
      </c>
      <c r="L128" s="27" t="s">
        <v>3464</v>
      </c>
      <c r="M128" s="27">
        <v>179900</v>
      </c>
      <c r="N128" s="15" t="s">
        <v>19</v>
      </c>
      <c r="O128" s="15" t="s">
        <v>3516</v>
      </c>
      <c r="P128" s="15" t="s">
        <v>19</v>
      </c>
    </row>
    <row r="129" spans="1:16" x14ac:dyDescent="0.25">
      <c r="A129" s="27" t="s">
        <v>3517</v>
      </c>
      <c r="B129" s="7">
        <v>46121</v>
      </c>
      <c r="C129" s="7">
        <v>46127</v>
      </c>
      <c r="D129" s="27">
        <v>3271</v>
      </c>
      <c r="E129" s="27">
        <v>336</v>
      </c>
      <c r="F129" s="27">
        <v>4</v>
      </c>
      <c r="G129" s="27">
        <v>4</v>
      </c>
      <c r="H129" s="27">
        <v>81662</v>
      </c>
      <c r="I129" s="27" t="s">
        <v>543</v>
      </c>
      <c r="J129" s="27">
        <v>69655541</v>
      </c>
      <c r="K129" s="27" t="s">
        <v>3463</v>
      </c>
      <c r="L129" s="27" t="s">
        <v>3465</v>
      </c>
      <c r="M129" s="27">
        <v>179900</v>
      </c>
      <c r="N129" s="15" t="s">
        <v>19</v>
      </c>
      <c r="O129" s="15" t="s">
        <v>3516</v>
      </c>
      <c r="P129" s="15" t="s">
        <v>19</v>
      </c>
    </row>
    <row r="130" spans="1:16" x14ac:dyDescent="0.25">
      <c r="A130" s="27" t="s">
        <v>3517</v>
      </c>
      <c r="B130" s="7">
        <v>46121</v>
      </c>
      <c r="C130" s="7">
        <v>46127</v>
      </c>
      <c r="D130" s="27">
        <v>3271</v>
      </c>
      <c r="E130" s="27">
        <v>336</v>
      </c>
      <c r="F130" s="27">
        <v>4</v>
      </c>
      <c r="G130" s="27">
        <v>4</v>
      </c>
      <c r="H130" s="27">
        <v>81662</v>
      </c>
      <c r="I130" s="27" t="s">
        <v>543</v>
      </c>
      <c r="J130" s="27">
        <v>69655550</v>
      </c>
      <c r="K130" s="27" t="s">
        <v>3463</v>
      </c>
      <c r="L130" s="27" t="s">
        <v>3466</v>
      </c>
      <c r="M130" s="27">
        <v>179900</v>
      </c>
      <c r="N130" s="15" t="s">
        <v>19</v>
      </c>
      <c r="O130" s="15" t="s">
        <v>3516</v>
      </c>
      <c r="P130" s="15" t="s">
        <v>19</v>
      </c>
    </row>
    <row r="131" spans="1:16" x14ac:dyDescent="0.25">
      <c r="A131" s="27" t="s">
        <v>3517</v>
      </c>
      <c r="B131" s="7">
        <v>46121</v>
      </c>
      <c r="C131" s="7">
        <v>46127</v>
      </c>
      <c r="D131" s="27">
        <v>3271</v>
      </c>
      <c r="E131" s="27">
        <v>336</v>
      </c>
      <c r="F131" s="27">
        <v>4</v>
      </c>
      <c r="G131" s="27">
        <v>4</v>
      </c>
      <c r="H131" s="27">
        <v>81662</v>
      </c>
      <c r="I131" s="27" t="s">
        <v>543</v>
      </c>
      <c r="J131" s="27">
        <v>69655569</v>
      </c>
      <c r="K131" s="27" t="s">
        <v>3463</v>
      </c>
      <c r="L131" s="27" t="s">
        <v>3467</v>
      </c>
      <c r="M131" s="27">
        <v>179900</v>
      </c>
      <c r="N131" s="15" t="s">
        <v>19</v>
      </c>
      <c r="O131" s="15" t="s">
        <v>3516</v>
      </c>
      <c r="P131" s="15" t="s">
        <v>19</v>
      </c>
    </row>
    <row r="132" spans="1:16" x14ac:dyDescent="0.25">
      <c r="A132" s="27" t="s">
        <v>3517</v>
      </c>
      <c r="B132" s="7">
        <v>46121</v>
      </c>
      <c r="C132" s="7">
        <v>46127</v>
      </c>
      <c r="D132" s="27">
        <v>3271</v>
      </c>
      <c r="E132" s="27">
        <v>336</v>
      </c>
      <c r="F132" s="27">
        <v>4</v>
      </c>
      <c r="G132" s="27">
        <v>4</v>
      </c>
      <c r="H132" s="27">
        <v>81662</v>
      </c>
      <c r="I132" s="27" t="s">
        <v>543</v>
      </c>
      <c r="J132" s="27">
        <v>69655578</v>
      </c>
      <c r="K132" s="27" t="s">
        <v>3463</v>
      </c>
      <c r="L132" s="27" t="s">
        <v>3468</v>
      </c>
      <c r="M132" s="27">
        <v>179900</v>
      </c>
      <c r="N132" s="15" t="s">
        <v>19</v>
      </c>
      <c r="O132" s="15" t="s">
        <v>3516</v>
      </c>
      <c r="P132" s="15" t="s">
        <v>19</v>
      </c>
    </row>
    <row r="133" spans="1:16" x14ac:dyDescent="0.25">
      <c r="A133" s="27" t="s">
        <v>3517</v>
      </c>
      <c r="B133" s="7">
        <v>46121</v>
      </c>
      <c r="C133" s="7">
        <v>46127</v>
      </c>
      <c r="D133" s="27">
        <v>3271</v>
      </c>
      <c r="E133" s="27">
        <v>336</v>
      </c>
      <c r="F133" s="27">
        <v>4</v>
      </c>
      <c r="G133" s="27">
        <v>4</v>
      </c>
      <c r="H133" s="27">
        <v>81662</v>
      </c>
      <c r="I133" s="27" t="s">
        <v>543</v>
      </c>
      <c r="J133" s="27">
        <v>69655587</v>
      </c>
      <c r="K133" s="27" t="s">
        <v>3463</v>
      </c>
      <c r="L133" s="27" t="s">
        <v>3469</v>
      </c>
      <c r="M133" s="27">
        <v>179900</v>
      </c>
      <c r="N133" s="15" t="s">
        <v>19</v>
      </c>
      <c r="O133" s="15" t="s">
        <v>3516</v>
      </c>
      <c r="P133" s="15" t="s">
        <v>19</v>
      </c>
    </row>
    <row r="134" spans="1:16" x14ac:dyDescent="0.25">
      <c r="A134" s="27" t="s">
        <v>3517</v>
      </c>
      <c r="B134" s="7">
        <v>46121</v>
      </c>
      <c r="C134" s="7">
        <v>46127</v>
      </c>
      <c r="D134" s="27">
        <v>3271</v>
      </c>
      <c r="E134" s="27">
        <v>336</v>
      </c>
      <c r="F134" s="27">
        <v>4</v>
      </c>
      <c r="G134" s="27">
        <v>4</v>
      </c>
      <c r="H134" s="27">
        <v>81662</v>
      </c>
      <c r="I134" s="27" t="s">
        <v>543</v>
      </c>
      <c r="J134" s="27">
        <v>69655596</v>
      </c>
      <c r="K134" s="27" t="s">
        <v>3463</v>
      </c>
      <c r="L134" s="27" t="s">
        <v>3470</v>
      </c>
      <c r="M134" s="27">
        <v>179900</v>
      </c>
      <c r="N134" s="15" t="s">
        <v>19</v>
      </c>
      <c r="O134" s="15" t="s">
        <v>3516</v>
      </c>
      <c r="P134" s="15" t="s">
        <v>19</v>
      </c>
    </row>
    <row r="135" spans="1:16" x14ac:dyDescent="0.25">
      <c r="A135" s="27" t="s">
        <v>3517</v>
      </c>
      <c r="B135" s="7">
        <v>46121</v>
      </c>
      <c r="C135" s="7">
        <v>46127</v>
      </c>
      <c r="D135" s="27">
        <v>3271</v>
      </c>
      <c r="E135" s="27">
        <v>336</v>
      </c>
      <c r="F135" s="27">
        <v>4</v>
      </c>
      <c r="G135" s="27">
        <v>4</v>
      </c>
      <c r="H135" s="27">
        <v>81662</v>
      </c>
      <c r="I135" s="27" t="s">
        <v>543</v>
      </c>
      <c r="J135" s="27">
        <v>69655603</v>
      </c>
      <c r="K135" s="27" t="s">
        <v>3463</v>
      </c>
      <c r="L135" s="27" t="s">
        <v>3471</v>
      </c>
      <c r="M135" s="27">
        <v>179900</v>
      </c>
      <c r="N135" s="15" t="s">
        <v>19</v>
      </c>
      <c r="O135" s="15" t="s">
        <v>3516</v>
      </c>
      <c r="P135" s="15" t="s">
        <v>19</v>
      </c>
    </row>
    <row r="136" spans="1:16" x14ac:dyDescent="0.25">
      <c r="A136" s="27" t="s">
        <v>3517</v>
      </c>
      <c r="B136" s="7">
        <v>46121</v>
      </c>
      <c r="C136" s="7">
        <v>46127</v>
      </c>
      <c r="D136" s="27">
        <v>3271</v>
      </c>
      <c r="E136" s="27">
        <v>336</v>
      </c>
      <c r="F136" s="27">
        <v>4</v>
      </c>
      <c r="G136" s="27">
        <v>4</v>
      </c>
      <c r="H136" s="27">
        <v>81662</v>
      </c>
      <c r="I136" s="27" t="s">
        <v>543</v>
      </c>
      <c r="J136" s="27">
        <v>69655612</v>
      </c>
      <c r="K136" s="27" t="s">
        <v>3463</v>
      </c>
      <c r="L136" s="27" t="s">
        <v>3472</v>
      </c>
      <c r="M136" s="27">
        <v>179900</v>
      </c>
      <c r="N136" s="15" t="s">
        <v>19</v>
      </c>
      <c r="O136" s="15" t="s">
        <v>3516</v>
      </c>
      <c r="P136" s="15" t="s">
        <v>19</v>
      </c>
    </row>
    <row r="137" spans="1:16" x14ac:dyDescent="0.25">
      <c r="A137" s="27" t="s">
        <v>3517</v>
      </c>
      <c r="B137" s="7">
        <v>46121</v>
      </c>
      <c r="C137" s="7">
        <v>46127</v>
      </c>
      <c r="D137" s="27">
        <v>3271</v>
      </c>
      <c r="E137" s="27">
        <v>336</v>
      </c>
      <c r="F137" s="27">
        <v>4</v>
      </c>
      <c r="G137" s="27">
        <v>4</v>
      </c>
      <c r="H137" s="27">
        <v>81662</v>
      </c>
      <c r="I137" s="27" t="s">
        <v>543</v>
      </c>
      <c r="J137" s="27">
        <v>69655621</v>
      </c>
      <c r="K137" s="27" t="s">
        <v>3463</v>
      </c>
      <c r="L137" s="27" t="s">
        <v>3473</v>
      </c>
      <c r="M137" s="27">
        <v>179900</v>
      </c>
      <c r="N137" s="15" t="s">
        <v>19</v>
      </c>
      <c r="O137" s="15" t="s">
        <v>3516</v>
      </c>
      <c r="P137" s="15" t="s">
        <v>19</v>
      </c>
    </row>
    <row r="138" spans="1:16" x14ac:dyDescent="0.25">
      <c r="A138" s="27" t="s">
        <v>3517</v>
      </c>
      <c r="B138" s="7">
        <v>46121</v>
      </c>
      <c r="C138" s="7">
        <v>46127</v>
      </c>
      <c r="D138" s="27">
        <v>3271</v>
      </c>
      <c r="E138" s="27">
        <v>336</v>
      </c>
      <c r="F138" s="27">
        <v>4</v>
      </c>
      <c r="G138" s="27">
        <v>4</v>
      </c>
      <c r="H138" s="27">
        <v>81662</v>
      </c>
      <c r="I138" s="27" t="s">
        <v>543</v>
      </c>
      <c r="J138" s="27">
        <v>69655630</v>
      </c>
      <c r="K138" s="27" t="s">
        <v>3463</v>
      </c>
      <c r="L138" s="27" t="s">
        <v>3474</v>
      </c>
      <c r="M138" s="27">
        <v>179900</v>
      </c>
      <c r="N138" s="15" t="s">
        <v>19</v>
      </c>
      <c r="O138" s="15" t="s">
        <v>3516</v>
      </c>
      <c r="P138" s="15" t="s">
        <v>19</v>
      </c>
    </row>
    <row r="139" spans="1:16" x14ac:dyDescent="0.25">
      <c r="A139" s="27" t="s">
        <v>3517</v>
      </c>
      <c r="B139" s="7">
        <v>46121</v>
      </c>
      <c r="C139" s="7">
        <v>46127</v>
      </c>
      <c r="D139" s="27">
        <v>3271</v>
      </c>
      <c r="E139" s="27">
        <v>336</v>
      </c>
      <c r="F139" s="27">
        <v>4</v>
      </c>
      <c r="G139" s="27">
        <v>4</v>
      </c>
      <c r="H139" s="27">
        <v>81662</v>
      </c>
      <c r="I139" s="27" t="s">
        <v>543</v>
      </c>
      <c r="J139" s="27">
        <v>69655649</v>
      </c>
      <c r="K139" s="27" t="s">
        <v>3463</v>
      </c>
      <c r="L139" s="27" t="s">
        <v>3475</v>
      </c>
      <c r="M139" s="27">
        <v>179900</v>
      </c>
      <c r="N139" s="15" t="s">
        <v>19</v>
      </c>
      <c r="O139" s="15" t="s">
        <v>3516</v>
      </c>
      <c r="P139" s="15" t="s">
        <v>19</v>
      </c>
    </row>
    <row r="140" spans="1:16" x14ac:dyDescent="0.25">
      <c r="A140" s="27" t="s">
        <v>3517</v>
      </c>
      <c r="B140" s="7">
        <v>46121</v>
      </c>
      <c r="C140" s="7">
        <v>46127</v>
      </c>
      <c r="D140" s="27">
        <v>3271</v>
      </c>
      <c r="E140" s="27">
        <v>336</v>
      </c>
      <c r="F140" s="27">
        <v>4</v>
      </c>
      <c r="G140" s="27">
        <v>6</v>
      </c>
      <c r="H140" s="27">
        <v>81328</v>
      </c>
      <c r="I140" s="27" t="s">
        <v>543</v>
      </c>
      <c r="J140" s="27">
        <v>68118052</v>
      </c>
      <c r="K140" s="27" t="s">
        <v>3275</v>
      </c>
      <c r="L140" s="27" t="s">
        <v>3276</v>
      </c>
      <c r="M140" s="52">
        <v>59900</v>
      </c>
      <c r="N140" s="15" t="s">
        <v>19</v>
      </c>
      <c r="O140" s="15" t="s">
        <v>3516</v>
      </c>
      <c r="P140" s="15" t="s">
        <v>19</v>
      </c>
    </row>
    <row r="141" spans="1:16" x14ac:dyDescent="0.25">
      <c r="A141" s="27" t="s">
        <v>3517</v>
      </c>
      <c r="B141" s="7">
        <v>46121</v>
      </c>
      <c r="C141" s="7">
        <v>46127</v>
      </c>
      <c r="D141" s="27">
        <v>3271</v>
      </c>
      <c r="E141" s="27">
        <v>336</v>
      </c>
      <c r="F141" s="27">
        <v>4</v>
      </c>
      <c r="G141" s="27">
        <v>6</v>
      </c>
      <c r="H141" s="27">
        <v>81328</v>
      </c>
      <c r="I141" s="27" t="s">
        <v>543</v>
      </c>
      <c r="J141" s="27">
        <v>68118061</v>
      </c>
      <c r="K141" s="27" t="s">
        <v>3275</v>
      </c>
      <c r="L141" s="27" t="s">
        <v>3277</v>
      </c>
      <c r="M141" s="52">
        <v>59900</v>
      </c>
      <c r="N141" s="15" t="s">
        <v>19</v>
      </c>
      <c r="O141" s="15" t="s">
        <v>3516</v>
      </c>
      <c r="P141" s="15" t="s">
        <v>19</v>
      </c>
    </row>
    <row r="142" spans="1:16" x14ac:dyDescent="0.25">
      <c r="A142" s="27" t="s">
        <v>3517</v>
      </c>
      <c r="B142" s="7">
        <v>46121</v>
      </c>
      <c r="C142" s="7">
        <v>46127</v>
      </c>
      <c r="D142" s="27">
        <v>3271</v>
      </c>
      <c r="E142" s="27">
        <v>336</v>
      </c>
      <c r="F142" s="27">
        <v>4</v>
      </c>
      <c r="G142" s="27">
        <v>6</v>
      </c>
      <c r="H142" s="27">
        <v>81328</v>
      </c>
      <c r="I142" s="27" t="s">
        <v>543</v>
      </c>
      <c r="J142" s="27">
        <v>68118070</v>
      </c>
      <c r="K142" s="27" t="s">
        <v>3275</v>
      </c>
      <c r="L142" s="27" t="s">
        <v>3278</v>
      </c>
      <c r="M142" s="52">
        <v>59900</v>
      </c>
      <c r="N142" s="15" t="s">
        <v>19</v>
      </c>
      <c r="O142" s="15" t="s">
        <v>3516</v>
      </c>
      <c r="P142" s="15" t="s">
        <v>19</v>
      </c>
    </row>
    <row r="143" spans="1:16" x14ac:dyDescent="0.25">
      <c r="A143" s="27" t="s">
        <v>3517</v>
      </c>
      <c r="B143" s="7">
        <v>46121</v>
      </c>
      <c r="C143" s="7">
        <v>46127</v>
      </c>
      <c r="D143" s="27">
        <v>3271</v>
      </c>
      <c r="E143" s="27">
        <v>336</v>
      </c>
      <c r="F143" s="27">
        <v>4</v>
      </c>
      <c r="G143" s="27">
        <v>6</v>
      </c>
      <c r="H143" s="27">
        <v>81328</v>
      </c>
      <c r="I143" s="27" t="s">
        <v>543</v>
      </c>
      <c r="J143" s="27">
        <v>68118089</v>
      </c>
      <c r="K143" s="27" t="s">
        <v>3275</v>
      </c>
      <c r="L143" s="27" t="s">
        <v>3279</v>
      </c>
      <c r="M143" s="52">
        <v>59900</v>
      </c>
      <c r="N143" s="15" t="s">
        <v>19</v>
      </c>
      <c r="O143" s="15" t="s">
        <v>3516</v>
      </c>
      <c r="P143" s="15" t="s">
        <v>19</v>
      </c>
    </row>
    <row r="144" spans="1:16" x14ac:dyDescent="0.25">
      <c r="A144" s="27" t="s">
        <v>3517</v>
      </c>
      <c r="B144" s="7">
        <v>46121</v>
      </c>
      <c r="C144" s="7">
        <v>46127</v>
      </c>
      <c r="D144" s="27">
        <v>3271</v>
      </c>
      <c r="E144" s="27">
        <v>336</v>
      </c>
      <c r="F144" s="27">
        <v>4</v>
      </c>
      <c r="G144" s="27">
        <v>6</v>
      </c>
      <c r="H144" s="27">
        <v>81328</v>
      </c>
      <c r="I144" s="27" t="s">
        <v>543</v>
      </c>
      <c r="J144" s="27">
        <v>68118098</v>
      </c>
      <c r="K144" s="27" t="s">
        <v>3275</v>
      </c>
      <c r="L144" s="27" t="s">
        <v>3280</v>
      </c>
      <c r="M144" s="52">
        <v>59900</v>
      </c>
      <c r="N144" s="15" t="s">
        <v>19</v>
      </c>
      <c r="O144" s="15" t="s">
        <v>3516</v>
      </c>
      <c r="P144" s="15" t="s">
        <v>19</v>
      </c>
    </row>
    <row r="145" spans="1:16" x14ac:dyDescent="0.25">
      <c r="A145" s="27" t="s">
        <v>3517</v>
      </c>
      <c r="B145" s="7">
        <v>46121</v>
      </c>
      <c r="C145" s="7">
        <v>46127</v>
      </c>
      <c r="D145" s="27">
        <v>3271</v>
      </c>
      <c r="E145" s="27">
        <v>336</v>
      </c>
      <c r="F145" s="27">
        <v>4</v>
      </c>
      <c r="G145" s="27">
        <v>6</v>
      </c>
      <c r="H145" s="27">
        <v>81328</v>
      </c>
      <c r="I145" s="27" t="s">
        <v>543</v>
      </c>
      <c r="J145" s="27">
        <v>68118105</v>
      </c>
      <c r="K145" s="27" t="s">
        <v>3275</v>
      </c>
      <c r="L145" s="27" t="s">
        <v>3281</v>
      </c>
      <c r="M145" s="52">
        <v>59900</v>
      </c>
      <c r="N145" s="15" t="s">
        <v>19</v>
      </c>
      <c r="O145" s="15" t="s">
        <v>3516</v>
      </c>
      <c r="P145" s="15" t="s">
        <v>19</v>
      </c>
    </row>
    <row r="146" spans="1:16" x14ac:dyDescent="0.25">
      <c r="A146" s="27" t="s">
        <v>3517</v>
      </c>
      <c r="B146" s="7">
        <v>46121</v>
      </c>
      <c r="C146" s="7">
        <v>46127</v>
      </c>
      <c r="D146" s="27">
        <v>3271</v>
      </c>
      <c r="E146" s="27">
        <v>336</v>
      </c>
      <c r="F146" s="27">
        <v>4</v>
      </c>
      <c r="G146" s="27">
        <v>6</v>
      </c>
      <c r="H146" s="27">
        <v>81328</v>
      </c>
      <c r="I146" s="27" t="s">
        <v>543</v>
      </c>
      <c r="J146" s="27">
        <v>68118114</v>
      </c>
      <c r="K146" s="27" t="s">
        <v>3275</v>
      </c>
      <c r="L146" s="27" t="s">
        <v>3282</v>
      </c>
      <c r="M146" s="52">
        <v>59900</v>
      </c>
      <c r="N146" s="15" t="s">
        <v>19</v>
      </c>
      <c r="O146" s="15" t="s">
        <v>3516</v>
      </c>
      <c r="P146" s="15" t="s">
        <v>19</v>
      </c>
    </row>
    <row r="147" spans="1:16" x14ac:dyDescent="0.25">
      <c r="A147" s="27" t="s">
        <v>3517</v>
      </c>
      <c r="B147" s="7">
        <v>46121</v>
      </c>
      <c r="C147" s="7">
        <v>46127</v>
      </c>
      <c r="D147" s="27">
        <v>3271</v>
      </c>
      <c r="E147" s="27">
        <v>336</v>
      </c>
      <c r="F147" s="27">
        <v>4</v>
      </c>
      <c r="G147" s="27">
        <v>6</v>
      </c>
      <c r="H147" s="27">
        <v>81328</v>
      </c>
      <c r="I147" s="27" t="s">
        <v>543</v>
      </c>
      <c r="J147" s="27">
        <v>68118123</v>
      </c>
      <c r="K147" s="27" t="s">
        <v>3275</v>
      </c>
      <c r="L147" s="27" t="s">
        <v>3283</v>
      </c>
      <c r="M147" s="52">
        <v>59900</v>
      </c>
      <c r="N147" s="15" t="s">
        <v>19</v>
      </c>
      <c r="O147" s="15" t="s">
        <v>3516</v>
      </c>
      <c r="P147" s="15" t="s">
        <v>19</v>
      </c>
    </row>
    <row r="148" spans="1:16" x14ac:dyDescent="0.25">
      <c r="A148" s="27" t="s">
        <v>3517</v>
      </c>
      <c r="B148" s="7">
        <v>46121</v>
      </c>
      <c r="C148" s="7">
        <v>46127</v>
      </c>
      <c r="D148" s="27">
        <v>3271</v>
      </c>
      <c r="E148" s="27">
        <v>336</v>
      </c>
      <c r="F148" s="27">
        <v>4</v>
      </c>
      <c r="G148" s="27">
        <v>6</v>
      </c>
      <c r="H148" s="27">
        <v>81328</v>
      </c>
      <c r="I148" s="27" t="s">
        <v>543</v>
      </c>
      <c r="J148" s="27">
        <v>68118132</v>
      </c>
      <c r="K148" s="27" t="s">
        <v>3275</v>
      </c>
      <c r="L148" s="27" t="s">
        <v>3284</v>
      </c>
      <c r="M148" s="52">
        <v>59900</v>
      </c>
      <c r="N148" s="15" t="s">
        <v>19</v>
      </c>
      <c r="O148" s="15" t="s">
        <v>3516</v>
      </c>
      <c r="P148" s="15" t="s">
        <v>19</v>
      </c>
    </row>
    <row r="149" spans="1:16" x14ac:dyDescent="0.25">
      <c r="A149" s="27" t="s">
        <v>3517</v>
      </c>
      <c r="B149" s="7">
        <v>46121</v>
      </c>
      <c r="C149" s="7">
        <v>46127</v>
      </c>
      <c r="D149" s="27">
        <v>3271</v>
      </c>
      <c r="E149" s="27">
        <v>336</v>
      </c>
      <c r="F149" s="27">
        <v>4</v>
      </c>
      <c r="G149" s="27">
        <v>6</v>
      </c>
      <c r="H149" s="27">
        <v>81328</v>
      </c>
      <c r="I149" s="27" t="s">
        <v>543</v>
      </c>
      <c r="J149" s="27">
        <v>68118141</v>
      </c>
      <c r="K149" s="27" t="s">
        <v>3275</v>
      </c>
      <c r="L149" s="27" t="s">
        <v>3285</v>
      </c>
      <c r="M149" s="52">
        <v>59900</v>
      </c>
      <c r="N149" s="15" t="s">
        <v>19</v>
      </c>
      <c r="O149" s="15" t="s">
        <v>3516</v>
      </c>
      <c r="P149" s="15" t="s">
        <v>19</v>
      </c>
    </row>
    <row r="150" spans="1:16" x14ac:dyDescent="0.25">
      <c r="A150" s="27" t="s">
        <v>3517</v>
      </c>
      <c r="B150" s="7">
        <v>46121</v>
      </c>
      <c r="C150" s="7">
        <v>46127</v>
      </c>
      <c r="D150" s="27">
        <v>3271</v>
      </c>
      <c r="E150" s="27">
        <v>336</v>
      </c>
      <c r="F150" s="27">
        <v>4</v>
      </c>
      <c r="G150" s="27">
        <v>6</v>
      </c>
      <c r="H150" s="27">
        <v>81328</v>
      </c>
      <c r="I150" s="27" t="s">
        <v>543</v>
      </c>
      <c r="J150" s="27">
        <v>68118150</v>
      </c>
      <c r="K150" s="27" t="s">
        <v>3275</v>
      </c>
      <c r="L150" s="27" t="s">
        <v>3286</v>
      </c>
      <c r="M150" s="52">
        <v>59900</v>
      </c>
      <c r="N150" s="15" t="s">
        <v>19</v>
      </c>
      <c r="O150" s="15" t="s">
        <v>3516</v>
      </c>
      <c r="P150" s="15" t="s">
        <v>19</v>
      </c>
    </row>
    <row r="151" spans="1:16" x14ac:dyDescent="0.25">
      <c r="A151" s="27" t="s">
        <v>3517</v>
      </c>
      <c r="B151" s="7">
        <v>46121</v>
      </c>
      <c r="C151" s="7">
        <v>46127</v>
      </c>
      <c r="D151" s="27">
        <v>3271</v>
      </c>
      <c r="E151" s="27">
        <v>336</v>
      </c>
      <c r="F151" s="27">
        <v>4</v>
      </c>
      <c r="G151" s="27">
        <v>6</v>
      </c>
      <c r="H151" s="27">
        <v>81328</v>
      </c>
      <c r="I151" s="27" t="s">
        <v>543</v>
      </c>
      <c r="J151" s="27">
        <v>68118169</v>
      </c>
      <c r="K151" s="27" t="s">
        <v>3275</v>
      </c>
      <c r="L151" s="27" t="s">
        <v>3287</v>
      </c>
      <c r="M151" s="52">
        <v>59900</v>
      </c>
      <c r="N151" s="15" t="s">
        <v>19</v>
      </c>
      <c r="O151" s="15" t="s">
        <v>3516</v>
      </c>
      <c r="P151" s="15" t="s">
        <v>19</v>
      </c>
    </row>
    <row r="152" spans="1:16" x14ac:dyDescent="0.25">
      <c r="A152" s="27" t="s">
        <v>3517</v>
      </c>
      <c r="B152" s="7">
        <v>46121</v>
      </c>
      <c r="C152" s="7">
        <v>46127</v>
      </c>
      <c r="D152" s="27">
        <v>3271</v>
      </c>
      <c r="E152" s="27">
        <v>336</v>
      </c>
      <c r="F152" s="27">
        <v>4</v>
      </c>
      <c r="G152" s="27">
        <v>6</v>
      </c>
      <c r="H152" s="27">
        <v>81328</v>
      </c>
      <c r="I152" s="27" t="s">
        <v>543</v>
      </c>
      <c r="J152" s="27">
        <v>68118178</v>
      </c>
      <c r="K152" s="27" t="s">
        <v>3275</v>
      </c>
      <c r="L152" s="27" t="s">
        <v>3288</v>
      </c>
      <c r="M152" s="52">
        <v>59900</v>
      </c>
      <c r="N152" s="15" t="s">
        <v>19</v>
      </c>
      <c r="O152" s="15" t="s">
        <v>3516</v>
      </c>
      <c r="P152" s="15" t="s">
        <v>19</v>
      </c>
    </row>
    <row r="153" spans="1:16" x14ac:dyDescent="0.25">
      <c r="A153" s="27" t="s">
        <v>3517</v>
      </c>
      <c r="B153" s="7">
        <v>46121</v>
      </c>
      <c r="C153" s="7">
        <v>46127</v>
      </c>
      <c r="D153" s="27">
        <v>3271</v>
      </c>
      <c r="E153" s="27">
        <v>336</v>
      </c>
      <c r="F153" s="27">
        <v>4</v>
      </c>
      <c r="G153" s="27">
        <v>6</v>
      </c>
      <c r="H153" s="27">
        <v>81328</v>
      </c>
      <c r="I153" s="27" t="s">
        <v>543</v>
      </c>
      <c r="J153" s="27">
        <v>68118187</v>
      </c>
      <c r="K153" s="27" t="s">
        <v>3275</v>
      </c>
      <c r="L153" s="27" t="s">
        <v>3289</v>
      </c>
      <c r="M153" s="52">
        <v>59900</v>
      </c>
      <c r="N153" s="15" t="s">
        <v>19</v>
      </c>
      <c r="O153" s="15" t="s">
        <v>3516</v>
      </c>
      <c r="P153" s="15" t="s">
        <v>19</v>
      </c>
    </row>
    <row r="154" spans="1:16" x14ac:dyDescent="0.25">
      <c r="A154" s="27" t="s">
        <v>3517</v>
      </c>
      <c r="B154" s="7">
        <v>46121</v>
      </c>
      <c r="C154" s="7">
        <v>46127</v>
      </c>
      <c r="D154" s="27">
        <v>3271</v>
      </c>
      <c r="E154" s="27">
        <v>336</v>
      </c>
      <c r="F154" s="27">
        <v>4</v>
      </c>
      <c r="G154" s="27">
        <v>6</v>
      </c>
      <c r="H154" s="27">
        <v>81328</v>
      </c>
      <c r="I154" s="27" t="s">
        <v>543</v>
      </c>
      <c r="J154" s="27">
        <v>68118196</v>
      </c>
      <c r="K154" s="27" t="s">
        <v>3275</v>
      </c>
      <c r="L154" s="27" t="s">
        <v>3290</v>
      </c>
      <c r="M154" s="52">
        <v>59900</v>
      </c>
      <c r="N154" s="15" t="s">
        <v>19</v>
      </c>
      <c r="O154" s="15" t="s">
        <v>3516</v>
      </c>
      <c r="P154" s="15" t="s">
        <v>19</v>
      </c>
    </row>
    <row r="155" spans="1:16" x14ac:dyDescent="0.25">
      <c r="A155" s="27" t="s">
        <v>3517</v>
      </c>
      <c r="B155" s="7">
        <v>46121</v>
      </c>
      <c r="C155" s="7">
        <v>46127</v>
      </c>
      <c r="D155" s="27">
        <v>3271</v>
      </c>
      <c r="E155" s="27">
        <v>336</v>
      </c>
      <c r="F155" s="27">
        <v>4</v>
      </c>
      <c r="G155" s="27">
        <v>6</v>
      </c>
      <c r="H155" s="27">
        <v>81328</v>
      </c>
      <c r="I155" s="27" t="s">
        <v>543</v>
      </c>
      <c r="J155" s="27">
        <v>68118203</v>
      </c>
      <c r="K155" s="27" t="s">
        <v>3275</v>
      </c>
      <c r="L155" s="27" t="s">
        <v>3291</v>
      </c>
      <c r="M155" s="52">
        <v>59900</v>
      </c>
      <c r="N155" s="15" t="s">
        <v>19</v>
      </c>
      <c r="O155" s="15" t="s">
        <v>3516</v>
      </c>
      <c r="P155" s="15" t="s">
        <v>19</v>
      </c>
    </row>
    <row r="156" spans="1:16" x14ac:dyDescent="0.25">
      <c r="A156" s="27" t="s">
        <v>3517</v>
      </c>
      <c r="B156" s="7">
        <v>46121</v>
      </c>
      <c r="C156" s="7">
        <v>46127</v>
      </c>
      <c r="D156" s="27">
        <v>3271</v>
      </c>
      <c r="E156" s="27">
        <v>336</v>
      </c>
      <c r="F156" s="27">
        <v>4</v>
      </c>
      <c r="G156" s="27">
        <v>6</v>
      </c>
      <c r="H156" s="27">
        <v>81328</v>
      </c>
      <c r="I156" s="27" t="s">
        <v>543</v>
      </c>
      <c r="J156" s="27">
        <v>68118212</v>
      </c>
      <c r="K156" s="27" t="s">
        <v>3275</v>
      </c>
      <c r="L156" s="27" t="s">
        <v>3292</v>
      </c>
      <c r="M156" s="52">
        <v>59900</v>
      </c>
      <c r="N156" s="15" t="s">
        <v>19</v>
      </c>
      <c r="O156" s="15" t="s">
        <v>3516</v>
      </c>
      <c r="P156" s="15" t="s">
        <v>19</v>
      </c>
    </row>
    <row r="157" spans="1:16" x14ac:dyDescent="0.25">
      <c r="A157" s="27" t="s">
        <v>3517</v>
      </c>
      <c r="B157" s="7">
        <v>46121</v>
      </c>
      <c r="C157" s="7">
        <v>46127</v>
      </c>
      <c r="D157" s="27">
        <v>3271</v>
      </c>
      <c r="E157" s="27">
        <v>336</v>
      </c>
      <c r="F157" s="27">
        <v>4</v>
      </c>
      <c r="G157" s="27">
        <v>6</v>
      </c>
      <c r="H157" s="27">
        <v>81328</v>
      </c>
      <c r="I157" s="27" t="s">
        <v>543</v>
      </c>
      <c r="J157" s="27">
        <v>68118221</v>
      </c>
      <c r="K157" s="27" t="s">
        <v>3275</v>
      </c>
      <c r="L157" s="27" t="s">
        <v>3293</v>
      </c>
      <c r="M157" s="52">
        <v>59900</v>
      </c>
      <c r="N157" s="15" t="s">
        <v>19</v>
      </c>
      <c r="O157" s="15" t="s">
        <v>3516</v>
      </c>
      <c r="P157" s="15" t="s">
        <v>19</v>
      </c>
    </row>
    <row r="158" spans="1:16" x14ac:dyDescent="0.25">
      <c r="A158" s="27" t="s">
        <v>3517</v>
      </c>
      <c r="B158" s="7">
        <v>46121</v>
      </c>
      <c r="C158" s="7">
        <v>46127</v>
      </c>
      <c r="D158" s="27">
        <v>3271</v>
      </c>
      <c r="E158" s="27">
        <v>336</v>
      </c>
      <c r="F158" s="27">
        <v>4</v>
      </c>
      <c r="G158" s="27">
        <v>6</v>
      </c>
      <c r="H158" s="27">
        <v>81328</v>
      </c>
      <c r="I158" s="27" t="s">
        <v>543</v>
      </c>
      <c r="J158" s="27">
        <v>68118230</v>
      </c>
      <c r="K158" s="27" t="s">
        <v>3275</v>
      </c>
      <c r="L158" s="27" t="s">
        <v>3294</v>
      </c>
      <c r="M158" s="52">
        <v>59900</v>
      </c>
      <c r="N158" s="15" t="s">
        <v>19</v>
      </c>
      <c r="O158" s="15" t="s">
        <v>3516</v>
      </c>
      <c r="P158" s="15" t="s">
        <v>19</v>
      </c>
    </row>
    <row r="159" spans="1:16" x14ac:dyDescent="0.25">
      <c r="A159" s="27" t="s">
        <v>3517</v>
      </c>
      <c r="B159" s="7">
        <v>46121</v>
      </c>
      <c r="C159" s="7">
        <v>46127</v>
      </c>
      <c r="D159" s="27">
        <v>3271</v>
      </c>
      <c r="E159" s="27">
        <v>336</v>
      </c>
      <c r="F159" s="27">
        <v>4</v>
      </c>
      <c r="G159" s="27">
        <v>6</v>
      </c>
      <c r="H159" s="27">
        <v>81328</v>
      </c>
      <c r="I159" s="27" t="s">
        <v>543</v>
      </c>
      <c r="J159" s="27">
        <v>68118249</v>
      </c>
      <c r="K159" s="27" t="s">
        <v>3275</v>
      </c>
      <c r="L159" s="27" t="s">
        <v>3295</v>
      </c>
      <c r="M159" s="52">
        <v>59900</v>
      </c>
      <c r="N159" s="15" t="s">
        <v>19</v>
      </c>
      <c r="O159" s="15" t="s">
        <v>3516</v>
      </c>
      <c r="P159" s="15" t="s">
        <v>19</v>
      </c>
    </row>
    <row r="160" spans="1:16" x14ac:dyDescent="0.25">
      <c r="A160" s="27" t="s">
        <v>3517</v>
      </c>
      <c r="B160" s="7">
        <v>46121</v>
      </c>
      <c r="C160" s="7">
        <v>46127</v>
      </c>
      <c r="D160" s="27">
        <v>3271</v>
      </c>
      <c r="E160" s="27">
        <v>336</v>
      </c>
      <c r="F160" s="27">
        <v>4</v>
      </c>
      <c r="G160" s="27">
        <v>6</v>
      </c>
      <c r="H160" s="27">
        <v>81328</v>
      </c>
      <c r="I160" s="27" t="s">
        <v>543</v>
      </c>
      <c r="J160" s="27">
        <v>68118258</v>
      </c>
      <c r="K160" s="27" t="s">
        <v>3275</v>
      </c>
      <c r="L160" s="27" t="s">
        <v>3296</v>
      </c>
      <c r="M160" s="52">
        <v>59900</v>
      </c>
      <c r="N160" s="15" t="s">
        <v>19</v>
      </c>
      <c r="O160" s="15" t="s">
        <v>3516</v>
      </c>
      <c r="P160" s="15" t="s">
        <v>19</v>
      </c>
    </row>
    <row r="161" spans="1:16" x14ac:dyDescent="0.25">
      <c r="A161" s="27" t="s">
        <v>3517</v>
      </c>
      <c r="B161" s="7">
        <v>46121</v>
      </c>
      <c r="C161" s="7">
        <v>46127</v>
      </c>
      <c r="D161" s="27">
        <v>3271</v>
      </c>
      <c r="E161" s="27">
        <v>336</v>
      </c>
      <c r="F161" s="27">
        <v>4</v>
      </c>
      <c r="G161" s="27">
        <v>6</v>
      </c>
      <c r="H161" s="27">
        <v>81328</v>
      </c>
      <c r="I161" s="27" t="s">
        <v>543</v>
      </c>
      <c r="J161" s="27">
        <v>68118267</v>
      </c>
      <c r="K161" s="27" t="s">
        <v>3275</v>
      </c>
      <c r="L161" s="27" t="s">
        <v>3297</v>
      </c>
      <c r="M161" s="52">
        <v>59900</v>
      </c>
      <c r="N161" s="15" t="s">
        <v>19</v>
      </c>
      <c r="O161" s="15" t="s">
        <v>3516</v>
      </c>
      <c r="P161" s="15" t="s">
        <v>19</v>
      </c>
    </row>
    <row r="162" spans="1:16" x14ac:dyDescent="0.25">
      <c r="A162" s="27" t="s">
        <v>3517</v>
      </c>
      <c r="B162" s="7">
        <v>46121</v>
      </c>
      <c r="C162" s="7">
        <v>46127</v>
      </c>
      <c r="D162" s="27">
        <v>3271</v>
      </c>
      <c r="E162" s="27">
        <v>336</v>
      </c>
      <c r="F162" s="27">
        <v>4</v>
      </c>
      <c r="G162" s="27">
        <v>6</v>
      </c>
      <c r="H162" s="27">
        <v>81328</v>
      </c>
      <c r="I162" s="27" t="s">
        <v>543</v>
      </c>
      <c r="J162" s="27">
        <v>68118276</v>
      </c>
      <c r="K162" s="27" t="s">
        <v>3275</v>
      </c>
      <c r="L162" s="27" t="s">
        <v>3298</v>
      </c>
      <c r="M162" s="52">
        <v>59900</v>
      </c>
      <c r="N162" s="15" t="s">
        <v>19</v>
      </c>
      <c r="O162" s="15" t="s">
        <v>3516</v>
      </c>
      <c r="P162" s="15" t="s">
        <v>19</v>
      </c>
    </row>
    <row r="163" spans="1:16" x14ac:dyDescent="0.25">
      <c r="A163" s="27" t="s">
        <v>3517</v>
      </c>
      <c r="B163" s="7">
        <v>46121</v>
      </c>
      <c r="C163" s="7">
        <v>46127</v>
      </c>
      <c r="D163" s="27">
        <v>3271</v>
      </c>
      <c r="E163" s="27">
        <v>336</v>
      </c>
      <c r="F163" s="27">
        <v>4</v>
      </c>
      <c r="G163" s="27">
        <v>6</v>
      </c>
      <c r="H163" s="27">
        <v>81328</v>
      </c>
      <c r="I163" s="27" t="s">
        <v>543</v>
      </c>
      <c r="J163" s="27">
        <v>68118285</v>
      </c>
      <c r="K163" s="27" t="s">
        <v>3275</v>
      </c>
      <c r="L163" s="27" t="s">
        <v>3299</v>
      </c>
      <c r="M163" s="52">
        <v>59900</v>
      </c>
      <c r="N163" s="15" t="s">
        <v>19</v>
      </c>
      <c r="O163" s="15" t="s">
        <v>3516</v>
      </c>
      <c r="P163" s="15" t="s">
        <v>19</v>
      </c>
    </row>
    <row r="164" spans="1:16" x14ac:dyDescent="0.25">
      <c r="A164" s="27" t="s">
        <v>3517</v>
      </c>
      <c r="B164" s="7">
        <v>46121</v>
      </c>
      <c r="C164" s="7">
        <v>46127</v>
      </c>
      <c r="D164" s="27">
        <v>3271</v>
      </c>
      <c r="E164" s="27">
        <v>336</v>
      </c>
      <c r="F164" s="27">
        <v>4</v>
      </c>
      <c r="G164" s="27">
        <v>6</v>
      </c>
      <c r="H164" s="27">
        <v>81328</v>
      </c>
      <c r="I164" s="27" t="s">
        <v>543</v>
      </c>
      <c r="J164" s="27">
        <v>68118294</v>
      </c>
      <c r="K164" s="27" t="s">
        <v>3275</v>
      </c>
      <c r="L164" s="16" t="s">
        <v>3300</v>
      </c>
      <c r="M164" s="52">
        <v>59900</v>
      </c>
      <c r="N164" s="15" t="s">
        <v>19</v>
      </c>
      <c r="O164" s="15" t="s">
        <v>3516</v>
      </c>
      <c r="P164" s="15" t="s">
        <v>19</v>
      </c>
    </row>
    <row r="165" spans="1:16" x14ac:dyDescent="0.25">
      <c r="A165" s="27" t="s">
        <v>3517</v>
      </c>
      <c r="B165" s="7">
        <v>46121</v>
      </c>
      <c r="C165" s="7">
        <v>46127</v>
      </c>
      <c r="D165" s="27">
        <v>3271</v>
      </c>
      <c r="E165" s="27">
        <v>336</v>
      </c>
      <c r="F165" s="27">
        <v>4</v>
      </c>
      <c r="G165" s="27">
        <v>6</v>
      </c>
      <c r="H165" s="27">
        <v>81328</v>
      </c>
      <c r="I165" s="27" t="s">
        <v>543</v>
      </c>
      <c r="J165" s="27">
        <v>68118301</v>
      </c>
      <c r="K165" s="27" t="s">
        <v>3275</v>
      </c>
      <c r="L165" s="16" t="s">
        <v>3301</v>
      </c>
      <c r="M165" s="52">
        <v>59900</v>
      </c>
      <c r="N165" s="15" t="s">
        <v>19</v>
      </c>
      <c r="O165" s="15" t="s">
        <v>3516</v>
      </c>
      <c r="P165" s="15" t="s">
        <v>19</v>
      </c>
    </row>
    <row r="166" spans="1:16" x14ac:dyDescent="0.25">
      <c r="A166" s="27" t="s">
        <v>3517</v>
      </c>
      <c r="B166" s="7">
        <v>46121</v>
      </c>
      <c r="C166" s="7">
        <v>46127</v>
      </c>
      <c r="D166" s="27">
        <v>3271</v>
      </c>
      <c r="E166" s="27">
        <v>336</v>
      </c>
      <c r="F166" s="27">
        <v>4</v>
      </c>
      <c r="G166" s="27">
        <v>6</v>
      </c>
      <c r="H166" s="27">
        <v>81328</v>
      </c>
      <c r="I166" s="27" t="s">
        <v>543</v>
      </c>
      <c r="J166" s="27">
        <v>68118310</v>
      </c>
      <c r="K166" s="27" t="s">
        <v>3275</v>
      </c>
      <c r="L166" s="16" t="s">
        <v>3302</v>
      </c>
      <c r="M166" s="52">
        <v>59900</v>
      </c>
      <c r="N166" s="15" t="s">
        <v>19</v>
      </c>
      <c r="O166" s="15" t="s">
        <v>3516</v>
      </c>
      <c r="P166" s="15" t="s">
        <v>19</v>
      </c>
    </row>
    <row r="167" spans="1:16" x14ac:dyDescent="0.25">
      <c r="A167" s="27" t="s">
        <v>3517</v>
      </c>
      <c r="B167" s="7">
        <v>46121</v>
      </c>
      <c r="C167" s="7">
        <v>46127</v>
      </c>
      <c r="D167" s="27">
        <v>3271</v>
      </c>
      <c r="E167" s="27">
        <v>336</v>
      </c>
      <c r="F167" s="27">
        <v>4</v>
      </c>
      <c r="G167" s="27">
        <v>6</v>
      </c>
      <c r="H167" s="27">
        <v>81328</v>
      </c>
      <c r="I167" s="27" t="s">
        <v>543</v>
      </c>
      <c r="J167" s="27">
        <v>68118329</v>
      </c>
      <c r="K167" s="27" t="s">
        <v>3275</v>
      </c>
      <c r="L167" s="16" t="s">
        <v>3303</v>
      </c>
      <c r="M167" s="52">
        <v>59900</v>
      </c>
      <c r="N167" s="15" t="s">
        <v>19</v>
      </c>
      <c r="O167" s="15" t="s">
        <v>3516</v>
      </c>
      <c r="P167" s="15" t="s">
        <v>19</v>
      </c>
    </row>
    <row r="168" spans="1:16" x14ac:dyDescent="0.25">
      <c r="A168" s="27" t="s">
        <v>3517</v>
      </c>
      <c r="B168" s="7">
        <v>46121</v>
      </c>
      <c r="C168" s="7">
        <v>46127</v>
      </c>
      <c r="D168" s="27">
        <v>3271</v>
      </c>
      <c r="E168" s="27">
        <v>336</v>
      </c>
      <c r="F168" s="27">
        <v>4</v>
      </c>
      <c r="G168" s="27">
        <v>6</v>
      </c>
      <c r="H168" s="27">
        <v>81328</v>
      </c>
      <c r="I168" s="27" t="s">
        <v>543</v>
      </c>
      <c r="J168" s="27">
        <v>68118338</v>
      </c>
      <c r="K168" s="27" t="s">
        <v>3275</v>
      </c>
      <c r="L168" s="16" t="s">
        <v>3304</v>
      </c>
      <c r="M168" s="52">
        <v>59900</v>
      </c>
      <c r="N168" s="15" t="s">
        <v>19</v>
      </c>
      <c r="O168" s="15" t="s">
        <v>3516</v>
      </c>
      <c r="P168" s="15" t="s">
        <v>19</v>
      </c>
    </row>
    <row r="169" spans="1:16" x14ac:dyDescent="0.25">
      <c r="A169" s="27" t="s">
        <v>3517</v>
      </c>
      <c r="B169" s="7">
        <v>46121</v>
      </c>
      <c r="C169" s="7">
        <v>46127</v>
      </c>
      <c r="D169" s="27">
        <v>3271</v>
      </c>
      <c r="E169" s="27">
        <v>336</v>
      </c>
      <c r="F169" s="27">
        <v>4</v>
      </c>
      <c r="G169" s="27">
        <v>6</v>
      </c>
      <c r="H169" s="27">
        <v>81328</v>
      </c>
      <c r="I169" s="27" t="s">
        <v>543</v>
      </c>
      <c r="J169" s="27">
        <v>68118347</v>
      </c>
      <c r="K169" s="27" t="s">
        <v>3275</v>
      </c>
      <c r="L169" s="16" t="s">
        <v>3305</v>
      </c>
      <c r="M169" s="52">
        <v>59900</v>
      </c>
      <c r="N169" s="15" t="s">
        <v>19</v>
      </c>
      <c r="O169" s="15" t="s">
        <v>3516</v>
      </c>
      <c r="P169" s="15" t="s">
        <v>19</v>
      </c>
    </row>
    <row r="170" spans="1:16" x14ac:dyDescent="0.25">
      <c r="A170" s="27" t="s">
        <v>3517</v>
      </c>
      <c r="B170" s="7">
        <v>46121</v>
      </c>
      <c r="C170" s="7">
        <v>46127</v>
      </c>
      <c r="D170" s="27">
        <v>3271</v>
      </c>
      <c r="E170" s="27">
        <v>336</v>
      </c>
      <c r="F170" s="27">
        <v>4</v>
      </c>
      <c r="G170" s="27">
        <v>6</v>
      </c>
      <c r="H170" s="27">
        <v>81328</v>
      </c>
      <c r="I170" s="27" t="s">
        <v>543</v>
      </c>
      <c r="J170" s="27">
        <v>68118356</v>
      </c>
      <c r="K170" s="27" t="s">
        <v>3306</v>
      </c>
      <c r="L170" s="27" t="s">
        <v>3307</v>
      </c>
      <c r="M170" s="52">
        <v>59900</v>
      </c>
      <c r="N170" s="15" t="s">
        <v>19</v>
      </c>
      <c r="O170" s="15" t="s">
        <v>3516</v>
      </c>
      <c r="P170" s="15" t="s">
        <v>19</v>
      </c>
    </row>
    <row r="171" spans="1:16" x14ac:dyDescent="0.25">
      <c r="A171" s="27" t="s">
        <v>3517</v>
      </c>
      <c r="B171" s="7">
        <v>46121</v>
      </c>
      <c r="C171" s="7">
        <v>46127</v>
      </c>
      <c r="D171" s="27">
        <v>3271</v>
      </c>
      <c r="E171" s="27">
        <v>336</v>
      </c>
      <c r="F171" s="27">
        <v>4</v>
      </c>
      <c r="G171" s="27">
        <v>6</v>
      </c>
      <c r="H171" s="27">
        <v>81328</v>
      </c>
      <c r="I171" s="27" t="s">
        <v>543</v>
      </c>
      <c r="J171" s="27">
        <v>68118365</v>
      </c>
      <c r="K171" s="27" t="s">
        <v>3306</v>
      </c>
      <c r="L171" s="27" t="s">
        <v>3308</v>
      </c>
      <c r="M171" s="52">
        <v>59900</v>
      </c>
      <c r="N171" s="15" t="s">
        <v>19</v>
      </c>
      <c r="O171" s="15" t="s">
        <v>3516</v>
      </c>
      <c r="P171" s="15" t="s">
        <v>19</v>
      </c>
    </row>
    <row r="172" spans="1:16" x14ac:dyDescent="0.25">
      <c r="A172" s="27" t="s">
        <v>3517</v>
      </c>
      <c r="B172" s="7">
        <v>46121</v>
      </c>
      <c r="C172" s="7">
        <v>46127</v>
      </c>
      <c r="D172" s="27">
        <v>3271</v>
      </c>
      <c r="E172" s="27">
        <v>336</v>
      </c>
      <c r="F172" s="27">
        <v>4</v>
      </c>
      <c r="G172" s="27">
        <v>6</v>
      </c>
      <c r="H172" s="27">
        <v>81328</v>
      </c>
      <c r="I172" s="27" t="s">
        <v>543</v>
      </c>
      <c r="J172" s="27">
        <v>68118374</v>
      </c>
      <c r="K172" s="27" t="s">
        <v>3306</v>
      </c>
      <c r="L172" s="27" t="s">
        <v>3309</v>
      </c>
      <c r="M172" s="52">
        <v>59900</v>
      </c>
      <c r="N172" s="15" t="s">
        <v>19</v>
      </c>
      <c r="O172" s="15" t="s">
        <v>3516</v>
      </c>
      <c r="P172" s="15" t="s">
        <v>19</v>
      </c>
    </row>
    <row r="173" spans="1:16" x14ac:dyDescent="0.25">
      <c r="A173" s="27" t="s">
        <v>3517</v>
      </c>
      <c r="B173" s="7">
        <v>46121</v>
      </c>
      <c r="C173" s="7">
        <v>46127</v>
      </c>
      <c r="D173" s="27">
        <v>3271</v>
      </c>
      <c r="E173" s="27">
        <v>336</v>
      </c>
      <c r="F173" s="27">
        <v>4</v>
      </c>
      <c r="G173" s="27">
        <v>6</v>
      </c>
      <c r="H173" s="27">
        <v>81328</v>
      </c>
      <c r="I173" s="27" t="s">
        <v>543</v>
      </c>
      <c r="J173" s="27">
        <v>68118383</v>
      </c>
      <c r="K173" s="27" t="s">
        <v>3306</v>
      </c>
      <c r="L173" s="27" t="s">
        <v>3310</v>
      </c>
      <c r="M173" s="52">
        <v>59900</v>
      </c>
      <c r="N173" s="15" t="s">
        <v>19</v>
      </c>
      <c r="O173" s="15" t="s">
        <v>3516</v>
      </c>
      <c r="P173" s="15" t="s">
        <v>19</v>
      </c>
    </row>
    <row r="174" spans="1:16" x14ac:dyDescent="0.25">
      <c r="A174" s="27" t="s">
        <v>3517</v>
      </c>
      <c r="B174" s="7">
        <v>46121</v>
      </c>
      <c r="C174" s="7">
        <v>46127</v>
      </c>
      <c r="D174" s="27">
        <v>3271</v>
      </c>
      <c r="E174" s="27">
        <v>336</v>
      </c>
      <c r="F174" s="27">
        <v>4</v>
      </c>
      <c r="G174" s="27">
        <v>6</v>
      </c>
      <c r="H174" s="27">
        <v>81328</v>
      </c>
      <c r="I174" s="27" t="s">
        <v>543</v>
      </c>
      <c r="J174" s="27">
        <v>68118392</v>
      </c>
      <c r="K174" s="27" t="s">
        <v>3306</v>
      </c>
      <c r="L174" s="27" t="s">
        <v>3311</v>
      </c>
      <c r="M174" s="52">
        <v>59900</v>
      </c>
      <c r="N174" s="15" t="s">
        <v>19</v>
      </c>
      <c r="O174" s="15" t="s">
        <v>3516</v>
      </c>
      <c r="P174" s="15" t="s">
        <v>19</v>
      </c>
    </row>
    <row r="175" spans="1:16" x14ac:dyDescent="0.25">
      <c r="A175" s="27" t="s">
        <v>3517</v>
      </c>
      <c r="B175" s="7">
        <v>46121</v>
      </c>
      <c r="C175" s="7">
        <v>46127</v>
      </c>
      <c r="D175" s="27">
        <v>3271</v>
      </c>
      <c r="E175" s="27">
        <v>336</v>
      </c>
      <c r="F175" s="27">
        <v>4</v>
      </c>
      <c r="G175" s="27">
        <v>6</v>
      </c>
      <c r="H175" s="27">
        <v>81328</v>
      </c>
      <c r="I175" s="27" t="s">
        <v>543</v>
      </c>
      <c r="J175" s="27">
        <v>68118409</v>
      </c>
      <c r="K175" s="27" t="s">
        <v>3306</v>
      </c>
      <c r="L175" s="27" t="s">
        <v>3312</v>
      </c>
      <c r="M175" s="52">
        <v>59900</v>
      </c>
      <c r="N175" s="15" t="s">
        <v>19</v>
      </c>
      <c r="O175" s="15" t="s">
        <v>3516</v>
      </c>
      <c r="P175" s="15" t="s">
        <v>19</v>
      </c>
    </row>
    <row r="176" spans="1:16" x14ac:dyDescent="0.25">
      <c r="A176" s="27" t="s">
        <v>3517</v>
      </c>
      <c r="B176" s="7">
        <v>46121</v>
      </c>
      <c r="C176" s="7">
        <v>46127</v>
      </c>
      <c r="D176" s="27">
        <v>3271</v>
      </c>
      <c r="E176" s="27">
        <v>336</v>
      </c>
      <c r="F176" s="27">
        <v>4</v>
      </c>
      <c r="G176" s="27">
        <v>6</v>
      </c>
      <c r="H176" s="27">
        <v>81328</v>
      </c>
      <c r="I176" s="27" t="s">
        <v>543</v>
      </c>
      <c r="J176" s="27">
        <v>68118418</v>
      </c>
      <c r="K176" s="27" t="s">
        <v>3306</v>
      </c>
      <c r="L176" s="27" t="s">
        <v>3313</v>
      </c>
      <c r="M176" s="52">
        <v>59900</v>
      </c>
      <c r="N176" s="15" t="s">
        <v>19</v>
      </c>
      <c r="O176" s="15" t="s">
        <v>3516</v>
      </c>
      <c r="P176" s="15" t="s">
        <v>19</v>
      </c>
    </row>
    <row r="177" spans="1:16" x14ac:dyDescent="0.25">
      <c r="A177" s="27" t="s">
        <v>3517</v>
      </c>
      <c r="B177" s="7">
        <v>46121</v>
      </c>
      <c r="C177" s="7">
        <v>46127</v>
      </c>
      <c r="D177" s="27">
        <v>3271</v>
      </c>
      <c r="E177" s="27">
        <v>336</v>
      </c>
      <c r="F177" s="27">
        <v>4</v>
      </c>
      <c r="G177" s="27">
        <v>6</v>
      </c>
      <c r="H177" s="27">
        <v>81328</v>
      </c>
      <c r="I177" s="27" t="s">
        <v>543</v>
      </c>
      <c r="J177" s="27">
        <v>68118427</v>
      </c>
      <c r="K177" s="27" t="s">
        <v>3306</v>
      </c>
      <c r="L177" s="27" t="s">
        <v>3314</v>
      </c>
      <c r="M177" s="52">
        <v>59900</v>
      </c>
      <c r="N177" s="15" t="s">
        <v>19</v>
      </c>
      <c r="O177" s="15" t="s">
        <v>3516</v>
      </c>
      <c r="P177" s="15" t="s">
        <v>19</v>
      </c>
    </row>
    <row r="178" spans="1:16" x14ac:dyDescent="0.25">
      <c r="A178" s="27" t="s">
        <v>3517</v>
      </c>
      <c r="B178" s="7">
        <v>46121</v>
      </c>
      <c r="C178" s="7">
        <v>46127</v>
      </c>
      <c r="D178" s="27">
        <v>3271</v>
      </c>
      <c r="E178" s="27">
        <v>336</v>
      </c>
      <c r="F178" s="27">
        <v>4</v>
      </c>
      <c r="G178" s="27">
        <v>6</v>
      </c>
      <c r="H178" s="27">
        <v>81328</v>
      </c>
      <c r="I178" s="27" t="s">
        <v>543</v>
      </c>
      <c r="J178" s="27">
        <v>68118436</v>
      </c>
      <c r="K178" s="27" t="s">
        <v>3306</v>
      </c>
      <c r="L178" s="27" t="s">
        <v>3315</v>
      </c>
      <c r="M178" s="52">
        <v>59900</v>
      </c>
      <c r="N178" s="15" t="s">
        <v>19</v>
      </c>
      <c r="O178" s="15" t="s">
        <v>3516</v>
      </c>
      <c r="P178" s="15" t="s">
        <v>19</v>
      </c>
    </row>
    <row r="179" spans="1:16" x14ac:dyDescent="0.25">
      <c r="A179" s="27" t="s">
        <v>3517</v>
      </c>
      <c r="B179" s="7">
        <v>46121</v>
      </c>
      <c r="C179" s="7">
        <v>46127</v>
      </c>
      <c r="D179" s="27">
        <v>3271</v>
      </c>
      <c r="E179" s="27">
        <v>336</v>
      </c>
      <c r="F179" s="27">
        <v>4</v>
      </c>
      <c r="G179" s="27">
        <v>6</v>
      </c>
      <c r="H179" s="27">
        <v>81328</v>
      </c>
      <c r="I179" s="27" t="s">
        <v>543</v>
      </c>
      <c r="J179" s="27">
        <v>68118445</v>
      </c>
      <c r="K179" s="27" t="s">
        <v>3306</v>
      </c>
      <c r="L179" s="27" t="s">
        <v>3316</v>
      </c>
      <c r="M179" s="52">
        <v>59900</v>
      </c>
      <c r="N179" s="15" t="s">
        <v>19</v>
      </c>
      <c r="O179" s="15" t="s">
        <v>3516</v>
      </c>
      <c r="P179" s="15" t="s">
        <v>19</v>
      </c>
    </row>
    <row r="180" spans="1:16" x14ac:dyDescent="0.25">
      <c r="A180" s="27" t="s">
        <v>3517</v>
      </c>
      <c r="B180" s="7">
        <v>46121</v>
      </c>
      <c r="C180" s="7">
        <v>46127</v>
      </c>
      <c r="D180" s="27">
        <v>3271</v>
      </c>
      <c r="E180" s="27">
        <v>336</v>
      </c>
      <c r="F180" s="27">
        <v>4</v>
      </c>
      <c r="G180" s="27">
        <v>6</v>
      </c>
      <c r="H180" s="27">
        <v>81328</v>
      </c>
      <c r="I180" s="27" t="s">
        <v>543</v>
      </c>
      <c r="J180" s="27">
        <v>68118454</v>
      </c>
      <c r="K180" s="27" t="s">
        <v>3306</v>
      </c>
      <c r="L180" s="27" t="s">
        <v>3317</v>
      </c>
      <c r="M180" s="52">
        <v>59900</v>
      </c>
      <c r="N180" s="15" t="s">
        <v>19</v>
      </c>
      <c r="O180" s="15" t="s">
        <v>3516</v>
      </c>
      <c r="P180" s="15" t="s">
        <v>19</v>
      </c>
    </row>
    <row r="181" spans="1:16" x14ac:dyDescent="0.25">
      <c r="A181" s="27" t="s">
        <v>3517</v>
      </c>
      <c r="B181" s="7">
        <v>46121</v>
      </c>
      <c r="C181" s="7">
        <v>46127</v>
      </c>
      <c r="D181" s="27">
        <v>3271</v>
      </c>
      <c r="E181" s="27">
        <v>336</v>
      </c>
      <c r="F181" s="27">
        <v>4</v>
      </c>
      <c r="G181" s="27">
        <v>6</v>
      </c>
      <c r="H181" s="27">
        <v>81328</v>
      </c>
      <c r="I181" s="27" t="s">
        <v>543</v>
      </c>
      <c r="J181" s="27">
        <v>68118463</v>
      </c>
      <c r="K181" s="27" t="s">
        <v>3306</v>
      </c>
      <c r="L181" s="27" t="s">
        <v>3318</v>
      </c>
      <c r="M181" s="52">
        <v>59900</v>
      </c>
      <c r="N181" s="15" t="s">
        <v>19</v>
      </c>
      <c r="O181" s="15" t="s">
        <v>3516</v>
      </c>
      <c r="P181" s="15" t="s">
        <v>19</v>
      </c>
    </row>
    <row r="182" spans="1:16" x14ac:dyDescent="0.25">
      <c r="A182" s="27" t="s">
        <v>3517</v>
      </c>
      <c r="B182" s="7">
        <v>46121</v>
      </c>
      <c r="C182" s="7">
        <v>46127</v>
      </c>
      <c r="D182" s="27">
        <v>3271</v>
      </c>
      <c r="E182" s="27">
        <v>336</v>
      </c>
      <c r="F182" s="27">
        <v>4</v>
      </c>
      <c r="G182" s="27">
        <v>6</v>
      </c>
      <c r="H182" s="27">
        <v>81328</v>
      </c>
      <c r="I182" s="27" t="s">
        <v>543</v>
      </c>
      <c r="J182" s="27">
        <v>68118472</v>
      </c>
      <c r="K182" s="27" t="s">
        <v>3306</v>
      </c>
      <c r="L182" s="27" t="s">
        <v>3319</v>
      </c>
      <c r="M182" s="52">
        <v>59900</v>
      </c>
      <c r="N182" s="15" t="s">
        <v>19</v>
      </c>
      <c r="O182" s="15" t="s">
        <v>3516</v>
      </c>
      <c r="P182" s="15" t="s">
        <v>19</v>
      </c>
    </row>
    <row r="183" spans="1:16" x14ac:dyDescent="0.25">
      <c r="A183" s="27" t="s">
        <v>3517</v>
      </c>
      <c r="B183" s="7">
        <v>46121</v>
      </c>
      <c r="C183" s="7">
        <v>46127</v>
      </c>
      <c r="D183" s="27">
        <v>3271</v>
      </c>
      <c r="E183" s="27">
        <v>336</v>
      </c>
      <c r="F183" s="27">
        <v>4</v>
      </c>
      <c r="G183" s="27">
        <v>6</v>
      </c>
      <c r="H183" s="27">
        <v>81328</v>
      </c>
      <c r="I183" s="27" t="s">
        <v>543</v>
      </c>
      <c r="J183" s="27">
        <v>68118481</v>
      </c>
      <c r="K183" s="27" t="s">
        <v>3306</v>
      </c>
      <c r="L183" s="27" t="s">
        <v>3320</v>
      </c>
      <c r="M183" s="52">
        <v>59900</v>
      </c>
      <c r="N183" s="15" t="s">
        <v>19</v>
      </c>
      <c r="O183" s="15" t="s">
        <v>3516</v>
      </c>
      <c r="P183" s="15" t="s">
        <v>19</v>
      </c>
    </row>
    <row r="184" spans="1:16" x14ac:dyDescent="0.25">
      <c r="A184" s="27" t="s">
        <v>3517</v>
      </c>
      <c r="B184" s="7">
        <v>46121</v>
      </c>
      <c r="C184" s="7">
        <v>46127</v>
      </c>
      <c r="D184" s="27">
        <v>3271</v>
      </c>
      <c r="E184" s="27">
        <v>336</v>
      </c>
      <c r="F184" s="27">
        <v>4</v>
      </c>
      <c r="G184" s="27">
        <v>6</v>
      </c>
      <c r="H184" s="27">
        <v>81328</v>
      </c>
      <c r="I184" s="27" t="s">
        <v>543</v>
      </c>
      <c r="J184" s="27">
        <v>68118490</v>
      </c>
      <c r="K184" s="27" t="s">
        <v>3306</v>
      </c>
      <c r="L184" s="27" t="s">
        <v>3321</v>
      </c>
      <c r="M184" s="52">
        <v>59900</v>
      </c>
      <c r="N184" s="15" t="s">
        <v>19</v>
      </c>
      <c r="O184" s="15" t="s">
        <v>3516</v>
      </c>
      <c r="P184" s="15" t="s">
        <v>19</v>
      </c>
    </row>
    <row r="185" spans="1:16" x14ac:dyDescent="0.25">
      <c r="A185" s="27" t="s">
        <v>3517</v>
      </c>
      <c r="B185" s="7">
        <v>46121</v>
      </c>
      <c r="C185" s="7">
        <v>46127</v>
      </c>
      <c r="D185" s="27">
        <v>3271</v>
      </c>
      <c r="E185" s="27">
        <v>336</v>
      </c>
      <c r="F185" s="27">
        <v>4</v>
      </c>
      <c r="G185" s="27">
        <v>6</v>
      </c>
      <c r="H185" s="27">
        <v>81328</v>
      </c>
      <c r="I185" s="27" t="s">
        <v>543</v>
      </c>
      <c r="J185" s="27">
        <v>68118507</v>
      </c>
      <c r="K185" s="27" t="s">
        <v>3306</v>
      </c>
      <c r="L185" s="27" t="s">
        <v>3322</v>
      </c>
      <c r="M185" s="52">
        <v>59900</v>
      </c>
      <c r="N185" s="15" t="s">
        <v>19</v>
      </c>
      <c r="O185" s="15" t="s">
        <v>3516</v>
      </c>
      <c r="P185" s="15" t="s">
        <v>19</v>
      </c>
    </row>
    <row r="186" spans="1:16" x14ac:dyDescent="0.25">
      <c r="A186" s="27" t="s">
        <v>3517</v>
      </c>
      <c r="B186" s="7">
        <v>46121</v>
      </c>
      <c r="C186" s="7">
        <v>46127</v>
      </c>
      <c r="D186" s="27">
        <v>3271</v>
      </c>
      <c r="E186" s="27">
        <v>336</v>
      </c>
      <c r="F186" s="27">
        <v>4</v>
      </c>
      <c r="G186" s="27">
        <v>6</v>
      </c>
      <c r="H186" s="27">
        <v>81328</v>
      </c>
      <c r="I186" s="27" t="s">
        <v>543</v>
      </c>
      <c r="J186" s="27">
        <v>68118516</v>
      </c>
      <c r="K186" s="27" t="s">
        <v>3306</v>
      </c>
      <c r="L186" s="27" t="s">
        <v>3323</v>
      </c>
      <c r="M186" s="52">
        <v>59900</v>
      </c>
      <c r="N186" s="15" t="s">
        <v>19</v>
      </c>
      <c r="O186" s="15" t="s">
        <v>3516</v>
      </c>
      <c r="P186" s="15" t="s">
        <v>19</v>
      </c>
    </row>
    <row r="187" spans="1:16" x14ac:dyDescent="0.25">
      <c r="A187" s="27" t="s">
        <v>3517</v>
      </c>
      <c r="B187" s="7">
        <v>46121</v>
      </c>
      <c r="C187" s="7">
        <v>46127</v>
      </c>
      <c r="D187" s="27">
        <v>3271</v>
      </c>
      <c r="E187" s="27">
        <v>336</v>
      </c>
      <c r="F187" s="27">
        <v>4</v>
      </c>
      <c r="G187" s="27">
        <v>6</v>
      </c>
      <c r="H187" s="27">
        <v>81328</v>
      </c>
      <c r="I187" s="27" t="s">
        <v>543</v>
      </c>
      <c r="J187" s="27">
        <v>68118525</v>
      </c>
      <c r="K187" s="27" t="s">
        <v>3306</v>
      </c>
      <c r="L187" s="27" t="s">
        <v>3324</v>
      </c>
      <c r="M187" s="52">
        <v>59900</v>
      </c>
      <c r="N187" s="15" t="s">
        <v>19</v>
      </c>
      <c r="O187" s="15" t="s">
        <v>3516</v>
      </c>
      <c r="P187" s="15" t="s">
        <v>19</v>
      </c>
    </row>
    <row r="188" spans="1:16" x14ac:dyDescent="0.25">
      <c r="A188" s="27" t="s">
        <v>3517</v>
      </c>
      <c r="B188" s="7">
        <v>46121</v>
      </c>
      <c r="C188" s="7">
        <v>46127</v>
      </c>
      <c r="D188" s="27">
        <v>3271</v>
      </c>
      <c r="E188" s="27">
        <v>336</v>
      </c>
      <c r="F188" s="27">
        <v>4</v>
      </c>
      <c r="G188" s="27">
        <v>6</v>
      </c>
      <c r="H188" s="27">
        <v>81328</v>
      </c>
      <c r="I188" s="27" t="s">
        <v>543</v>
      </c>
      <c r="J188" s="27">
        <v>68118534</v>
      </c>
      <c r="K188" s="27" t="s">
        <v>3306</v>
      </c>
      <c r="L188" s="27" t="s">
        <v>3325</v>
      </c>
      <c r="M188" s="52">
        <v>59900</v>
      </c>
      <c r="N188" s="15" t="s">
        <v>19</v>
      </c>
      <c r="O188" s="15" t="s">
        <v>3516</v>
      </c>
      <c r="P188" s="15" t="s">
        <v>19</v>
      </c>
    </row>
    <row r="189" spans="1:16" x14ac:dyDescent="0.25">
      <c r="A189" s="27" t="s">
        <v>3517</v>
      </c>
      <c r="B189" s="7">
        <v>46121</v>
      </c>
      <c r="C189" s="7">
        <v>46127</v>
      </c>
      <c r="D189" s="27">
        <v>3271</v>
      </c>
      <c r="E189" s="27">
        <v>336</v>
      </c>
      <c r="F189" s="27">
        <v>4</v>
      </c>
      <c r="G189" s="27">
        <v>6</v>
      </c>
      <c r="H189" s="27">
        <v>81328</v>
      </c>
      <c r="I189" s="27" t="s">
        <v>543</v>
      </c>
      <c r="J189" s="27">
        <v>68118543</v>
      </c>
      <c r="K189" s="27" t="s">
        <v>3306</v>
      </c>
      <c r="L189" s="27" t="s">
        <v>3326</v>
      </c>
      <c r="M189" s="52">
        <v>59900</v>
      </c>
      <c r="N189" s="15" t="s">
        <v>19</v>
      </c>
      <c r="O189" s="15" t="s">
        <v>3516</v>
      </c>
      <c r="P189" s="15" t="s">
        <v>19</v>
      </c>
    </row>
    <row r="190" spans="1:16" x14ac:dyDescent="0.25">
      <c r="A190" s="27" t="s">
        <v>3517</v>
      </c>
      <c r="B190" s="7">
        <v>46121</v>
      </c>
      <c r="C190" s="7">
        <v>46127</v>
      </c>
      <c r="D190" s="27">
        <v>3271</v>
      </c>
      <c r="E190" s="27">
        <v>336</v>
      </c>
      <c r="F190" s="27">
        <v>4</v>
      </c>
      <c r="G190" s="27">
        <v>6</v>
      </c>
      <c r="H190" s="27">
        <v>81328</v>
      </c>
      <c r="I190" s="27" t="s">
        <v>543</v>
      </c>
      <c r="J190" s="27">
        <v>68118552</v>
      </c>
      <c r="K190" s="27" t="s">
        <v>3306</v>
      </c>
      <c r="L190" s="27" t="s">
        <v>3327</v>
      </c>
      <c r="M190" s="52">
        <v>59900</v>
      </c>
      <c r="N190" s="15" t="s">
        <v>19</v>
      </c>
      <c r="O190" s="15" t="s">
        <v>3516</v>
      </c>
      <c r="P190" s="15" t="s">
        <v>19</v>
      </c>
    </row>
    <row r="191" spans="1:16" x14ac:dyDescent="0.25">
      <c r="A191" s="27" t="s">
        <v>3517</v>
      </c>
      <c r="B191" s="7">
        <v>46121</v>
      </c>
      <c r="C191" s="7">
        <v>46127</v>
      </c>
      <c r="D191" s="27">
        <v>3271</v>
      </c>
      <c r="E191" s="27">
        <v>336</v>
      </c>
      <c r="F191" s="27">
        <v>4</v>
      </c>
      <c r="G191" s="27">
        <v>6</v>
      </c>
      <c r="H191" s="27">
        <v>81328</v>
      </c>
      <c r="I191" s="27" t="s">
        <v>543</v>
      </c>
      <c r="J191" s="27">
        <v>68118561</v>
      </c>
      <c r="K191" s="27" t="s">
        <v>3306</v>
      </c>
      <c r="L191" s="27" t="s">
        <v>3328</v>
      </c>
      <c r="M191" s="52">
        <v>59900</v>
      </c>
      <c r="N191" s="15" t="s">
        <v>19</v>
      </c>
      <c r="O191" s="15" t="s">
        <v>3516</v>
      </c>
      <c r="P191" s="15" t="s">
        <v>19</v>
      </c>
    </row>
    <row r="192" spans="1:16" x14ac:dyDescent="0.25">
      <c r="A192" s="27" t="s">
        <v>3517</v>
      </c>
      <c r="B192" s="7">
        <v>46121</v>
      </c>
      <c r="C192" s="7">
        <v>46127</v>
      </c>
      <c r="D192" s="27">
        <v>3271</v>
      </c>
      <c r="E192" s="27">
        <v>336</v>
      </c>
      <c r="F192" s="27">
        <v>4</v>
      </c>
      <c r="G192" s="27">
        <v>6</v>
      </c>
      <c r="H192" s="27">
        <v>81328</v>
      </c>
      <c r="I192" s="27" t="s">
        <v>543</v>
      </c>
      <c r="J192" s="27">
        <v>68118570</v>
      </c>
      <c r="K192" s="27" t="s">
        <v>3306</v>
      </c>
      <c r="L192" s="27" t="s">
        <v>3329</v>
      </c>
      <c r="M192" s="52">
        <v>59900</v>
      </c>
      <c r="N192" s="15" t="s">
        <v>19</v>
      </c>
      <c r="O192" s="15" t="s">
        <v>3516</v>
      </c>
      <c r="P192" s="15" t="s">
        <v>19</v>
      </c>
    </row>
    <row r="193" spans="1:16" x14ac:dyDescent="0.25">
      <c r="A193" s="27" t="s">
        <v>3517</v>
      </c>
      <c r="B193" s="7">
        <v>46121</v>
      </c>
      <c r="C193" s="7">
        <v>46127</v>
      </c>
      <c r="D193" s="27">
        <v>3271</v>
      </c>
      <c r="E193" s="27">
        <v>336</v>
      </c>
      <c r="F193" s="27">
        <v>4</v>
      </c>
      <c r="G193" s="27">
        <v>6</v>
      </c>
      <c r="H193" s="27">
        <v>81328</v>
      </c>
      <c r="I193" s="27" t="s">
        <v>543</v>
      </c>
      <c r="J193" s="27">
        <v>68118589</v>
      </c>
      <c r="K193" s="27" t="s">
        <v>3306</v>
      </c>
      <c r="L193" s="27" t="s">
        <v>3330</v>
      </c>
      <c r="M193" s="52">
        <v>59900</v>
      </c>
      <c r="N193" s="15" t="s">
        <v>19</v>
      </c>
      <c r="O193" s="15" t="s">
        <v>3516</v>
      </c>
      <c r="P193" s="15" t="s">
        <v>19</v>
      </c>
    </row>
    <row r="194" spans="1:16" x14ac:dyDescent="0.25">
      <c r="A194" s="27" t="s">
        <v>3517</v>
      </c>
      <c r="B194" s="7">
        <v>46121</v>
      </c>
      <c r="C194" s="7">
        <v>46127</v>
      </c>
      <c r="D194" s="27">
        <v>3271</v>
      </c>
      <c r="E194" s="27">
        <v>336</v>
      </c>
      <c r="F194" s="27">
        <v>4</v>
      </c>
      <c r="G194" s="27">
        <v>6</v>
      </c>
      <c r="H194" s="27">
        <v>81328</v>
      </c>
      <c r="I194" s="27" t="s">
        <v>543</v>
      </c>
      <c r="J194" s="27">
        <v>68118598</v>
      </c>
      <c r="K194" s="27" t="s">
        <v>3306</v>
      </c>
      <c r="L194" s="27" t="s">
        <v>3331</v>
      </c>
      <c r="M194" s="52">
        <v>59900</v>
      </c>
      <c r="N194" s="15" t="s">
        <v>19</v>
      </c>
      <c r="O194" s="15" t="s">
        <v>3516</v>
      </c>
      <c r="P194" s="15" t="s">
        <v>19</v>
      </c>
    </row>
    <row r="195" spans="1:16" x14ac:dyDescent="0.25">
      <c r="A195" s="27" t="s">
        <v>3517</v>
      </c>
      <c r="B195" s="7">
        <v>46121</v>
      </c>
      <c r="C195" s="7">
        <v>46127</v>
      </c>
      <c r="D195" s="27">
        <v>3271</v>
      </c>
      <c r="E195" s="27">
        <v>336</v>
      </c>
      <c r="F195" s="27">
        <v>4</v>
      </c>
      <c r="G195" s="27">
        <v>6</v>
      </c>
      <c r="H195" s="27">
        <v>81328</v>
      </c>
      <c r="I195" s="27" t="s">
        <v>543</v>
      </c>
      <c r="J195" s="27">
        <v>68118605</v>
      </c>
      <c r="K195" s="27" t="s">
        <v>3306</v>
      </c>
      <c r="L195" s="27" t="s">
        <v>3332</v>
      </c>
      <c r="M195" s="52">
        <v>59900</v>
      </c>
      <c r="N195" s="15" t="s">
        <v>19</v>
      </c>
      <c r="O195" s="15" t="s">
        <v>3516</v>
      </c>
      <c r="P195" s="15" t="s">
        <v>19</v>
      </c>
    </row>
    <row r="196" spans="1:16" x14ac:dyDescent="0.25">
      <c r="A196" s="27" t="s">
        <v>3517</v>
      </c>
      <c r="B196" s="7">
        <v>46121</v>
      </c>
      <c r="C196" s="7">
        <v>46127</v>
      </c>
      <c r="D196" s="27">
        <v>3271</v>
      </c>
      <c r="E196" s="27">
        <v>336</v>
      </c>
      <c r="F196" s="27">
        <v>4</v>
      </c>
      <c r="G196" s="27">
        <v>6</v>
      </c>
      <c r="H196" s="27">
        <v>81328</v>
      </c>
      <c r="I196" s="27" t="s">
        <v>543</v>
      </c>
      <c r="J196" s="27">
        <v>68118614</v>
      </c>
      <c r="K196" s="27" t="s">
        <v>3306</v>
      </c>
      <c r="L196" s="27" t="s">
        <v>3333</v>
      </c>
      <c r="M196" s="52">
        <v>59900</v>
      </c>
      <c r="N196" s="15" t="s">
        <v>19</v>
      </c>
      <c r="O196" s="15" t="s">
        <v>3516</v>
      </c>
      <c r="P196" s="15" t="s">
        <v>19</v>
      </c>
    </row>
    <row r="197" spans="1:16" x14ac:dyDescent="0.25">
      <c r="A197" s="27" t="s">
        <v>3517</v>
      </c>
      <c r="B197" s="7">
        <v>46121</v>
      </c>
      <c r="C197" s="7">
        <v>46127</v>
      </c>
      <c r="D197" s="27">
        <v>3271</v>
      </c>
      <c r="E197" s="27">
        <v>336</v>
      </c>
      <c r="F197" s="27">
        <v>4</v>
      </c>
      <c r="G197" s="27">
        <v>6</v>
      </c>
      <c r="H197" s="27">
        <v>81328</v>
      </c>
      <c r="I197" s="27" t="s">
        <v>543</v>
      </c>
      <c r="J197" s="27">
        <v>68118623</v>
      </c>
      <c r="K197" s="27" t="s">
        <v>3306</v>
      </c>
      <c r="L197" s="27" t="s">
        <v>3334</v>
      </c>
      <c r="M197" s="52">
        <v>59900</v>
      </c>
      <c r="N197" s="15" t="s">
        <v>19</v>
      </c>
      <c r="O197" s="15" t="s">
        <v>3516</v>
      </c>
      <c r="P197" s="15" t="s">
        <v>19</v>
      </c>
    </row>
    <row r="198" spans="1:16" x14ac:dyDescent="0.25">
      <c r="A198" s="27" t="s">
        <v>3517</v>
      </c>
      <c r="B198" s="7">
        <v>46121</v>
      </c>
      <c r="C198" s="7">
        <v>46127</v>
      </c>
      <c r="D198" s="27">
        <v>3271</v>
      </c>
      <c r="E198" s="27">
        <v>336</v>
      </c>
      <c r="F198" s="27">
        <v>4</v>
      </c>
      <c r="G198" s="27">
        <v>6</v>
      </c>
      <c r="H198" s="27">
        <v>81328</v>
      </c>
      <c r="I198" s="27" t="s">
        <v>543</v>
      </c>
      <c r="J198" s="27">
        <v>68118632</v>
      </c>
      <c r="K198" s="27" t="s">
        <v>3306</v>
      </c>
      <c r="L198" s="27" t="s">
        <v>3335</v>
      </c>
      <c r="M198" s="52">
        <v>59900</v>
      </c>
      <c r="N198" s="15" t="s">
        <v>19</v>
      </c>
      <c r="O198" s="15" t="s">
        <v>3516</v>
      </c>
      <c r="P198" s="15" t="s">
        <v>19</v>
      </c>
    </row>
    <row r="199" spans="1:16" x14ac:dyDescent="0.25">
      <c r="A199" s="27" t="s">
        <v>3517</v>
      </c>
      <c r="B199" s="7">
        <v>46121</v>
      </c>
      <c r="C199" s="7">
        <v>46127</v>
      </c>
      <c r="D199" s="27">
        <v>3271</v>
      </c>
      <c r="E199" s="27">
        <v>336</v>
      </c>
      <c r="F199" s="27">
        <v>4</v>
      </c>
      <c r="G199" s="27">
        <v>6</v>
      </c>
      <c r="H199" s="27">
        <v>81328</v>
      </c>
      <c r="I199" s="27" t="s">
        <v>543</v>
      </c>
      <c r="J199" s="27">
        <v>68118641</v>
      </c>
      <c r="K199" s="27" t="s">
        <v>3306</v>
      </c>
      <c r="L199" s="27" t="s">
        <v>3336</v>
      </c>
      <c r="M199" s="52">
        <v>59900</v>
      </c>
      <c r="N199" s="15" t="s">
        <v>19</v>
      </c>
      <c r="O199" s="15" t="s">
        <v>3516</v>
      </c>
      <c r="P199" s="15" t="s">
        <v>19</v>
      </c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14C5E-B163-4D1F-A007-105366A8F79F}">
  <dimension ref="A1:P20"/>
  <sheetViews>
    <sheetView workbookViewId="0">
      <selection activeCell="E23" sqref="E23"/>
    </sheetView>
  </sheetViews>
  <sheetFormatPr defaultRowHeight="15" x14ac:dyDescent="0.25"/>
  <cols>
    <col min="1" max="1" width="37.5703125" customWidth="1"/>
    <col min="2" max="2" width="11.85546875" customWidth="1"/>
    <col min="3" max="3" width="12" customWidth="1"/>
    <col min="4" max="4" width="6.85546875" customWidth="1"/>
    <col min="5" max="5" width="7.140625" bestFit="1" customWidth="1"/>
    <col min="6" max="6" width="8.42578125" bestFit="1" customWidth="1"/>
    <col min="7" max="7" width="6.28515625" bestFit="1" customWidth="1"/>
    <col min="8" max="8" width="9" bestFit="1" customWidth="1"/>
    <col min="9" max="9" width="9.140625" customWidth="1"/>
    <col min="10" max="10" width="10.140625" customWidth="1"/>
    <col min="11" max="11" width="10.5703125" customWidth="1"/>
    <col min="12" max="12" width="72.42578125" bestFit="1" customWidth="1"/>
    <col min="13" max="13" width="15.5703125" style="53" bestFit="1" customWidth="1"/>
    <col min="14" max="14" width="7.42578125" bestFit="1" customWidth="1"/>
    <col min="15" max="15" width="17.140625" style="51" customWidth="1"/>
    <col min="16" max="16" width="14.28515625" style="51" bestFit="1" customWidth="1"/>
  </cols>
  <sheetData>
    <row r="1" spans="1:16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6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27" t="s">
        <v>3518</v>
      </c>
      <c r="B2" s="7">
        <v>46121</v>
      </c>
      <c r="C2" s="7">
        <v>46127</v>
      </c>
      <c r="D2" s="27">
        <v>3271</v>
      </c>
      <c r="E2" s="27">
        <v>336</v>
      </c>
      <c r="F2" s="27">
        <v>4</v>
      </c>
      <c r="G2" s="27">
        <v>7</v>
      </c>
      <c r="H2" s="27">
        <v>81683</v>
      </c>
      <c r="I2" s="27" t="s">
        <v>543</v>
      </c>
      <c r="J2" s="27">
        <v>61937304</v>
      </c>
      <c r="K2" s="27" t="s">
        <v>3477</v>
      </c>
      <c r="L2" s="27" t="s">
        <v>3478</v>
      </c>
      <c r="M2" s="52">
        <v>149900</v>
      </c>
      <c r="N2" s="27" t="s">
        <v>19</v>
      </c>
      <c r="O2" s="15" t="s">
        <v>3516</v>
      </c>
      <c r="P2" s="15" t="s">
        <v>19</v>
      </c>
    </row>
    <row r="3" spans="1:16" x14ac:dyDescent="0.25">
      <c r="A3" s="27" t="s">
        <v>3518</v>
      </c>
      <c r="B3" s="7">
        <v>46121</v>
      </c>
      <c r="C3" s="7">
        <v>46127</v>
      </c>
      <c r="D3" s="27">
        <v>3271</v>
      </c>
      <c r="E3" s="27">
        <v>336</v>
      </c>
      <c r="F3" s="27">
        <v>4</v>
      </c>
      <c r="G3" s="27">
        <v>7</v>
      </c>
      <c r="H3" s="27">
        <v>81683</v>
      </c>
      <c r="I3" s="27" t="s">
        <v>543</v>
      </c>
      <c r="J3" s="27">
        <v>61937313</v>
      </c>
      <c r="K3" s="27" t="s">
        <v>3477</v>
      </c>
      <c r="L3" s="27" t="s">
        <v>3479</v>
      </c>
      <c r="M3" s="52">
        <v>149900</v>
      </c>
      <c r="N3" s="27" t="s">
        <v>19</v>
      </c>
      <c r="O3" s="15" t="s">
        <v>3516</v>
      </c>
      <c r="P3" s="15" t="s">
        <v>19</v>
      </c>
    </row>
    <row r="4" spans="1:16" x14ac:dyDescent="0.25">
      <c r="A4" s="27" t="s">
        <v>3518</v>
      </c>
      <c r="B4" s="7">
        <v>46121</v>
      </c>
      <c r="C4" s="7">
        <v>46127</v>
      </c>
      <c r="D4" s="27">
        <v>3271</v>
      </c>
      <c r="E4" s="27">
        <v>336</v>
      </c>
      <c r="F4" s="27">
        <v>4</v>
      </c>
      <c r="G4" s="27">
        <v>7</v>
      </c>
      <c r="H4" s="27">
        <v>81683</v>
      </c>
      <c r="I4" s="27" t="s">
        <v>543</v>
      </c>
      <c r="J4" s="27">
        <v>61937322</v>
      </c>
      <c r="K4" s="27" t="s">
        <v>3477</v>
      </c>
      <c r="L4" s="27" t="s">
        <v>3480</v>
      </c>
      <c r="M4" s="52">
        <v>149900</v>
      </c>
      <c r="N4" s="27" t="s">
        <v>19</v>
      </c>
      <c r="O4" s="15" t="s">
        <v>3516</v>
      </c>
      <c r="P4" s="15" t="s">
        <v>19</v>
      </c>
    </row>
    <row r="5" spans="1:16" x14ac:dyDescent="0.25">
      <c r="A5" s="27" t="s">
        <v>3518</v>
      </c>
      <c r="B5" s="7">
        <v>46121</v>
      </c>
      <c r="C5" s="7">
        <v>46127</v>
      </c>
      <c r="D5" s="27">
        <v>3271</v>
      </c>
      <c r="E5" s="27">
        <v>336</v>
      </c>
      <c r="F5" s="27">
        <v>4</v>
      </c>
      <c r="G5" s="27">
        <v>7</v>
      </c>
      <c r="H5" s="27">
        <v>81683</v>
      </c>
      <c r="I5" s="27" t="s">
        <v>543</v>
      </c>
      <c r="J5" s="27">
        <v>61937331</v>
      </c>
      <c r="K5" s="27" t="s">
        <v>3477</v>
      </c>
      <c r="L5" s="27" t="s">
        <v>3481</v>
      </c>
      <c r="M5" s="52">
        <v>149900</v>
      </c>
      <c r="N5" s="27" t="s">
        <v>19</v>
      </c>
      <c r="O5" s="15" t="s">
        <v>3516</v>
      </c>
      <c r="P5" s="15" t="s">
        <v>19</v>
      </c>
    </row>
    <row r="6" spans="1:16" x14ac:dyDescent="0.25">
      <c r="A6" s="27" t="s">
        <v>3518</v>
      </c>
      <c r="B6" s="7">
        <v>46121</v>
      </c>
      <c r="C6" s="7">
        <v>46127</v>
      </c>
      <c r="D6" s="27">
        <v>3271</v>
      </c>
      <c r="E6" s="27">
        <v>336</v>
      </c>
      <c r="F6" s="27">
        <v>4</v>
      </c>
      <c r="G6" s="27">
        <v>7</v>
      </c>
      <c r="H6" s="27">
        <v>81683</v>
      </c>
      <c r="I6" s="27" t="s">
        <v>543</v>
      </c>
      <c r="J6" s="27">
        <v>61937340</v>
      </c>
      <c r="K6" s="27" t="s">
        <v>3477</v>
      </c>
      <c r="L6" s="27" t="s">
        <v>3482</v>
      </c>
      <c r="M6" s="52">
        <v>149900</v>
      </c>
      <c r="N6" s="27" t="s">
        <v>19</v>
      </c>
      <c r="O6" s="15" t="s">
        <v>3516</v>
      </c>
      <c r="P6" s="15" t="s">
        <v>19</v>
      </c>
    </row>
    <row r="7" spans="1:16" x14ac:dyDescent="0.25">
      <c r="A7" s="27" t="s">
        <v>3518</v>
      </c>
      <c r="B7" s="7">
        <v>46121</v>
      </c>
      <c r="C7" s="7">
        <v>46127</v>
      </c>
      <c r="D7" s="27">
        <v>3271</v>
      </c>
      <c r="E7" s="27">
        <v>336</v>
      </c>
      <c r="F7" s="27">
        <v>4</v>
      </c>
      <c r="G7" s="27">
        <v>7</v>
      </c>
      <c r="H7" s="27">
        <v>81683</v>
      </c>
      <c r="I7" s="27" t="s">
        <v>543</v>
      </c>
      <c r="J7" s="27">
        <v>61937359</v>
      </c>
      <c r="K7" s="27" t="s">
        <v>3477</v>
      </c>
      <c r="L7" s="27" t="s">
        <v>3483</v>
      </c>
      <c r="M7" s="52">
        <v>149900</v>
      </c>
      <c r="N7" s="27" t="s">
        <v>19</v>
      </c>
      <c r="O7" s="15" t="s">
        <v>3516</v>
      </c>
      <c r="P7" s="15" t="s">
        <v>19</v>
      </c>
    </row>
    <row r="8" spans="1:16" x14ac:dyDescent="0.25">
      <c r="A8" s="27" t="s">
        <v>3518</v>
      </c>
      <c r="B8" s="7">
        <v>46121</v>
      </c>
      <c r="C8" s="7">
        <v>46127</v>
      </c>
      <c r="D8" s="27">
        <v>3271</v>
      </c>
      <c r="E8" s="27">
        <v>336</v>
      </c>
      <c r="F8" s="27">
        <v>4</v>
      </c>
      <c r="G8" s="27">
        <v>7</v>
      </c>
      <c r="H8" s="27">
        <v>81683</v>
      </c>
      <c r="I8" s="27" t="s">
        <v>543</v>
      </c>
      <c r="J8" s="27">
        <v>61937368</v>
      </c>
      <c r="K8" s="27" t="s">
        <v>3477</v>
      </c>
      <c r="L8" s="27" t="s">
        <v>3484</v>
      </c>
      <c r="M8" s="52">
        <v>149900</v>
      </c>
      <c r="N8" s="27" t="s">
        <v>19</v>
      </c>
      <c r="O8" s="15" t="s">
        <v>3516</v>
      </c>
      <c r="P8" s="15" t="s">
        <v>19</v>
      </c>
    </row>
    <row r="9" spans="1:16" x14ac:dyDescent="0.25">
      <c r="A9" s="27" t="s">
        <v>3518</v>
      </c>
      <c r="B9" s="7">
        <v>46121</v>
      </c>
      <c r="C9" s="7">
        <v>46127</v>
      </c>
      <c r="D9" s="27">
        <v>3271</v>
      </c>
      <c r="E9" s="27">
        <v>336</v>
      </c>
      <c r="F9" s="27">
        <v>4</v>
      </c>
      <c r="G9" s="27">
        <v>7</v>
      </c>
      <c r="H9" s="27">
        <v>81683</v>
      </c>
      <c r="I9" s="27" t="s">
        <v>543</v>
      </c>
      <c r="J9" s="27">
        <v>61937377</v>
      </c>
      <c r="K9" s="27" t="s">
        <v>3477</v>
      </c>
      <c r="L9" s="27" t="s">
        <v>3485</v>
      </c>
      <c r="M9" s="52">
        <v>149900</v>
      </c>
      <c r="N9" s="27" t="s">
        <v>19</v>
      </c>
      <c r="O9" s="15" t="s">
        <v>3516</v>
      </c>
      <c r="P9" s="15" t="s">
        <v>19</v>
      </c>
    </row>
    <row r="10" spans="1:16" x14ac:dyDescent="0.25">
      <c r="A10" s="27" t="s">
        <v>3518</v>
      </c>
      <c r="B10" s="7">
        <v>46121</v>
      </c>
      <c r="C10" s="7">
        <v>46127</v>
      </c>
      <c r="D10" s="27">
        <v>3271</v>
      </c>
      <c r="E10" s="27">
        <v>336</v>
      </c>
      <c r="F10" s="27">
        <v>4</v>
      </c>
      <c r="G10" s="27">
        <v>7</v>
      </c>
      <c r="H10" s="27">
        <v>81683</v>
      </c>
      <c r="I10" s="27" t="s">
        <v>543</v>
      </c>
      <c r="J10" s="27">
        <v>61937386</v>
      </c>
      <c r="K10" s="27" t="s">
        <v>3477</v>
      </c>
      <c r="L10" s="27" t="s">
        <v>3486</v>
      </c>
      <c r="M10" s="52">
        <v>149900</v>
      </c>
      <c r="N10" s="27" t="s">
        <v>19</v>
      </c>
      <c r="O10" s="15" t="s">
        <v>3516</v>
      </c>
      <c r="P10" s="15" t="s">
        <v>19</v>
      </c>
    </row>
    <row r="11" spans="1:16" x14ac:dyDescent="0.25">
      <c r="A11" s="27" t="s">
        <v>3518</v>
      </c>
      <c r="B11" s="7">
        <v>46121</v>
      </c>
      <c r="C11" s="7">
        <v>46127</v>
      </c>
      <c r="D11" s="27">
        <v>3271</v>
      </c>
      <c r="E11" s="27">
        <v>336</v>
      </c>
      <c r="F11" s="27">
        <v>4</v>
      </c>
      <c r="G11" s="27">
        <v>7</v>
      </c>
      <c r="H11" s="27">
        <v>81683</v>
      </c>
      <c r="I11" s="27" t="s">
        <v>543</v>
      </c>
      <c r="J11" s="27">
        <v>61937395</v>
      </c>
      <c r="K11" s="27" t="s">
        <v>3477</v>
      </c>
      <c r="L11" s="27" t="s">
        <v>3487</v>
      </c>
      <c r="M11" s="52">
        <v>149900</v>
      </c>
      <c r="N11" s="27" t="s">
        <v>19</v>
      </c>
      <c r="O11" s="15" t="s">
        <v>3516</v>
      </c>
      <c r="P11" s="15" t="s">
        <v>19</v>
      </c>
    </row>
    <row r="12" spans="1:16" x14ac:dyDescent="0.25">
      <c r="A12" s="27" t="s">
        <v>3518</v>
      </c>
      <c r="B12" s="7">
        <v>46121</v>
      </c>
      <c r="C12" s="7">
        <v>46127</v>
      </c>
      <c r="D12" s="27">
        <v>3271</v>
      </c>
      <c r="E12" s="27">
        <v>336</v>
      </c>
      <c r="F12" s="27">
        <v>4</v>
      </c>
      <c r="G12" s="27">
        <v>7</v>
      </c>
      <c r="H12" s="27">
        <v>81683</v>
      </c>
      <c r="I12" s="27" t="s">
        <v>543</v>
      </c>
      <c r="J12" s="27">
        <v>61937402</v>
      </c>
      <c r="K12" s="27" t="s">
        <v>3477</v>
      </c>
      <c r="L12" s="27" t="s">
        <v>3488</v>
      </c>
      <c r="M12" s="52">
        <v>149900</v>
      </c>
      <c r="N12" s="27" t="s">
        <v>19</v>
      </c>
      <c r="O12" s="15" t="s">
        <v>3516</v>
      </c>
      <c r="P12" s="15" t="s">
        <v>19</v>
      </c>
    </row>
    <row r="13" spans="1:16" x14ac:dyDescent="0.25">
      <c r="A13" s="27" t="s">
        <v>3518</v>
      </c>
      <c r="B13" s="7">
        <v>46121</v>
      </c>
      <c r="C13" s="7">
        <v>46127</v>
      </c>
      <c r="D13" s="27">
        <v>3271</v>
      </c>
      <c r="E13" s="27">
        <v>336</v>
      </c>
      <c r="F13" s="27">
        <v>4</v>
      </c>
      <c r="G13" s="27">
        <v>7</v>
      </c>
      <c r="H13" s="27">
        <v>81683</v>
      </c>
      <c r="I13" s="27" t="s">
        <v>543</v>
      </c>
      <c r="J13" s="27">
        <v>61937411</v>
      </c>
      <c r="K13" s="27" t="s">
        <v>3477</v>
      </c>
      <c r="L13" s="27" t="s">
        <v>3489</v>
      </c>
      <c r="M13" s="52">
        <v>149900</v>
      </c>
      <c r="N13" s="27" t="s">
        <v>19</v>
      </c>
      <c r="O13" s="15" t="s">
        <v>3516</v>
      </c>
      <c r="P13" s="15" t="s">
        <v>19</v>
      </c>
    </row>
    <row r="14" spans="1:16" x14ac:dyDescent="0.25">
      <c r="A14" s="27" t="s">
        <v>3518</v>
      </c>
      <c r="B14" s="7">
        <v>46121</v>
      </c>
      <c r="C14" s="7">
        <v>46127</v>
      </c>
      <c r="D14" s="27">
        <v>3271</v>
      </c>
      <c r="E14" s="27">
        <v>336</v>
      </c>
      <c r="F14" s="27">
        <v>4</v>
      </c>
      <c r="G14" s="27">
        <v>7</v>
      </c>
      <c r="H14" s="27">
        <v>81683</v>
      </c>
      <c r="I14" s="27" t="s">
        <v>543</v>
      </c>
      <c r="J14" s="27">
        <v>61937420</v>
      </c>
      <c r="K14" s="27" t="s">
        <v>3477</v>
      </c>
      <c r="L14" s="27" t="s">
        <v>3490</v>
      </c>
      <c r="M14" s="52">
        <v>149900</v>
      </c>
      <c r="N14" s="27" t="s">
        <v>19</v>
      </c>
      <c r="O14" s="15" t="s">
        <v>3516</v>
      </c>
      <c r="P14" s="15" t="s">
        <v>19</v>
      </c>
    </row>
    <row r="15" spans="1:16" x14ac:dyDescent="0.25">
      <c r="A15" s="27" t="s">
        <v>3518</v>
      </c>
      <c r="B15" s="7">
        <v>46121</v>
      </c>
      <c r="C15" s="7">
        <v>46127</v>
      </c>
      <c r="D15" s="27">
        <v>3271</v>
      </c>
      <c r="E15" s="27">
        <v>336</v>
      </c>
      <c r="F15" s="27">
        <v>4</v>
      </c>
      <c r="G15" s="27">
        <v>7</v>
      </c>
      <c r="H15" s="27">
        <v>81683</v>
      </c>
      <c r="I15" s="27" t="s">
        <v>543</v>
      </c>
      <c r="J15" s="27">
        <v>61937439</v>
      </c>
      <c r="K15" s="27" t="s">
        <v>3477</v>
      </c>
      <c r="L15" s="27" t="s">
        <v>3491</v>
      </c>
      <c r="M15" s="52">
        <v>149900</v>
      </c>
      <c r="N15" s="27" t="s">
        <v>19</v>
      </c>
      <c r="O15" s="15" t="s">
        <v>3516</v>
      </c>
      <c r="P15" s="15" t="s">
        <v>19</v>
      </c>
    </row>
    <row r="16" spans="1:16" x14ac:dyDescent="0.25">
      <c r="A16" s="27" t="s">
        <v>3518</v>
      </c>
      <c r="B16" s="7">
        <v>46121</v>
      </c>
      <c r="C16" s="7">
        <v>46127</v>
      </c>
      <c r="D16" s="27">
        <v>3271</v>
      </c>
      <c r="E16" s="27">
        <v>336</v>
      </c>
      <c r="F16" s="27">
        <v>4</v>
      </c>
      <c r="G16" s="27">
        <v>7</v>
      </c>
      <c r="H16" s="27">
        <v>81683</v>
      </c>
      <c r="I16" s="27" t="s">
        <v>543</v>
      </c>
      <c r="J16" s="27">
        <v>61937448</v>
      </c>
      <c r="K16" s="27" t="s">
        <v>3477</v>
      </c>
      <c r="L16" s="27" t="s">
        <v>3492</v>
      </c>
      <c r="M16" s="52">
        <v>149900</v>
      </c>
      <c r="N16" s="27" t="s">
        <v>19</v>
      </c>
      <c r="O16" s="15" t="s">
        <v>3516</v>
      </c>
      <c r="P16" s="15" t="s">
        <v>19</v>
      </c>
    </row>
    <row r="17" spans="1:16" x14ac:dyDescent="0.25">
      <c r="A17" s="27" t="s">
        <v>3518</v>
      </c>
      <c r="B17" s="7">
        <v>46121</v>
      </c>
      <c r="C17" s="7">
        <v>46127</v>
      </c>
      <c r="D17" s="27">
        <v>3271</v>
      </c>
      <c r="E17" s="27">
        <v>336</v>
      </c>
      <c r="F17" s="27">
        <v>4</v>
      </c>
      <c r="G17" s="27">
        <v>7</v>
      </c>
      <c r="H17" s="27">
        <v>81683</v>
      </c>
      <c r="I17" s="27" t="s">
        <v>543</v>
      </c>
      <c r="J17" s="27">
        <v>61937457</v>
      </c>
      <c r="K17" s="27" t="s">
        <v>3477</v>
      </c>
      <c r="L17" s="27" t="s">
        <v>3493</v>
      </c>
      <c r="M17" s="52">
        <v>149900</v>
      </c>
      <c r="N17" s="27" t="s">
        <v>19</v>
      </c>
      <c r="O17" s="15" t="s">
        <v>3516</v>
      </c>
      <c r="P17" s="15" t="s">
        <v>19</v>
      </c>
    </row>
    <row r="18" spans="1:16" x14ac:dyDescent="0.25">
      <c r="A18" s="27" t="s">
        <v>3518</v>
      </c>
      <c r="B18" s="7">
        <v>46121</v>
      </c>
      <c r="C18" s="7">
        <v>46127</v>
      </c>
      <c r="D18" s="27">
        <v>3271</v>
      </c>
      <c r="E18" s="27">
        <v>336</v>
      </c>
      <c r="F18" s="27">
        <v>4</v>
      </c>
      <c r="G18" s="27">
        <v>7</v>
      </c>
      <c r="H18" s="27">
        <v>81683</v>
      </c>
      <c r="I18" s="27" t="s">
        <v>543</v>
      </c>
      <c r="J18" s="27">
        <v>61937466</v>
      </c>
      <c r="K18" s="27" t="s">
        <v>3477</v>
      </c>
      <c r="L18" s="27" t="s">
        <v>3494</v>
      </c>
      <c r="M18" s="52">
        <v>149900</v>
      </c>
      <c r="N18" s="27" t="s">
        <v>19</v>
      </c>
      <c r="O18" s="15" t="s">
        <v>3516</v>
      </c>
      <c r="P18" s="15" t="s">
        <v>19</v>
      </c>
    </row>
    <row r="19" spans="1:16" x14ac:dyDescent="0.25">
      <c r="A19" s="27" t="s">
        <v>3518</v>
      </c>
      <c r="B19" s="7">
        <v>46121</v>
      </c>
      <c r="C19" s="7">
        <v>46127</v>
      </c>
      <c r="D19" s="27">
        <v>3271</v>
      </c>
      <c r="E19" s="27">
        <v>336</v>
      </c>
      <c r="F19" s="27">
        <v>4</v>
      </c>
      <c r="G19" s="27">
        <v>7</v>
      </c>
      <c r="H19" s="27">
        <v>81683</v>
      </c>
      <c r="I19" s="27" t="s">
        <v>543</v>
      </c>
      <c r="J19" s="27">
        <v>61937475</v>
      </c>
      <c r="K19" s="27" t="s">
        <v>3477</v>
      </c>
      <c r="L19" s="27" t="s">
        <v>3495</v>
      </c>
      <c r="M19" s="52">
        <v>149900</v>
      </c>
      <c r="N19" s="27" t="s">
        <v>19</v>
      </c>
      <c r="O19" s="15" t="s">
        <v>3516</v>
      </c>
      <c r="P19" s="15" t="s">
        <v>19</v>
      </c>
    </row>
    <row r="20" spans="1:16" x14ac:dyDescent="0.25">
      <c r="A20" s="27" t="s">
        <v>3518</v>
      </c>
      <c r="B20" s="7">
        <v>46121</v>
      </c>
      <c r="C20" s="7">
        <v>46127</v>
      </c>
      <c r="D20" s="27">
        <v>3271</v>
      </c>
      <c r="E20" s="27">
        <v>336</v>
      </c>
      <c r="F20" s="27">
        <v>4</v>
      </c>
      <c r="G20" s="27">
        <v>7</v>
      </c>
      <c r="H20" s="27">
        <v>81683</v>
      </c>
      <c r="I20" s="27" t="s">
        <v>543</v>
      </c>
      <c r="J20" s="27">
        <v>67931451</v>
      </c>
      <c r="K20" s="27" t="s">
        <v>3496</v>
      </c>
      <c r="L20" s="27" t="s">
        <v>3497</v>
      </c>
      <c r="M20" s="52">
        <v>149900</v>
      </c>
      <c r="N20" s="27" t="s">
        <v>19</v>
      </c>
      <c r="O20" s="15" t="s">
        <v>3516</v>
      </c>
      <c r="P20" s="15" t="s">
        <v>19</v>
      </c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C281-CD11-408C-A992-7D1717574196}">
  <dimension ref="A1:P121"/>
  <sheetViews>
    <sheetView tabSelected="1" zoomScale="80" zoomScaleNormal="80" workbookViewId="0">
      <pane ySplit="1" topLeftCell="A2" activePane="bottomLeft" state="frozen"/>
      <selection activeCell="B3" sqref="B3:C1696"/>
      <selection pane="bottomLeft" activeCell="P136" sqref="P136"/>
    </sheetView>
  </sheetViews>
  <sheetFormatPr defaultColWidth="8.7109375" defaultRowHeight="15" x14ac:dyDescent="0.25"/>
  <cols>
    <col min="1" max="1" width="32.28515625" style="65" bestFit="1" customWidth="1"/>
    <col min="2" max="2" width="16.140625" style="66" bestFit="1" customWidth="1"/>
    <col min="3" max="3" width="13.28515625" style="66" bestFit="1" customWidth="1"/>
    <col min="4" max="4" width="10" style="65" bestFit="1" customWidth="1"/>
    <col min="5" max="5" width="12.28515625" style="65" bestFit="1" customWidth="1"/>
    <col min="6" max="6" width="13.7109375" style="65" bestFit="1" customWidth="1"/>
    <col min="7" max="7" width="10.85546875" style="65" bestFit="1" customWidth="1"/>
    <col min="8" max="8" width="13.85546875" style="65" bestFit="1" customWidth="1"/>
    <col min="9" max="9" width="16.5703125" style="65" bestFit="1" customWidth="1"/>
    <col min="10" max="10" width="9.5703125" style="65" bestFit="1" customWidth="1"/>
    <col min="11" max="11" width="14.28515625" style="65" bestFit="1" customWidth="1"/>
    <col min="12" max="12" width="81.85546875" style="67" bestFit="1" customWidth="1"/>
    <col min="13" max="13" width="20.85546875" style="68" bestFit="1" customWidth="1"/>
    <col min="14" max="14" width="12.42578125" style="69" bestFit="1" customWidth="1"/>
    <col min="15" max="15" width="19.85546875" style="68" bestFit="1" customWidth="1"/>
    <col min="16" max="16" width="19.85546875" style="65" bestFit="1" customWidth="1"/>
    <col min="17" max="16384" width="8.7109375" style="65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6" t="s">
        <v>3533</v>
      </c>
      <c r="B2" s="7">
        <v>46121</v>
      </c>
      <c r="C2" s="7">
        <v>46127</v>
      </c>
      <c r="D2" s="6">
        <v>3270</v>
      </c>
      <c r="E2" s="6">
        <v>336</v>
      </c>
      <c r="F2" s="6">
        <v>4</v>
      </c>
      <c r="G2" s="8">
        <v>5</v>
      </c>
      <c r="H2" s="8">
        <v>81379</v>
      </c>
      <c r="I2" s="8" t="s">
        <v>16</v>
      </c>
      <c r="J2" s="8">
        <v>15612563</v>
      </c>
      <c r="K2" s="8" t="s">
        <v>3534</v>
      </c>
      <c r="L2" s="9" t="s">
        <v>3535</v>
      </c>
      <c r="M2" s="10">
        <v>189900</v>
      </c>
      <c r="N2" s="64">
        <v>0.75</v>
      </c>
      <c r="O2" s="12">
        <f>M2-((75*M2)/100)</f>
        <v>47475</v>
      </c>
      <c r="P2" s="6" t="s">
        <v>3499</v>
      </c>
    </row>
    <row r="3" spans="1:16" x14ac:dyDescent="0.25">
      <c r="A3" s="6" t="s">
        <v>3533</v>
      </c>
      <c r="B3" s="7">
        <v>46121</v>
      </c>
      <c r="C3" s="7">
        <v>46127</v>
      </c>
      <c r="D3" s="6">
        <v>3270</v>
      </c>
      <c r="E3" s="6">
        <v>336</v>
      </c>
      <c r="F3" s="6">
        <v>4</v>
      </c>
      <c r="G3" s="8">
        <v>5</v>
      </c>
      <c r="H3" s="8">
        <v>81379</v>
      </c>
      <c r="I3" s="8" t="s">
        <v>16</v>
      </c>
      <c r="J3" s="8">
        <v>15612572</v>
      </c>
      <c r="K3" s="8" t="s">
        <v>3534</v>
      </c>
      <c r="L3" s="9" t="s">
        <v>3536</v>
      </c>
      <c r="M3" s="10">
        <v>189900</v>
      </c>
      <c r="N3" s="64">
        <v>0.75</v>
      </c>
      <c r="O3" s="12">
        <f t="shared" ref="O3:O66" si="0">M3-((75*M3)/100)</f>
        <v>47475</v>
      </c>
      <c r="P3" s="6" t="s">
        <v>3499</v>
      </c>
    </row>
    <row r="4" spans="1:16" x14ac:dyDescent="0.25">
      <c r="A4" s="6" t="s">
        <v>3533</v>
      </c>
      <c r="B4" s="7">
        <v>46121</v>
      </c>
      <c r="C4" s="7">
        <v>46127</v>
      </c>
      <c r="D4" s="6">
        <v>3270</v>
      </c>
      <c r="E4" s="6">
        <v>336</v>
      </c>
      <c r="F4" s="6">
        <v>4</v>
      </c>
      <c r="G4" s="8">
        <v>5</v>
      </c>
      <c r="H4" s="8">
        <v>81379</v>
      </c>
      <c r="I4" s="8" t="s">
        <v>16</v>
      </c>
      <c r="J4" s="8">
        <v>15612581</v>
      </c>
      <c r="K4" s="8" t="s">
        <v>3534</v>
      </c>
      <c r="L4" s="9" t="s">
        <v>3537</v>
      </c>
      <c r="M4" s="10">
        <v>189900</v>
      </c>
      <c r="N4" s="64">
        <v>0.75</v>
      </c>
      <c r="O4" s="12">
        <f t="shared" si="0"/>
        <v>47475</v>
      </c>
      <c r="P4" s="6" t="s">
        <v>3499</v>
      </c>
    </row>
    <row r="5" spans="1:16" x14ac:dyDescent="0.25">
      <c r="A5" s="6" t="s">
        <v>3533</v>
      </c>
      <c r="B5" s="7">
        <v>46121</v>
      </c>
      <c r="C5" s="7">
        <v>46127</v>
      </c>
      <c r="D5" s="6">
        <v>3270</v>
      </c>
      <c r="E5" s="6">
        <v>336</v>
      </c>
      <c r="F5" s="6">
        <v>4</v>
      </c>
      <c r="G5" s="8">
        <v>5</v>
      </c>
      <c r="H5" s="8">
        <v>81379</v>
      </c>
      <c r="I5" s="8" t="s">
        <v>16</v>
      </c>
      <c r="J5" s="8">
        <v>15612590</v>
      </c>
      <c r="K5" s="8" t="s">
        <v>3534</v>
      </c>
      <c r="L5" s="9" t="s">
        <v>3538</v>
      </c>
      <c r="M5" s="10">
        <v>189900</v>
      </c>
      <c r="N5" s="64">
        <v>0.75</v>
      </c>
      <c r="O5" s="12">
        <f t="shared" si="0"/>
        <v>47475</v>
      </c>
      <c r="P5" s="6" t="s">
        <v>3499</v>
      </c>
    </row>
    <row r="6" spans="1:16" x14ac:dyDescent="0.25">
      <c r="A6" s="6" t="s">
        <v>3533</v>
      </c>
      <c r="B6" s="7">
        <v>46121</v>
      </c>
      <c r="C6" s="7">
        <v>46127</v>
      </c>
      <c r="D6" s="6">
        <v>3270</v>
      </c>
      <c r="E6" s="6">
        <v>336</v>
      </c>
      <c r="F6" s="6">
        <v>4</v>
      </c>
      <c r="G6" s="8">
        <v>5</v>
      </c>
      <c r="H6" s="8">
        <v>81662</v>
      </c>
      <c r="I6" s="8" t="s">
        <v>16</v>
      </c>
      <c r="J6" s="8">
        <v>15611064</v>
      </c>
      <c r="K6" s="8" t="s">
        <v>3539</v>
      </c>
      <c r="L6" s="9" t="s">
        <v>3540</v>
      </c>
      <c r="M6" s="10">
        <v>259900</v>
      </c>
      <c r="N6" s="64">
        <v>0.75</v>
      </c>
      <c r="O6" s="12">
        <f t="shared" si="0"/>
        <v>64975</v>
      </c>
      <c r="P6" s="6" t="s">
        <v>3499</v>
      </c>
    </row>
    <row r="7" spans="1:16" x14ac:dyDescent="0.25">
      <c r="A7" s="6" t="s">
        <v>3533</v>
      </c>
      <c r="B7" s="7">
        <v>46121</v>
      </c>
      <c r="C7" s="7">
        <v>46127</v>
      </c>
      <c r="D7" s="6">
        <v>3270</v>
      </c>
      <c r="E7" s="6">
        <v>336</v>
      </c>
      <c r="F7" s="6">
        <v>4</v>
      </c>
      <c r="G7" s="8">
        <v>5</v>
      </c>
      <c r="H7" s="8">
        <v>81662</v>
      </c>
      <c r="I7" s="8" t="s">
        <v>16</v>
      </c>
      <c r="J7" s="8">
        <v>15611073</v>
      </c>
      <c r="K7" s="8" t="s">
        <v>3539</v>
      </c>
      <c r="L7" s="9" t="s">
        <v>3541</v>
      </c>
      <c r="M7" s="10">
        <v>259900</v>
      </c>
      <c r="N7" s="64">
        <v>0.75</v>
      </c>
      <c r="O7" s="12">
        <f t="shared" si="0"/>
        <v>64975</v>
      </c>
      <c r="P7" s="6" t="s">
        <v>3499</v>
      </c>
    </row>
    <row r="8" spans="1:16" x14ac:dyDescent="0.25">
      <c r="A8" s="6" t="s">
        <v>3533</v>
      </c>
      <c r="B8" s="7">
        <v>46121</v>
      </c>
      <c r="C8" s="7">
        <v>46127</v>
      </c>
      <c r="D8" s="6">
        <v>3270</v>
      </c>
      <c r="E8" s="6">
        <v>336</v>
      </c>
      <c r="F8" s="6">
        <v>4</v>
      </c>
      <c r="G8" s="8">
        <v>5</v>
      </c>
      <c r="H8" s="8">
        <v>81662</v>
      </c>
      <c r="I8" s="8" t="s">
        <v>16</v>
      </c>
      <c r="J8" s="8">
        <v>15611082</v>
      </c>
      <c r="K8" s="8" t="s">
        <v>3539</v>
      </c>
      <c r="L8" s="9" t="s">
        <v>3542</v>
      </c>
      <c r="M8" s="10">
        <v>259900</v>
      </c>
      <c r="N8" s="64">
        <v>0.75</v>
      </c>
      <c r="O8" s="12">
        <f t="shared" si="0"/>
        <v>64975</v>
      </c>
      <c r="P8" s="6" t="s">
        <v>3499</v>
      </c>
    </row>
    <row r="9" spans="1:16" x14ac:dyDescent="0.25">
      <c r="A9" s="6" t="s">
        <v>3533</v>
      </c>
      <c r="B9" s="7">
        <v>46121</v>
      </c>
      <c r="C9" s="7">
        <v>46127</v>
      </c>
      <c r="D9" s="6">
        <v>3270</v>
      </c>
      <c r="E9" s="6">
        <v>336</v>
      </c>
      <c r="F9" s="6">
        <v>4</v>
      </c>
      <c r="G9" s="8">
        <v>5</v>
      </c>
      <c r="H9" s="8">
        <v>81662</v>
      </c>
      <c r="I9" s="8" t="s">
        <v>16</v>
      </c>
      <c r="J9" s="8">
        <v>15611091</v>
      </c>
      <c r="K9" s="8" t="s">
        <v>3539</v>
      </c>
      <c r="L9" s="9" t="s">
        <v>3543</v>
      </c>
      <c r="M9" s="10">
        <v>259900</v>
      </c>
      <c r="N9" s="64">
        <v>0.75</v>
      </c>
      <c r="O9" s="12">
        <f t="shared" si="0"/>
        <v>64975</v>
      </c>
      <c r="P9" s="6" t="s">
        <v>3499</v>
      </c>
    </row>
    <row r="10" spans="1:16" x14ac:dyDescent="0.25">
      <c r="A10" s="6" t="s">
        <v>3533</v>
      </c>
      <c r="B10" s="7">
        <v>46121</v>
      </c>
      <c r="C10" s="7">
        <v>46127</v>
      </c>
      <c r="D10" s="6">
        <v>3270</v>
      </c>
      <c r="E10" s="6">
        <v>336</v>
      </c>
      <c r="F10" s="6">
        <v>4</v>
      </c>
      <c r="G10" s="8">
        <v>5</v>
      </c>
      <c r="H10" s="8">
        <v>81662</v>
      </c>
      <c r="I10" s="8" t="s">
        <v>16</v>
      </c>
      <c r="J10" s="8">
        <v>15611162</v>
      </c>
      <c r="K10" s="8" t="s">
        <v>3544</v>
      </c>
      <c r="L10" s="9" t="s">
        <v>3545</v>
      </c>
      <c r="M10" s="10">
        <v>259900</v>
      </c>
      <c r="N10" s="64">
        <v>0.75</v>
      </c>
      <c r="O10" s="12">
        <f t="shared" si="0"/>
        <v>64975</v>
      </c>
      <c r="P10" s="6" t="s">
        <v>3499</v>
      </c>
    </row>
    <row r="11" spans="1:16" x14ac:dyDescent="0.25">
      <c r="A11" s="6" t="s">
        <v>3533</v>
      </c>
      <c r="B11" s="7">
        <v>46121</v>
      </c>
      <c r="C11" s="7">
        <v>46127</v>
      </c>
      <c r="D11" s="6">
        <v>3270</v>
      </c>
      <c r="E11" s="6">
        <v>336</v>
      </c>
      <c r="F11" s="6">
        <v>4</v>
      </c>
      <c r="G11" s="8">
        <v>5</v>
      </c>
      <c r="H11" s="8">
        <v>81662</v>
      </c>
      <c r="I11" s="8" t="s">
        <v>16</v>
      </c>
      <c r="J11" s="8">
        <v>15611171</v>
      </c>
      <c r="K11" s="8" t="s">
        <v>3544</v>
      </c>
      <c r="L11" s="9" t="s">
        <v>3546</v>
      </c>
      <c r="M11" s="10">
        <v>259900</v>
      </c>
      <c r="N11" s="64">
        <v>0.75</v>
      </c>
      <c r="O11" s="12">
        <f t="shared" si="0"/>
        <v>64975</v>
      </c>
      <c r="P11" s="6" t="s">
        <v>3499</v>
      </c>
    </row>
    <row r="12" spans="1:16" x14ac:dyDescent="0.25">
      <c r="A12" s="6" t="s">
        <v>3533</v>
      </c>
      <c r="B12" s="7">
        <v>46121</v>
      </c>
      <c r="C12" s="7">
        <v>46127</v>
      </c>
      <c r="D12" s="6">
        <v>3270</v>
      </c>
      <c r="E12" s="6">
        <v>336</v>
      </c>
      <c r="F12" s="6">
        <v>4</v>
      </c>
      <c r="G12" s="8">
        <v>5</v>
      </c>
      <c r="H12" s="8">
        <v>81662</v>
      </c>
      <c r="I12" s="8" t="s">
        <v>16</v>
      </c>
      <c r="J12" s="8">
        <v>15611180</v>
      </c>
      <c r="K12" s="8" t="s">
        <v>3544</v>
      </c>
      <c r="L12" s="9" t="s">
        <v>3547</v>
      </c>
      <c r="M12" s="10">
        <v>259900</v>
      </c>
      <c r="N12" s="64">
        <v>0.75</v>
      </c>
      <c r="O12" s="12">
        <f t="shared" si="0"/>
        <v>64975</v>
      </c>
      <c r="P12" s="6" t="s">
        <v>3499</v>
      </c>
    </row>
    <row r="13" spans="1:16" x14ac:dyDescent="0.25">
      <c r="A13" s="6" t="s">
        <v>3533</v>
      </c>
      <c r="B13" s="7">
        <v>46121</v>
      </c>
      <c r="C13" s="7">
        <v>46127</v>
      </c>
      <c r="D13" s="6">
        <v>3270</v>
      </c>
      <c r="E13" s="6">
        <v>336</v>
      </c>
      <c r="F13" s="6">
        <v>4</v>
      </c>
      <c r="G13" s="8">
        <v>5</v>
      </c>
      <c r="H13" s="8">
        <v>81662</v>
      </c>
      <c r="I13" s="8" t="s">
        <v>16</v>
      </c>
      <c r="J13" s="8">
        <v>15611199</v>
      </c>
      <c r="K13" s="8" t="s">
        <v>3544</v>
      </c>
      <c r="L13" s="9" t="s">
        <v>3548</v>
      </c>
      <c r="M13" s="10">
        <v>259900</v>
      </c>
      <c r="N13" s="64">
        <v>0.75</v>
      </c>
      <c r="O13" s="12">
        <f t="shared" si="0"/>
        <v>64975</v>
      </c>
      <c r="P13" s="6" t="s">
        <v>3499</v>
      </c>
    </row>
    <row r="14" spans="1:16" x14ac:dyDescent="0.25">
      <c r="A14" s="6" t="s">
        <v>3533</v>
      </c>
      <c r="B14" s="7">
        <v>46121</v>
      </c>
      <c r="C14" s="7">
        <v>46127</v>
      </c>
      <c r="D14" s="6">
        <v>3270</v>
      </c>
      <c r="E14" s="6">
        <v>336</v>
      </c>
      <c r="F14" s="6">
        <v>4</v>
      </c>
      <c r="G14" s="8">
        <v>5</v>
      </c>
      <c r="H14" s="8">
        <v>81662</v>
      </c>
      <c r="I14" s="8" t="s">
        <v>16</v>
      </c>
      <c r="J14" s="8">
        <v>15611206</v>
      </c>
      <c r="K14" s="8" t="s">
        <v>3549</v>
      </c>
      <c r="L14" s="9" t="s">
        <v>3550</v>
      </c>
      <c r="M14" s="10">
        <v>259900</v>
      </c>
      <c r="N14" s="64">
        <v>0.75</v>
      </c>
      <c r="O14" s="12">
        <f t="shared" si="0"/>
        <v>64975</v>
      </c>
      <c r="P14" s="6" t="s">
        <v>3499</v>
      </c>
    </row>
    <row r="15" spans="1:16" x14ac:dyDescent="0.25">
      <c r="A15" s="6" t="s">
        <v>3533</v>
      </c>
      <c r="B15" s="7">
        <v>46121</v>
      </c>
      <c r="C15" s="7">
        <v>46127</v>
      </c>
      <c r="D15" s="6">
        <v>3270</v>
      </c>
      <c r="E15" s="6">
        <v>336</v>
      </c>
      <c r="F15" s="6">
        <v>4</v>
      </c>
      <c r="G15" s="8">
        <v>5</v>
      </c>
      <c r="H15" s="8">
        <v>81662</v>
      </c>
      <c r="I15" s="8" t="s">
        <v>16</v>
      </c>
      <c r="J15" s="8">
        <v>15611215</v>
      </c>
      <c r="K15" s="8" t="s">
        <v>3549</v>
      </c>
      <c r="L15" s="9" t="s">
        <v>3551</v>
      </c>
      <c r="M15" s="10">
        <v>259900</v>
      </c>
      <c r="N15" s="64">
        <v>0.75</v>
      </c>
      <c r="O15" s="12">
        <f t="shared" si="0"/>
        <v>64975</v>
      </c>
      <c r="P15" s="6" t="s">
        <v>3499</v>
      </c>
    </row>
    <row r="16" spans="1:16" x14ac:dyDescent="0.25">
      <c r="A16" s="6" t="s">
        <v>3533</v>
      </c>
      <c r="B16" s="7">
        <v>46121</v>
      </c>
      <c r="C16" s="7">
        <v>46127</v>
      </c>
      <c r="D16" s="6">
        <v>3270</v>
      </c>
      <c r="E16" s="6">
        <v>336</v>
      </c>
      <c r="F16" s="6">
        <v>4</v>
      </c>
      <c r="G16" s="8">
        <v>5</v>
      </c>
      <c r="H16" s="8">
        <v>81662</v>
      </c>
      <c r="I16" s="8" t="s">
        <v>16</v>
      </c>
      <c r="J16" s="8">
        <v>15611224</v>
      </c>
      <c r="K16" s="8" t="s">
        <v>3549</v>
      </c>
      <c r="L16" s="9" t="s">
        <v>3552</v>
      </c>
      <c r="M16" s="10">
        <v>259900</v>
      </c>
      <c r="N16" s="64">
        <v>0.75</v>
      </c>
      <c r="O16" s="12">
        <f t="shared" si="0"/>
        <v>64975</v>
      </c>
      <c r="P16" s="6" t="s">
        <v>3499</v>
      </c>
    </row>
    <row r="17" spans="1:16" x14ac:dyDescent="0.25">
      <c r="A17" s="6" t="s">
        <v>3533</v>
      </c>
      <c r="B17" s="7">
        <v>46121</v>
      </c>
      <c r="C17" s="7">
        <v>46127</v>
      </c>
      <c r="D17" s="6">
        <v>3270</v>
      </c>
      <c r="E17" s="6">
        <v>336</v>
      </c>
      <c r="F17" s="6">
        <v>4</v>
      </c>
      <c r="G17" s="8">
        <v>5</v>
      </c>
      <c r="H17" s="8">
        <v>81662</v>
      </c>
      <c r="I17" s="8" t="s">
        <v>16</v>
      </c>
      <c r="J17" s="8">
        <v>15611233</v>
      </c>
      <c r="K17" s="8" t="s">
        <v>3549</v>
      </c>
      <c r="L17" s="9" t="s">
        <v>3553</v>
      </c>
      <c r="M17" s="10">
        <v>259900</v>
      </c>
      <c r="N17" s="64">
        <v>0.75</v>
      </c>
      <c r="O17" s="12">
        <f t="shared" si="0"/>
        <v>64975</v>
      </c>
      <c r="P17" s="6" t="s">
        <v>3499</v>
      </c>
    </row>
    <row r="18" spans="1:16" x14ac:dyDescent="0.25">
      <c r="A18" s="6" t="s">
        <v>3533</v>
      </c>
      <c r="B18" s="7">
        <v>46121</v>
      </c>
      <c r="C18" s="7">
        <v>46127</v>
      </c>
      <c r="D18" s="6">
        <v>3270</v>
      </c>
      <c r="E18" s="6">
        <v>336</v>
      </c>
      <c r="F18" s="6">
        <v>4</v>
      </c>
      <c r="G18" s="8">
        <v>5</v>
      </c>
      <c r="H18" s="8">
        <v>81662</v>
      </c>
      <c r="I18" s="8" t="s">
        <v>16</v>
      </c>
      <c r="J18" s="8">
        <v>15611242</v>
      </c>
      <c r="K18" s="8" t="s">
        <v>3554</v>
      </c>
      <c r="L18" s="9" t="s">
        <v>3555</v>
      </c>
      <c r="M18" s="10">
        <v>259900</v>
      </c>
      <c r="N18" s="64">
        <v>0.75</v>
      </c>
      <c r="O18" s="12">
        <f t="shared" si="0"/>
        <v>64975</v>
      </c>
      <c r="P18" s="6" t="s">
        <v>3499</v>
      </c>
    </row>
    <row r="19" spans="1:16" x14ac:dyDescent="0.25">
      <c r="A19" s="6" t="s">
        <v>3533</v>
      </c>
      <c r="B19" s="7">
        <v>46121</v>
      </c>
      <c r="C19" s="7">
        <v>46127</v>
      </c>
      <c r="D19" s="6">
        <v>3270</v>
      </c>
      <c r="E19" s="6">
        <v>336</v>
      </c>
      <c r="F19" s="6">
        <v>4</v>
      </c>
      <c r="G19" s="8">
        <v>5</v>
      </c>
      <c r="H19" s="8">
        <v>81662</v>
      </c>
      <c r="I19" s="8" t="s">
        <v>16</v>
      </c>
      <c r="J19" s="8">
        <v>15611251</v>
      </c>
      <c r="K19" s="8" t="s">
        <v>3554</v>
      </c>
      <c r="L19" s="9" t="s">
        <v>3556</v>
      </c>
      <c r="M19" s="10">
        <v>259900</v>
      </c>
      <c r="N19" s="64">
        <v>0.75</v>
      </c>
      <c r="O19" s="12">
        <f t="shared" si="0"/>
        <v>64975</v>
      </c>
      <c r="P19" s="6" t="s">
        <v>3499</v>
      </c>
    </row>
    <row r="20" spans="1:16" x14ac:dyDescent="0.25">
      <c r="A20" s="6" t="s">
        <v>3533</v>
      </c>
      <c r="B20" s="7">
        <v>46121</v>
      </c>
      <c r="C20" s="7">
        <v>46127</v>
      </c>
      <c r="D20" s="6">
        <v>3270</v>
      </c>
      <c r="E20" s="6">
        <v>336</v>
      </c>
      <c r="F20" s="6">
        <v>4</v>
      </c>
      <c r="G20" s="8">
        <v>5</v>
      </c>
      <c r="H20" s="8">
        <v>81662</v>
      </c>
      <c r="I20" s="8" t="s">
        <v>16</v>
      </c>
      <c r="J20" s="8">
        <v>15611260</v>
      </c>
      <c r="K20" s="8" t="s">
        <v>3554</v>
      </c>
      <c r="L20" s="9" t="s">
        <v>3557</v>
      </c>
      <c r="M20" s="10">
        <v>259900</v>
      </c>
      <c r="N20" s="64">
        <v>0.75</v>
      </c>
      <c r="O20" s="12">
        <f t="shared" si="0"/>
        <v>64975</v>
      </c>
      <c r="P20" s="6" t="s">
        <v>3499</v>
      </c>
    </row>
    <row r="21" spans="1:16" x14ac:dyDescent="0.25">
      <c r="A21" s="6" t="s">
        <v>3533</v>
      </c>
      <c r="B21" s="7">
        <v>46121</v>
      </c>
      <c r="C21" s="7">
        <v>46127</v>
      </c>
      <c r="D21" s="6">
        <v>3270</v>
      </c>
      <c r="E21" s="6">
        <v>336</v>
      </c>
      <c r="F21" s="6">
        <v>4</v>
      </c>
      <c r="G21" s="8">
        <v>5</v>
      </c>
      <c r="H21" s="8">
        <v>81662</v>
      </c>
      <c r="I21" s="8" t="s">
        <v>16</v>
      </c>
      <c r="J21" s="8">
        <v>15611279</v>
      </c>
      <c r="K21" s="8" t="s">
        <v>3554</v>
      </c>
      <c r="L21" s="9" t="s">
        <v>3558</v>
      </c>
      <c r="M21" s="10">
        <v>259900</v>
      </c>
      <c r="N21" s="64">
        <v>0.75</v>
      </c>
      <c r="O21" s="12">
        <f t="shared" si="0"/>
        <v>64975</v>
      </c>
      <c r="P21" s="6" t="s">
        <v>3499</v>
      </c>
    </row>
    <row r="22" spans="1:16" x14ac:dyDescent="0.25">
      <c r="A22" s="6" t="s">
        <v>3533</v>
      </c>
      <c r="B22" s="7">
        <v>46121</v>
      </c>
      <c r="C22" s="7">
        <v>46127</v>
      </c>
      <c r="D22" s="6">
        <v>3270</v>
      </c>
      <c r="E22" s="6">
        <v>336</v>
      </c>
      <c r="F22" s="6">
        <v>4</v>
      </c>
      <c r="G22" s="8">
        <v>5</v>
      </c>
      <c r="H22" s="8">
        <v>81662</v>
      </c>
      <c r="I22" s="8" t="s">
        <v>16</v>
      </c>
      <c r="J22" s="8">
        <v>15611368</v>
      </c>
      <c r="K22" s="8" t="s">
        <v>3559</v>
      </c>
      <c r="L22" s="9" t="s">
        <v>3560</v>
      </c>
      <c r="M22" s="10">
        <v>259900</v>
      </c>
      <c r="N22" s="64">
        <v>0.75</v>
      </c>
      <c r="O22" s="12">
        <f t="shared" si="0"/>
        <v>64975</v>
      </c>
      <c r="P22" s="6" t="s">
        <v>3499</v>
      </c>
    </row>
    <row r="23" spans="1:16" x14ac:dyDescent="0.25">
      <c r="A23" s="6" t="s">
        <v>3533</v>
      </c>
      <c r="B23" s="7">
        <v>46121</v>
      </c>
      <c r="C23" s="7">
        <v>46127</v>
      </c>
      <c r="D23" s="6">
        <v>3270</v>
      </c>
      <c r="E23" s="6">
        <v>336</v>
      </c>
      <c r="F23" s="6">
        <v>4</v>
      </c>
      <c r="G23" s="8">
        <v>5</v>
      </c>
      <c r="H23" s="8">
        <v>81662</v>
      </c>
      <c r="I23" s="8" t="s">
        <v>16</v>
      </c>
      <c r="J23" s="8">
        <v>15611377</v>
      </c>
      <c r="K23" s="8" t="s">
        <v>3559</v>
      </c>
      <c r="L23" s="9" t="s">
        <v>3561</v>
      </c>
      <c r="M23" s="10">
        <v>259900</v>
      </c>
      <c r="N23" s="64">
        <v>0.75</v>
      </c>
      <c r="O23" s="12">
        <f t="shared" si="0"/>
        <v>64975</v>
      </c>
      <c r="P23" s="6" t="s">
        <v>3499</v>
      </c>
    </row>
    <row r="24" spans="1:16" x14ac:dyDescent="0.25">
      <c r="A24" s="6" t="s">
        <v>3533</v>
      </c>
      <c r="B24" s="7">
        <v>46121</v>
      </c>
      <c r="C24" s="7">
        <v>46127</v>
      </c>
      <c r="D24" s="6">
        <v>3270</v>
      </c>
      <c r="E24" s="6">
        <v>336</v>
      </c>
      <c r="F24" s="6">
        <v>4</v>
      </c>
      <c r="G24" s="8">
        <v>5</v>
      </c>
      <c r="H24" s="8">
        <v>81662</v>
      </c>
      <c r="I24" s="8" t="s">
        <v>16</v>
      </c>
      <c r="J24" s="8">
        <v>15611386</v>
      </c>
      <c r="K24" s="8" t="s">
        <v>3559</v>
      </c>
      <c r="L24" s="9" t="s">
        <v>3562</v>
      </c>
      <c r="M24" s="10">
        <v>259900</v>
      </c>
      <c r="N24" s="64">
        <v>0.75</v>
      </c>
      <c r="O24" s="12">
        <f t="shared" si="0"/>
        <v>64975</v>
      </c>
      <c r="P24" s="6" t="s">
        <v>3499</v>
      </c>
    </row>
    <row r="25" spans="1:16" x14ac:dyDescent="0.25">
      <c r="A25" s="6" t="s">
        <v>3533</v>
      </c>
      <c r="B25" s="7">
        <v>46121</v>
      </c>
      <c r="C25" s="7">
        <v>46127</v>
      </c>
      <c r="D25" s="6">
        <v>3270</v>
      </c>
      <c r="E25" s="6">
        <v>336</v>
      </c>
      <c r="F25" s="6">
        <v>4</v>
      </c>
      <c r="G25" s="8">
        <v>5</v>
      </c>
      <c r="H25" s="8">
        <v>81662</v>
      </c>
      <c r="I25" s="8" t="s">
        <v>16</v>
      </c>
      <c r="J25" s="8">
        <v>15611395</v>
      </c>
      <c r="K25" s="8" t="s">
        <v>3559</v>
      </c>
      <c r="L25" s="9" t="s">
        <v>3563</v>
      </c>
      <c r="M25" s="10">
        <v>259900</v>
      </c>
      <c r="N25" s="64">
        <v>0.75</v>
      </c>
      <c r="O25" s="12">
        <f t="shared" si="0"/>
        <v>64975</v>
      </c>
      <c r="P25" s="6" t="s">
        <v>3499</v>
      </c>
    </row>
    <row r="26" spans="1:16" x14ac:dyDescent="0.25">
      <c r="A26" s="6" t="s">
        <v>3533</v>
      </c>
      <c r="B26" s="7">
        <v>46121</v>
      </c>
      <c r="C26" s="7">
        <v>46127</v>
      </c>
      <c r="D26" s="6">
        <v>3270</v>
      </c>
      <c r="E26" s="6">
        <v>336</v>
      </c>
      <c r="F26" s="6">
        <v>4</v>
      </c>
      <c r="G26" s="8">
        <v>5</v>
      </c>
      <c r="H26" s="8">
        <v>81662</v>
      </c>
      <c r="I26" s="8" t="s">
        <v>16</v>
      </c>
      <c r="J26" s="8">
        <v>15611644</v>
      </c>
      <c r="K26" s="8" t="s">
        <v>3564</v>
      </c>
      <c r="L26" s="9" t="s">
        <v>3565</v>
      </c>
      <c r="M26" s="10">
        <v>259900</v>
      </c>
      <c r="N26" s="64">
        <v>0.75</v>
      </c>
      <c r="O26" s="12">
        <f t="shared" si="0"/>
        <v>64975</v>
      </c>
      <c r="P26" s="6" t="s">
        <v>3499</v>
      </c>
    </row>
    <row r="27" spans="1:16" x14ac:dyDescent="0.25">
      <c r="A27" s="6" t="s">
        <v>3533</v>
      </c>
      <c r="B27" s="7">
        <v>46121</v>
      </c>
      <c r="C27" s="7">
        <v>46127</v>
      </c>
      <c r="D27" s="6">
        <v>3270</v>
      </c>
      <c r="E27" s="6">
        <v>336</v>
      </c>
      <c r="F27" s="6">
        <v>4</v>
      </c>
      <c r="G27" s="8">
        <v>5</v>
      </c>
      <c r="H27" s="8">
        <v>81662</v>
      </c>
      <c r="I27" s="8" t="s">
        <v>16</v>
      </c>
      <c r="J27" s="8">
        <v>15611653</v>
      </c>
      <c r="K27" s="8" t="s">
        <v>3564</v>
      </c>
      <c r="L27" s="9" t="s">
        <v>3566</v>
      </c>
      <c r="M27" s="10">
        <v>259900</v>
      </c>
      <c r="N27" s="64">
        <v>0.75</v>
      </c>
      <c r="O27" s="12">
        <f t="shared" si="0"/>
        <v>64975</v>
      </c>
      <c r="P27" s="6" t="s">
        <v>3499</v>
      </c>
    </row>
    <row r="28" spans="1:16" x14ac:dyDescent="0.25">
      <c r="A28" s="6" t="s">
        <v>3533</v>
      </c>
      <c r="B28" s="7">
        <v>46121</v>
      </c>
      <c r="C28" s="7">
        <v>46127</v>
      </c>
      <c r="D28" s="6">
        <v>3270</v>
      </c>
      <c r="E28" s="6">
        <v>336</v>
      </c>
      <c r="F28" s="6">
        <v>4</v>
      </c>
      <c r="G28" s="8">
        <v>5</v>
      </c>
      <c r="H28" s="8">
        <v>81662</v>
      </c>
      <c r="I28" s="8" t="s">
        <v>16</v>
      </c>
      <c r="J28" s="8">
        <v>15611662</v>
      </c>
      <c r="K28" s="8" t="s">
        <v>3564</v>
      </c>
      <c r="L28" s="9" t="s">
        <v>3567</v>
      </c>
      <c r="M28" s="10">
        <v>259900</v>
      </c>
      <c r="N28" s="64">
        <v>0.75</v>
      </c>
      <c r="O28" s="12">
        <f t="shared" si="0"/>
        <v>64975</v>
      </c>
      <c r="P28" s="6" t="s">
        <v>3499</v>
      </c>
    </row>
    <row r="29" spans="1:16" x14ac:dyDescent="0.25">
      <c r="A29" s="6" t="s">
        <v>3533</v>
      </c>
      <c r="B29" s="7">
        <v>46121</v>
      </c>
      <c r="C29" s="7">
        <v>46127</v>
      </c>
      <c r="D29" s="6">
        <v>3270</v>
      </c>
      <c r="E29" s="6">
        <v>336</v>
      </c>
      <c r="F29" s="6">
        <v>4</v>
      </c>
      <c r="G29" s="8">
        <v>5</v>
      </c>
      <c r="H29" s="8">
        <v>81662</v>
      </c>
      <c r="I29" s="8" t="s">
        <v>16</v>
      </c>
      <c r="J29" s="8">
        <v>15611671</v>
      </c>
      <c r="K29" s="8" t="s">
        <v>3564</v>
      </c>
      <c r="L29" s="9" t="s">
        <v>3568</v>
      </c>
      <c r="M29" s="10">
        <v>259900</v>
      </c>
      <c r="N29" s="64">
        <v>0.75</v>
      </c>
      <c r="O29" s="12">
        <f t="shared" si="0"/>
        <v>64975</v>
      </c>
      <c r="P29" s="6" t="s">
        <v>3499</v>
      </c>
    </row>
    <row r="30" spans="1:16" x14ac:dyDescent="0.25">
      <c r="A30" s="6" t="s">
        <v>3533</v>
      </c>
      <c r="B30" s="7">
        <v>46121</v>
      </c>
      <c r="C30" s="7">
        <v>46127</v>
      </c>
      <c r="D30" s="6">
        <v>3270</v>
      </c>
      <c r="E30" s="6">
        <v>336</v>
      </c>
      <c r="F30" s="6">
        <v>4</v>
      </c>
      <c r="G30" s="8">
        <v>5</v>
      </c>
      <c r="H30" s="8">
        <v>81221</v>
      </c>
      <c r="I30" s="8" t="s">
        <v>16</v>
      </c>
      <c r="J30" s="8">
        <v>15612241</v>
      </c>
      <c r="K30" s="8" t="s">
        <v>3569</v>
      </c>
      <c r="L30" s="9" t="s">
        <v>3570</v>
      </c>
      <c r="M30" s="10">
        <v>279900</v>
      </c>
      <c r="N30" s="64">
        <v>0.75</v>
      </c>
      <c r="O30" s="12">
        <f t="shared" si="0"/>
        <v>69975</v>
      </c>
      <c r="P30" s="6" t="s">
        <v>3499</v>
      </c>
    </row>
    <row r="31" spans="1:16" x14ac:dyDescent="0.25">
      <c r="A31" s="6" t="s">
        <v>3533</v>
      </c>
      <c r="B31" s="7">
        <v>46121</v>
      </c>
      <c r="C31" s="7">
        <v>46127</v>
      </c>
      <c r="D31" s="6">
        <v>3270</v>
      </c>
      <c r="E31" s="6">
        <v>336</v>
      </c>
      <c r="F31" s="6">
        <v>4</v>
      </c>
      <c r="G31" s="8">
        <v>5</v>
      </c>
      <c r="H31" s="8">
        <v>81221</v>
      </c>
      <c r="I31" s="8" t="s">
        <v>16</v>
      </c>
      <c r="J31" s="8">
        <v>15612250</v>
      </c>
      <c r="K31" s="8" t="s">
        <v>3569</v>
      </c>
      <c r="L31" s="9" t="s">
        <v>3571</v>
      </c>
      <c r="M31" s="10">
        <v>279900</v>
      </c>
      <c r="N31" s="64">
        <v>0.75</v>
      </c>
      <c r="O31" s="12">
        <f t="shared" si="0"/>
        <v>69975</v>
      </c>
      <c r="P31" s="6" t="s">
        <v>3499</v>
      </c>
    </row>
    <row r="32" spans="1:16" x14ac:dyDescent="0.25">
      <c r="A32" s="6" t="s">
        <v>3533</v>
      </c>
      <c r="B32" s="7">
        <v>46121</v>
      </c>
      <c r="C32" s="7">
        <v>46127</v>
      </c>
      <c r="D32" s="6">
        <v>3270</v>
      </c>
      <c r="E32" s="6">
        <v>336</v>
      </c>
      <c r="F32" s="6">
        <v>4</v>
      </c>
      <c r="G32" s="8">
        <v>5</v>
      </c>
      <c r="H32" s="8">
        <v>81221</v>
      </c>
      <c r="I32" s="8" t="s">
        <v>16</v>
      </c>
      <c r="J32" s="8">
        <v>15612269</v>
      </c>
      <c r="K32" s="8" t="s">
        <v>3569</v>
      </c>
      <c r="L32" s="9" t="s">
        <v>3572</v>
      </c>
      <c r="M32" s="10">
        <v>279900</v>
      </c>
      <c r="N32" s="64">
        <v>0.75</v>
      </c>
      <c r="O32" s="12">
        <f t="shared" si="0"/>
        <v>69975</v>
      </c>
      <c r="P32" s="6" t="s">
        <v>3499</v>
      </c>
    </row>
    <row r="33" spans="1:16" x14ac:dyDescent="0.25">
      <c r="A33" s="6" t="s">
        <v>3533</v>
      </c>
      <c r="B33" s="7">
        <v>46121</v>
      </c>
      <c r="C33" s="7">
        <v>46127</v>
      </c>
      <c r="D33" s="6">
        <v>3270</v>
      </c>
      <c r="E33" s="6">
        <v>336</v>
      </c>
      <c r="F33" s="6">
        <v>4</v>
      </c>
      <c r="G33" s="8">
        <v>5</v>
      </c>
      <c r="H33" s="8">
        <v>81221</v>
      </c>
      <c r="I33" s="8" t="s">
        <v>16</v>
      </c>
      <c r="J33" s="8">
        <v>15612278</v>
      </c>
      <c r="K33" s="8" t="s">
        <v>3569</v>
      </c>
      <c r="L33" s="9" t="s">
        <v>3573</v>
      </c>
      <c r="M33" s="10">
        <v>279900</v>
      </c>
      <c r="N33" s="64">
        <v>0.75</v>
      </c>
      <c r="O33" s="12">
        <f t="shared" si="0"/>
        <v>69975</v>
      </c>
      <c r="P33" s="6" t="s">
        <v>3499</v>
      </c>
    </row>
    <row r="34" spans="1:16" x14ac:dyDescent="0.25">
      <c r="A34" s="6" t="s">
        <v>3533</v>
      </c>
      <c r="B34" s="7">
        <v>46121</v>
      </c>
      <c r="C34" s="7">
        <v>46127</v>
      </c>
      <c r="D34" s="6">
        <v>3270</v>
      </c>
      <c r="E34" s="6">
        <v>336</v>
      </c>
      <c r="F34" s="6">
        <v>4</v>
      </c>
      <c r="G34" s="8">
        <v>5</v>
      </c>
      <c r="H34" s="8">
        <v>81221</v>
      </c>
      <c r="I34" s="8" t="s">
        <v>16</v>
      </c>
      <c r="J34" s="8">
        <v>15612287</v>
      </c>
      <c r="K34" s="8" t="s">
        <v>3574</v>
      </c>
      <c r="L34" s="9" t="s">
        <v>3575</v>
      </c>
      <c r="M34" s="10">
        <v>279900</v>
      </c>
      <c r="N34" s="64">
        <v>0.75</v>
      </c>
      <c r="O34" s="12">
        <f t="shared" si="0"/>
        <v>69975</v>
      </c>
      <c r="P34" s="6" t="s">
        <v>3499</v>
      </c>
    </row>
    <row r="35" spans="1:16" x14ac:dyDescent="0.25">
      <c r="A35" s="6" t="s">
        <v>3533</v>
      </c>
      <c r="B35" s="7">
        <v>46121</v>
      </c>
      <c r="C35" s="7">
        <v>46127</v>
      </c>
      <c r="D35" s="6">
        <v>3270</v>
      </c>
      <c r="E35" s="6">
        <v>336</v>
      </c>
      <c r="F35" s="6">
        <v>4</v>
      </c>
      <c r="G35" s="8">
        <v>5</v>
      </c>
      <c r="H35" s="8">
        <v>81221</v>
      </c>
      <c r="I35" s="8" t="s">
        <v>16</v>
      </c>
      <c r="J35" s="8">
        <v>15612296</v>
      </c>
      <c r="K35" s="8" t="s">
        <v>3574</v>
      </c>
      <c r="L35" s="9" t="s">
        <v>3576</v>
      </c>
      <c r="M35" s="10">
        <v>279900</v>
      </c>
      <c r="N35" s="64">
        <v>0.75</v>
      </c>
      <c r="O35" s="12">
        <f t="shared" si="0"/>
        <v>69975</v>
      </c>
      <c r="P35" s="6" t="s">
        <v>3499</v>
      </c>
    </row>
    <row r="36" spans="1:16" x14ac:dyDescent="0.25">
      <c r="A36" s="6" t="s">
        <v>3533</v>
      </c>
      <c r="B36" s="7">
        <v>46121</v>
      </c>
      <c r="C36" s="7">
        <v>46127</v>
      </c>
      <c r="D36" s="6">
        <v>3270</v>
      </c>
      <c r="E36" s="6">
        <v>336</v>
      </c>
      <c r="F36" s="6">
        <v>4</v>
      </c>
      <c r="G36" s="8">
        <v>5</v>
      </c>
      <c r="H36" s="8">
        <v>81221</v>
      </c>
      <c r="I36" s="8" t="s">
        <v>16</v>
      </c>
      <c r="J36" s="8">
        <v>15612303</v>
      </c>
      <c r="K36" s="8" t="s">
        <v>3574</v>
      </c>
      <c r="L36" s="9" t="s">
        <v>3577</v>
      </c>
      <c r="M36" s="10">
        <v>279900</v>
      </c>
      <c r="N36" s="64">
        <v>0.75</v>
      </c>
      <c r="O36" s="12">
        <f t="shared" si="0"/>
        <v>69975</v>
      </c>
      <c r="P36" s="6" t="s">
        <v>3499</v>
      </c>
    </row>
    <row r="37" spans="1:16" x14ac:dyDescent="0.25">
      <c r="A37" s="6" t="s">
        <v>3533</v>
      </c>
      <c r="B37" s="7">
        <v>46121</v>
      </c>
      <c r="C37" s="7">
        <v>46127</v>
      </c>
      <c r="D37" s="6">
        <v>3270</v>
      </c>
      <c r="E37" s="6">
        <v>336</v>
      </c>
      <c r="F37" s="6">
        <v>4</v>
      </c>
      <c r="G37" s="8">
        <v>5</v>
      </c>
      <c r="H37" s="8">
        <v>81221</v>
      </c>
      <c r="I37" s="8" t="s">
        <v>16</v>
      </c>
      <c r="J37" s="8">
        <v>15612312</v>
      </c>
      <c r="K37" s="8" t="s">
        <v>3574</v>
      </c>
      <c r="L37" s="9" t="s">
        <v>3578</v>
      </c>
      <c r="M37" s="10">
        <v>279900</v>
      </c>
      <c r="N37" s="64">
        <v>0.75</v>
      </c>
      <c r="O37" s="12">
        <f t="shared" si="0"/>
        <v>69975</v>
      </c>
      <c r="P37" s="6" t="s">
        <v>3499</v>
      </c>
    </row>
    <row r="38" spans="1:16" x14ac:dyDescent="0.25">
      <c r="A38" s="6" t="s">
        <v>3533</v>
      </c>
      <c r="B38" s="7">
        <v>46121</v>
      </c>
      <c r="C38" s="7">
        <v>46127</v>
      </c>
      <c r="D38" s="6">
        <v>3270</v>
      </c>
      <c r="E38" s="6">
        <v>336</v>
      </c>
      <c r="F38" s="6">
        <v>4</v>
      </c>
      <c r="G38" s="8">
        <v>5</v>
      </c>
      <c r="H38" s="8">
        <v>81221</v>
      </c>
      <c r="I38" s="8" t="s">
        <v>16</v>
      </c>
      <c r="J38" s="8">
        <v>15612321</v>
      </c>
      <c r="K38" s="8" t="s">
        <v>3579</v>
      </c>
      <c r="L38" s="9" t="s">
        <v>3580</v>
      </c>
      <c r="M38" s="10">
        <v>279900</v>
      </c>
      <c r="N38" s="64">
        <v>0.75</v>
      </c>
      <c r="O38" s="12">
        <f t="shared" si="0"/>
        <v>69975</v>
      </c>
      <c r="P38" s="6" t="s">
        <v>3499</v>
      </c>
    </row>
    <row r="39" spans="1:16" x14ac:dyDescent="0.25">
      <c r="A39" s="6" t="s">
        <v>3533</v>
      </c>
      <c r="B39" s="7">
        <v>46121</v>
      </c>
      <c r="C39" s="7">
        <v>46127</v>
      </c>
      <c r="D39" s="6">
        <v>3270</v>
      </c>
      <c r="E39" s="6">
        <v>336</v>
      </c>
      <c r="F39" s="6">
        <v>4</v>
      </c>
      <c r="G39" s="8">
        <v>5</v>
      </c>
      <c r="H39" s="8">
        <v>81221</v>
      </c>
      <c r="I39" s="8" t="s">
        <v>16</v>
      </c>
      <c r="J39" s="8">
        <v>15612330</v>
      </c>
      <c r="K39" s="8" t="s">
        <v>3579</v>
      </c>
      <c r="L39" s="9" t="s">
        <v>3581</v>
      </c>
      <c r="M39" s="10">
        <v>279900</v>
      </c>
      <c r="N39" s="64">
        <v>0.75</v>
      </c>
      <c r="O39" s="12">
        <f t="shared" si="0"/>
        <v>69975</v>
      </c>
      <c r="P39" s="6" t="s">
        <v>3499</v>
      </c>
    </row>
    <row r="40" spans="1:16" x14ac:dyDescent="0.25">
      <c r="A40" s="6" t="s">
        <v>3533</v>
      </c>
      <c r="B40" s="7">
        <v>46121</v>
      </c>
      <c r="C40" s="7">
        <v>46127</v>
      </c>
      <c r="D40" s="6">
        <v>3270</v>
      </c>
      <c r="E40" s="6">
        <v>336</v>
      </c>
      <c r="F40" s="6">
        <v>4</v>
      </c>
      <c r="G40" s="8">
        <v>5</v>
      </c>
      <c r="H40" s="8">
        <v>81221</v>
      </c>
      <c r="I40" s="8" t="s">
        <v>16</v>
      </c>
      <c r="J40" s="8">
        <v>15612349</v>
      </c>
      <c r="K40" s="8" t="s">
        <v>3579</v>
      </c>
      <c r="L40" s="9" t="s">
        <v>3582</v>
      </c>
      <c r="M40" s="10">
        <v>279900</v>
      </c>
      <c r="N40" s="64">
        <v>0.75</v>
      </c>
      <c r="O40" s="12">
        <f t="shared" si="0"/>
        <v>69975</v>
      </c>
      <c r="P40" s="6" t="s">
        <v>3499</v>
      </c>
    </row>
    <row r="41" spans="1:16" x14ac:dyDescent="0.25">
      <c r="A41" s="6" t="s">
        <v>3533</v>
      </c>
      <c r="B41" s="7">
        <v>46121</v>
      </c>
      <c r="C41" s="7">
        <v>46127</v>
      </c>
      <c r="D41" s="6">
        <v>3270</v>
      </c>
      <c r="E41" s="6">
        <v>336</v>
      </c>
      <c r="F41" s="6">
        <v>4</v>
      </c>
      <c r="G41" s="8">
        <v>5</v>
      </c>
      <c r="H41" s="8">
        <v>81221</v>
      </c>
      <c r="I41" s="8" t="s">
        <v>16</v>
      </c>
      <c r="J41" s="8">
        <v>15612367</v>
      </c>
      <c r="K41" s="8" t="s">
        <v>3583</v>
      </c>
      <c r="L41" s="9" t="s">
        <v>3584</v>
      </c>
      <c r="M41" s="10">
        <v>279900</v>
      </c>
      <c r="N41" s="64">
        <v>0.75</v>
      </c>
      <c r="O41" s="12">
        <f t="shared" si="0"/>
        <v>69975</v>
      </c>
      <c r="P41" s="6" t="s">
        <v>3499</v>
      </c>
    </row>
    <row r="42" spans="1:16" x14ac:dyDescent="0.25">
      <c r="A42" s="6" t="s">
        <v>3533</v>
      </c>
      <c r="B42" s="7">
        <v>46121</v>
      </c>
      <c r="C42" s="7">
        <v>46127</v>
      </c>
      <c r="D42" s="6">
        <v>3270</v>
      </c>
      <c r="E42" s="6">
        <v>336</v>
      </c>
      <c r="F42" s="6">
        <v>4</v>
      </c>
      <c r="G42" s="8">
        <v>5</v>
      </c>
      <c r="H42" s="8">
        <v>81221</v>
      </c>
      <c r="I42" s="8" t="s">
        <v>16</v>
      </c>
      <c r="J42" s="8">
        <v>15612376</v>
      </c>
      <c r="K42" s="8" t="s">
        <v>3583</v>
      </c>
      <c r="L42" s="9" t="s">
        <v>3585</v>
      </c>
      <c r="M42" s="10">
        <v>279900</v>
      </c>
      <c r="N42" s="64">
        <v>0.75</v>
      </c>
      <c r="O42" s="12">
        <f t="shared" si="0"/>
        <v>69975</v>
      </c>
      <c r="P42" s="6" t="s">
        <v>3499</v>
      </c>
    </row>
    <row r="43" spans="1:16" x14ac:dyDescent="0.25">
      <c r="A43" s="6" t="s">
        <v>3533</v>
      </c>
      <c r="B43" s="7">
        <v>46121</v>
      </c>
      <c r="C43" s="7">
        <v>46127</v>
      </c>
      <c r="D43" s="6">
        <v>3270</v>
      </c>
      <c r="E43" s="6">
        <v>336</v>
      </c>
      <c r="F43" s="6">
        <v>4</v>
      </c>
      <c r="G43" s="8">
        <v>5</v>
      </c>
      <c r="H43" s="8">
        <v>81221</v>
      </c>
      <c r="I43" s="8" t="s">
        <v>16</v>
      </c>
      <c r="J43" s="8">
        <v>15612385</v>
      </c>
      <c r="K43" s="8" t="s">
        <v>3583</v>
      </c>
      <c r="L43" s="9" t="s">
        <v>3586</v>
      </c>
      <c r="M43" s="10">
        <v>279900</v>
      </c>
      <c r="N43" s="64">
        <v>0.75</v>
      </c>
      <c r="O43" s="12">
        <f t="shared" si="0"/>
        <v>69975</v>
      </c>
      <c r="P43" s="6" t="s">
        <v>3499</v>
      </c>
    </row>
    <row r="44" spans="1:16" x14ac:dyDescent="0.25">
      <c r="A44" s="6" t="s">
        <v>3533</v>
      </c>
      <c r="B44" s="7">
        <v>46121</v>
      </c>
      <c r="C44" s="7">
        <v>46127</v>
      </c>
      <c r="D44" s="6">
        <v>3270</v>
      </c>
      <c r="E44" s="6">
        <v>336</v>
      </c>
      <c r="F44" s="6">
        <v>4</v>
      </c>
      <c r="G44" s="8">
        <v>5</v>
      </c>
      <c r="H44" s="8">
        <v>81221</v>
      </c>
      <c r="I44" s="8" t="s">
        <v>16</v>
      </c>
      <c r="J44" s="8">
        <v>15612394</v>
      </c>
      <c r="K44" s="8" t="s">
        <v>3583</v>
      </c>
      <c r="L44" s="9" t="s">
        <v>3587</v>
      </c>
      <c r="M44" s="10">
        <v>279900</v>
      </c>
      <c r="N44" s="64">
        <v>0.75</v>
      </c>
      <c r="O44" s="12">
        <f t="shared" si="0"/>
        <v>69975</v>
      </c>
      <c r="P44" s="6" t="s">
        <v>3499</v>
      </c>
    </row>
    <row r="45" spans="1:16" x14ac:dyDescent="0.25">
      <c r="A45" s="6" t="s">
        <v>3533</v>
      </c>
      <c r="B45" s="7">
        <v>46121</v>
      </c>
      <c r="C45" s="7">
        <v>46127</v>
      </c>
      <c r="D45" s="6">
        <v>3270</v>
      </c>
      <c r="E45" s="6">
        <v>336</v>
      </c>
      <c r="F45" s="6">
        <v>4</v>
      </c>
      <c r="G45" s="8">
        <v>5</v>
      </c>
      <c r="H45" s="8">
        <v>81221</v>
      </c>
      <c r="I45" s="8" t="s">
        <v>16</v>
      </c>
      <c r="J45" s="8">
        <v>15612401</v>
      </c>
      <c r="K45" s="8" t="s">
        <v>3588</v>
      </c>
      <c r="L45" s="9" t="s">
        <v>3589</v>
      </c>
      <c r="M45" s="10">
        <v>279900</v>
      </c>
      <c r="N45" s="64">
        <v>0.75</v>
      </c>
      <c r="O45" s="12">
        <f t="shared" si="0"/>
        <v>69975</v>
      </c>
      <c r="P45" s="6" t="s">
        <v>3499</v>
      </c>
    </row>
    <row r="46" spans="1:16" x14ac:dyDescent="0.25">
      <c r="A46" s="6" t="s">
        <v>3533</v>
      </c>
      <c r="B46" s="7">
        <v>46121</v>
      </c>
      <c r="C46" s="7">
        <v>46127</v>
      </c>
      <c r="D46" s="6">
        <v>3270</v>
      </c>
      <c r="E46" s="6">
        <v>336</v>
      </c>
      <c r="F46" s="6">
        <v>4</v>
      </c>
      <c r="G46" s="8">
        <v>5</v>
      </c>
      <c r="H46" s="8">
        <v>81221</v>
      </c>
      <c r="I46" s="8" t="s">
        <v>16</v>
      </c>
      <c r="J46" s="8">
        <v>15612410</v>
      </c>
      <c r="K46" s="8" t="s">
        <v>3588</v>
      </c>
      <c r="L46" s="9" t="s">
        <v>3590</v>
      </c>
      <c r="M46" s="10">
        <v>279900</v>
      </c>
      <c r="N46" s="64">
        <v>0.75</v>
      </c>
      <c r="O46" s="12">
        <f t="shared" si="0"/>
        <v>69975</v>
      </c>
      <c r="P46" s="6" t="s">
        <v>3499</v>
      </c>
    </row>
    <row r="47" spans="1:16" x14ac:dyDescent="0.25">
      <c r="A47" s="6" t="s">
        <v>3533</v>
      </c>
      <c r="B47" s="7">
        <v>46121</v>
      </c>
      <c r="C47" s="7">
        <v>46127</v>
      </c>
      <c r="D47" s="6">
        <v>3270</v>
      </c>
      <c r="E47" s="6">
        <v>336</v>
      </c>
      <c r="F47" s="6">
        <v>4</v>
      </c>
      <c r="G47" s="8">
        <v>5</v>
      </c>
      <c r="H47" s="8">
        <v>81221</v>
      </c>
      <c r="I47" s="8" t="s">
        <v>16</v>
      </c>
      <c r="J47" s="8">
        <v>15612429</v>
      </c>
      <c r="K47" s="8" t="s">
        <v>3588</v>
      </c>
      <c r="L47" s="9" t="s">
        <v>3591</v>
      </c>
      <c r="M47" s="10">
        <v>279900</v>
      </c>
      <c r="N47" s="64">
        <v>0.75</v>
      </c>
      <c r="O47" s="12">
        <f t="shared" si="0"/>
        <v>69975</v>
      </c>
      <c r="P47" s="6" t="s">
        <v>3499</v>
      </c>
    </row>
    <row r="48" spans="1:16" x14ac:dyDescent="0.25">
      <c r="A48" s="6" t="s">
        <v>3533</v>
      </c>
      <c r="B48" s="7">
        <v>46121</v>
      </c>
      <c r="C48" s="7">
        <v>46127</v>
      </c>
      <c r="D48" s="6">
        <v>3270</v>
      </c>
      <c r="E48" s="6">
        <v>336</v>
      </c>
      <c r="F48" s="6">
        <v>4</v>
      </c>
      <c r="G48" s="8">
        <v>5</v>
      </c>
      <c r="H48" s="8">
        <v>81221</v>
      </c>
      <c r="I48" s="8" t="s">
        <v>16</v>
      </c>
      <c r="J48" s="8">
        <v>15612438</v>
      </c>
      <c r="K48" s="8" t="s">
        <v>3588</v>
      </c>
      <c r="L48" s="9" t="s">
        <v>3592</v>
      </c>
      <c r="M48" s="10">
        <v>279900</v>
      </c>
      <c r="N48" s="64">
        <v>0.75</v>
      </c>
      <c r="O48" s="12">
        <f t="shared" si="0"/>
        <v>69975</v>
      </c>
      <c r="P48" s="6" t="s">
        <v>3499</v>
      </c>
    </row>
    <row r="49" spans="1:16" x14ac:dyDescent="0.25">
      <c r="A49" s="6" t="s">
        <v>3533</v>
      </c>
      <c r="B49" s="7">
        <v>46121</v>
      </c>
      <c r="C49" s="7">
        <v>46127</v>
      </c>
      <c r="D49" s="6">
        <v>3270</v>
      </c>
      <c r="E49" s="6">
        <v>336</v>
      </c>
      <c r="F49" s="6">
        <v>4</v>
      </c>
      <c r="G49" s="8">
        <v>5</v>
      </c>
      <c r="H49" s="8">
        <v>81221</v>
      </c>
      <c r="I49" s="8" t="s">
        <v>16</v>
      </c>
      <c r="J49" s="8">
        <v>15612447</v>
      </c>
      <c r="K49" s="8" t="s">
        <v>3593</v>
      </c>
      <c r="L49" s="9" t="s">
        <v>3594</v>
      </c>
      <c r="M49" s="10">
        <v>279900</v>
      </c>
      <c r="N49" s="64">
        <v>0.75</v>
      </c>
      <c r="O49" s="12">
        <f t="shared" si="0"/>
        <v>69975</v>
      </c>
      <c r="P49" s="6" t="s">
        <v>3499</v>
      </c>
    </row>
    <row r="50" spans="1:16" x14ac:dyDescent="0.25">
      <c r="A50" s="6" t="s">
        <v>3533</v>
      </c>
      <c r="B50" s="7">
        <v>46121</v>
      </c>
      <c r="C50" s="7">
        <v>46127</v>
      </c>
      <c r="D50" s="6">
        <v>3270</v>
      </c>
      <c r="E50" s="6">
        <v>336</v>
      </c>
      <c r="F50" s="6">
        <v>4</v>
      </c>
      <c r="G50" s="8">
        <v>5</v>
      </c>
      <c r="H50" s="8">
        <v>81221</v>
      </c>
      <c r="I50" s="8" t="s">
        <v>16</v>
      </c>
      <c r="J50" s="8">
        <v>15612456</v>
      </c>
      <c r="K50" s="8" t="s">
        <v>3593</v>
      </c>
      <c r="L50" s="9" t="s">
        <v>3595</v>
      </c>
      <c r="M50" s="10">
        <v>279900</v>
      </c>
      <c r="N50" s="64">
        <v>0.75</v>
      </c>
      <c r="O50" s="12">
        <f t="shared" si="0"/>
        <v>69975</v>
      </c>
      <c r="P50" s="6" t="s">
        <v>3499</v>
      </c>
    </row>
    <row r="51" spans="1:16" x14ac:dyDescent="0.25">
      <c r="A51" s="6" t="s">
        <v>3533</v>
      </c>
      <c r="B51" s="7">
        <v>46121</v>
      </c>
      <c r="C51" s="7">
        <v>46127</v>
      </c>
      <c r="D51" s="6">
        <v>3270</v>
      </c>
      <c r="E51" s="6">
        <v>336</v>
      </c>
      <c r="F51" s="6">
        <v>4</v>
      </c>
      <c r="G51" s="8">
        <v>5</v>
      </c>
      <c r="H51" s="8">
        <v>81221</v>
      </c>
      <c r="I51" s="8" t="s">
        <v>16</v>
      </c>
      <c r="J51" s="8">
        <v>15612465</v>
      </c>
      <c r="K51" s="8" t="s">
        <v>3593</v>
      </c>
      <c r="L51" s="9" t="s">
        <v>3596</v>
      </c>
      <c r="M51" s="10">
        <v>279900</v>
      </c>
      <c r="N51" s="64">
        <v>0.75</v>
      </c>
      <c r="O51" s="12">
        <f t="shared" si="0"/>
        <v>69975</v>
      </c>
      <c r="P51" s="6" t="s">
        <v>3499</v>
      </c>
    </row>
    <row r="52" spans="1:16" x14ac:dyDescent="0.25">
      <c r="A52" s="6" t="s">
        <v>3533</v>
      </c>
      <c r="B52" s="7">
        <v>46121</v>
      </c>
      <c r="C52" s="7">
        <v>46127</v>
      </c>
      <c r="D52" s="6">
        <v>3270</v>
      </c>
      <c r="E52" s="6">
        <v>336</v>
      </c>
      <c r="F52" s="6">
        <v>4</v>
      </c>
      <c r="G52" s="8">
        <v>5</v>
      </c>
      <c r="H52" s="8">
        <v>81221</v>
      </c>
      <c r="I52" s="8" t="s">
        <v>16</v>
      </c>
      <c r="J52" s="8">
        <v>15612358</v>
      </c>
      <c r="K52" s="8" t="s">
        <v>3579</v>
      </c>
      <c r="L52" s="9" t="s">
        <v>3597</v>
      </c>
      <c r="M52" s="10">
        <v>279900</v>
      </c>
      <c r="N52" s="64">
        <v>0.75</v>
      </c>
      <c r="O52" s="12">
        <f t="shared" si="0"/>
        <v>69975</v>
      </c>
      <c r="P52" s="6" t="s">
        <v>3499</v>
      </c>
    </row>
    <row r="53" spans="1:16" x14ac:dyDescent="0.25">
      <c r="A53" s="6" t="s">
        <v>3533</v>
      </c>
      <c r="B53" s="7">
        <v>46121</v>
      </c>
      <c r="C53" s="7">
        <v>46127</v>
      </c>
      <c r="D53" s="6">
        <v>3270</v>
      </c>
      <c r="E53" s="6">
        <v>336</v>
      </c>
      <c r="F53" s="6">
        <v>4</v>
      </c>
      <c r="G53" s="8">
        <v>5</v>
      </c>
      <c r="H53" s="8">
        <v>81221</v>
      </c>
      <c r="I53" s="8" t="s">
        <v>16</v>
      </c>
      <c r="J53" s="8">
        <v>15612474</v>
      </c>
      <c r="K53" s="8" t="s">
        <v>3593</v>
      </c>
      <c r="L53" s="9" t="s">
        <v>3598</v>
      </c>
      <c r="M53" s="10">
        <v>279900</v>
      </c>
      <c r="N53" s="64">
        <v>0.75</v>
      </c>
      <c r="O53" s="12">
        <f t="shared" si="0"/>
        <v>69975</v>
      </c>
      <c r="P53" s="6" t="s">
        <v>3499</v>
      </c>
    </row>
    <row r="54" spans="1:16" x14ac:dyDescent="0.25">
      <c r="A54" s="6" t="s">
        <v>3533</v>
      </c>
      <c r="B54" s="7">
        <v>46121</v>
      </c>
      <c r="C54" s="7">
        <v>46127</v>
      </c>
      <c r="D54" s="6">
        <v>3270</v>
      </c>
      <c r="E54" s="6">
        <v>336</v>
      </c>
      <c r="F54" s="6">
        <v>4</v>
      </c>
      <c r="G54" s="8">
        <v>5</v>
      </c>
      <c r="H54" s="8">
        <v>81684</v>
      </c>
      <c r="I54" s="8" t="s">
        <v>16</v>
      </c>
      <c r="J54" s="8">
        <v>15612483</v>
      </c>
      <c r="K54" s="8" t="s">
        <v>3599</v>
      </c>
      <c r="L54" s="9" t="s">
        <v>3600</v>
      </c>
      <c r="M54" s="10">
        <v>189900</v>
      </c>
      <c r="N54" s="64">
        <v>0.75</v>
      </c>
      <c r="O54" s="12">
        <f t="shared" si="0"/>
        <v>47475</v>
      </c>
      <c r="P54" s="6" t="s">
        <v>3499</v>
      </c>
    </row>
    <row r="55" spans="1:16" x14ac:dyDescent="0.25">
      <c r="A55" s="6" t="s">
        <v>3533</v>
      </c>
      <c r="B55" s="7">
        <v>46121</v>
      </c>
      <c r="C55" s="7">
        <v>46127</v>
      </c>
      <c r="D55" s="6">
        <v>3270</v>
      </c>
      <c r="E55" s="6">
        <v>336</v>
      </c>
      <c r="F55" s="6">
        <v>4</v>
      </c>
      <c r="G55" s="8">
        <v>5</v>
      </c>
      <c r="H55" s="8">
        <v>81684</v>
      </c>
      <c r="I55" s="8" t="s">
        <v>16</v>
      </c>
      <c r="J55" s="8">
        <v>15612492</v>
      </c>
      <c r="K55" s="8" t="s">
        <v>3599</v>
      </c>
      <c r="L55" s="9" t="s">
        <v>3601</v>
      </c>
      <c r="M55" s="10">
        <v>189900</v>
      </c>
      <c r="N55" s="64">
        <v>0.75</v>
      </c>
      <c r="O55" s="12">
        <f t="shared" si="0"/>
        <v>47475</v>
      </c>
      <c r="P55" s="6" t="s">
        <v>3499</v>
      </c>
    </row>
    <row r="56" spans="1:16" x14ac:dyDescent="0.25">
      <c r="A56" s="6" t="s">
        <v>3533</v>
      </c>
      <c r="B56" s="7">
        <v>46121</v>
      </c>
      <c r="C56" s="7">
        <v>46127</v>
      </c>
      <c r="D56" s="6">
        <v>3270</v>
      </c>
      <c r="E56" s="6">
        <v>336</v>
      </c>
      <c r="F56" s="6">
        <v>4</v>
      </c>
      <c r="G56" s="8">
        <v>5</v>
      </c>
      <c r="H56" s="8">
        <v>81684</v>
      </c>
      <c r="I56" s="8" t="s">
        <v>16</v>
      </c>
      <c r="J56" s="8">
        <v>15612509</v>
      </c>
      <c r="K56" s="8" t="s">
        <v>3599</v>
      </c>
      <c r="L56" s="9" t="s">
        <v>3602</v>
      </c>
      <c r="M56" s="10">
        <v>189900</v>
      </c>
      <c r="N56" s="64">
        <v>0.75</v>
      </c>
      <c r="O56" s="12">
        <f t="shared" si="0"/>
        <v>47475</v>
      </c>
      <c r="P56" s="6" t="s">
        <v>3499</v>
      </c>
    </row>
    <row r="57" spans="1:16" x14ac:dyDescent="0.25">
      <c r="A57" s="6" t="s">
        <v>3533</v>
      </c>
      <c r="B57" s="7">
        <v>46121</v>
      </c>
      <c r="C57" s="7">
        <v>46127</v>
      </c>
      <c r="D57" s="6">
        <v>3270</v>
      </c>
      <c r="E57" s="6">
        <v>336</v>
      </c>
      <c r="F57" s="6">
        <v>4</v>
      </c>
      <c r="G57" s="8">
        <v>5</v>
      </c>
      <c r="H57" s="8">
        <v>81684</v>
      </c>
      <c r="I57" s="8" t="s">
        <v>16</v>
      </c>
      <c r="J57" s="8">
        <v>15612518</v>
      </c>
      <c r="K57" s="8" t="s">
        <v>3599</v>
      </c>
      <c r="L57" s="9" t="s">
        <v>3603</v>
      </c>
      <c r="M57" s="10">
        <v>189900</v>
      </c>
      <c r="N57" s="64">
        <v>0.75</v>
      </c>
      <c r="O57" s="12">
        <f t="shared" si="0"/>
        <v>47475</v>
      </c>
      <c r="P57" s="6" t="s">
        <v>3499</v>
      </c>
    </row>
    <row r="58" spans="1:16" x14ac:dyDescent="0.25">
      <c r="A58" s="6" t="s">
        <v>3533</v>
      </c>
      <c r="B58" s="7">
        <v>46121</v>
      </c>
      <c r="C58" s="7">
        <v>46127</v>
      </c>
      <c r="D58" s="6">
        <v>3270</v>
      </c>
      <c r="E58" s="6">
        <v>336</v>
      </c>
      <c r="F58" s="6">
        <v>4</v>
      </c>
      <c r="G58" s="8">
        <v>5</v>
      </c>
      <c r="H58" s="8">
        <v>81684</v>
      </c>
      <c r="I58" s="8" t="s">
        <v>16</v>
      </c>
      <c r="J58" s="8">
        <v>15612723</v>
      </c>
      <c r="K58" s="8" t="s">
        <v>3604</v>
      </c>
      <c r="L58" s="9" t="s">
        <v>3605</v>
      </c>
      <c r="M58" s="10">
        <v>189900</v>
      </c>
      <c r="N58" s="64">
        <v>0.75</v>
      </c>
      <c r="O58" s="12">
        <f t="shared" si="0"/>
        <v>47475</v>
      </c>
      <c r="P58" s="6" t="s">
        <v>3499</v>
      </c>
    </row>
    <row r="59" spans="1:16" x14ac:dyDescent="0.25">
      <c r="A59" s="6" t="s">
        <v>3533</v>
      </c>
      <c r="B59" s="7">
        <v>46121</v>
      </c>
      <c r="C59" s="7">
        <v>46127</v>
      </c>
      <c r="D59" s="6">
        <v>3270</v>
      </c>
      <c r="E59" s="6">
        <v>336</v>
      </c>
      <c r="F59" s="6">
        <v>4</v>
      </c>
      <c r="G59" s="8">
        <v>5</v>
      </c>
      <c r="H59" s="8">
        <v>81684</v>
      </c>
      <c r="I59" s="8" t="s">
        <v>16</v>
      </c>
      <c r="J59" s="8">
        <v>15612732</v>
      </c>
      <c r="K59" s="8" t="s">
        <v>3604</v>
      </c>
      <c r="L59" s="9" t="s">
        <v>3606</v>
      </c>
      <c r="M59" s="10">
        <v>189900</v>
      </c>
      <c r="N59" s="64">
        <v>0.75</v>
      </c>
      <c r="O59" s="12">
        <f t="shared" si="0"/>
        <v>47475</v>
      </c>
      <c r="P59" s="6" t="s">
        <v>3499</v>
      </c>
    </row>
    <row r="60" spans="1:16" x14ac:dyDescent="0.25">
      <c r="A60" s="6" t="s">
        <v>3533</v>
      </c>
      <c r="B60" s="7">
        <v>46121</v>
      </c>
      <c r="C60" s="7">
        <v>46127</v>
      </c>
      <c r="D60" s="6">
        <v>3270</v>
      </c>
      <c r="E60" s="6">
        <v>336</v>
      </c>
      <c r="F60" s="6">
        <v>4</v>
      </c>
      <c r="G60" s="8">
        <v>5</v>
      </c>
      <c r="H60" s="8">
        <v>81684</v>
      </c>
      <c r="I60" s="8" t="s">
        <v>16</v>
      </c>
      <c r="J60" s="8">
        <v>15612741</v>
      </c>
      <c r="K60" s="8" t="s">
        <v>3604</v>
      </c>
      <c r="L60" s="9" t="s">
        <v>3607</v>
      </c>
      <c r="M60" s="10">
        <v>189900</v>
      </c>
      <c r="N60" s="64">
        <v>0.75</v>
      </c>
      <c r="O60" s="12">
        <f t="shared" si="0"/>
        <v>47475</v>
      </c>
      <c r="P60" s="6" t="s">
        <v>3499</v>
      </c>
    </row>
    <row r="61" spans="1:16" x14ac:dyDescent="0.25">
      <c r="A61" s="6" t="s">
        <v>3533</v>
      </c>
      <c r="B61" s="7">
        <v>46121</v>
      </c>
      <c r="C61" s="7">
        <v>46127</v>
      </c>
      <c r="D61" s="6">
        <v>3270</v>
      </c>
      <c r="E61" s="6">
        <v>336</v>
      </c>
      <c r="F61" s="6">
        <v>4</v>
      </c>
      <c r="G61" s="8">
        <v>5</v>
      </c>
      <c r="H61" s="8">
        <v>81684</v>
      </c>
      <c r="I61" s="8" t="s">
        <v>16</v>
      </c>
      <c r="J61" s="8">
        <v>15612750</v>
      </c>
      <c r="K61" s="8" t="s">
        <v>3604</v>
      </c>
      <c r="L61" s="9" t="s">
        <v>3608</v>
      </c>
      <c r="M61" s="10">
        <v>189900</v>
      </c>
      <c r="N61" s="64">
        <v>0.75</v>
      </c>
      <c r="O61" s="12">
        <f t="shared" si="0"/>
        <v>47475</v>
      </c>
      <c r="P61" s="6" t="s">
        <v>3499</v>
      </c>
    </row>
    <row r="62" spans="1:16" x14ac:dyDescent="0.25">
      <c r="A62" s="6" t="s">
        <v>3533</v>
      </c>
      <c r="B62" s="7">
        <v>46121</v>
      </c>
      <c r="C62" s="7">
        <v>46127</v>
      </c>
      <c r="D62" s="6">
        <v>3270</v>
      </c>
      <c r="E62" s="6">
        <v>336</v>
      </c>
      <c r="F62" s="6">
        <v>4</v>
      </c>
      <c r="G62" s="8">
        <v>5</v>
      </c>
      <c r="H62" s="8">
        <v>81683</v>
      </c>
      <c r="I62" s="8" t="s">
        <v>16</v>
      </c>
      <c r="J62" s="8">
        <v>15611288</v>
      </c>
      <c r="K62" s="8" t="s">
        <v>3609</v>
      </c>
      <c r="L62" s="9" t="s">
        <v>3610</v>
      </c>
      <c r="M62" s="10">
        <v>259900</v>
      </c>
      <c r="N62" s="64">
        <v>0.75</v>
      </c>
      <c r="O62" s="12">
        <f t="shared" si="0"/>
        <v>64975</v>
      </c>
      <c r="P62" s="6" t="s">
        <v>3499</v>
      </c>
    </row>
    <row r="63" spans="1:16" x14ac:dyDescent="0.25">
      <c r="A63" s="6" t="s">
        <v>3533</v>
      </c>
      <c r="B63" s="7">
        <v>46121</v>
      </c>
      <c r="C63" s="7">
        <v>46127</v>
      </c>
      <c r="D63" s="6">
        <v>3270</v>
      </c>
      <c r="E63" s="6">
        <v>336</v>
      </c>
      <c r="F63" s="6">
        <v>4</v>
      </c>
      <c r="G63" s="8">
        <v>5</v>
      </c>
      <c r="H63" s="8">
        <v>81683</v>
      </c>
      <c r="I63" s="8" t="s">
        <v>16</v>
      </c>
      <c r="J63" s="8">
        <v>15611297</v>
      </c>
      <c r="K63" s="8" t="s">
        <v>3609</v>
      </c>
      <c r="L63" s="9" t="s">
        <v>3611</v>
      </c>
      <c r="M63" s="10">
        <v>259900</v>
      </c>
      <c r="N63" s="64">
        <v>0.75</v>
      </c>
      <c r="O63" s="12">
        <f t="shared" si="0"/>
        <v>64975</v>
      </c>
      <c r="P63" s="6" t="s">
        <v>3499</v>
      </c>
    </row>
    <row r="64" spans="1:16" x14ac:dyDescent="0.25">
      <c r="A64" s="6" t="s">
        <v>3533</v>
      </c>
      <c r="B64" s="7">
        <v>46121</v>
      </c>
      <c r="C64" s="7">
        <v>46127</v>
      </c>
      <c r="D64" s="6">
        <v>3270</v>
      </c>
      <c r="E64" s="6">
        <v>336</v>
      </c>
      <c r="F64" s="6">
        <v>4</v>
      </c>
      <c r="G64" s="8">
        <v>5</v>
      </c>
      <c r="H64" s="8">
        <v>81683</v>
      </c>
      <c r="I64" s="8" t="s">
        <v>16</v>
      </c>
      <c r="J64" s="8">
        <v>15611304</v>
      </c>
      <c r="K64" s="8" t="s">
        <v>3609</v>
      </c>
      <c r="L64" s="9" t="s">
        <v>3612</v>
      </c>
      <c r="M64" s="10">
        <v>259900</v>
      </c>
      <c r="N64" s="64">
        <v>0.75</v>
      </c>
      <c r="O64" s="12">
        <f t="shared" si="0"/>
        <v>64975</v>
      </c>
      <c r="P64" s="6" t="s">
        <v>3499</v>
      </c>
    </row>
    <row r="65" spans="1:16" x14ac:dyDescent="0.25">
      <c r="A65" s="6" t="s">
        <v>3533</v>
      </c>
      <c r="B65" s="7">
        <v>46121</v>
      </c>
      <c r="C65" s="7">
        <v>46127</v>
      </c>
      <c r="D65" s="6">
        <v>3270</v>
      </c>
      <c r="E65" s="6">
        <v>336</v>
      </c>
      <c r="F65" s="6">
        <v>4</v>
      </c>
      <c r="G65" s="8">
        <v>5</v>
      </c>
      <c r="H65" s="8">
        <v>81683</v>
      </c>
      <c r="I65" s="8" t="s">
        <v>16</v>
      </c>
      <c r="J65" s="8">
        <v>15611313</v>
      </c>
      <c r="K65" s="8" t="s">
        <v>3609</v>
      </c>
      <c r="L65" s="9" t="s">
        <v>3613</v>
      </c>
      <c r="M65" s="10">
        <v>259900</v>
      </c>
      <c r="N65" s="64">
        <v>0.75</v>
      </c>
      <c r="O65" s="12">
        <f t="shared" si="0"/>
        <v>64975</v>
      </c>
      <c r="P65" s="6" t="s">
        <v>3499</v>
      </c>
    </row>
    <row r="66" spans="1:16" x14ac:dyDescent="0.25">
      <c r="A66" s="6" t="s">
        <v>3533</v>
      </c>
      <c r="B66" s="7">
        <v>46121</v>
      </c>
      <c r="C66" s="7">
        <v>46127</v>
      </c>
      <c r="D66" s="6">
        <v>3270</v>
      </c>
      <c r="E66" s="6">
        <v>336</v>
      </c>
      <c r="F66" s="6">
        <v>4</v>
      </c>
      <c r="G66" s="8">
        <v>5</v>
      </c>
      <c r="H66" s="8">
        <v>81683</v>
      </c>
      <c r="I66" s="8" t="s">
        <v>16</v>
      </c>
      <c r="J66" s="8">
        <v>15611724</v>
      </c>
      <c r="K66" s="8" t="s">
        <v>3614</v>
      </c>
      <c r="L66" s="9" t="s">
        <v>3615</v>
      </c>
      <c r="M66" s="10">
        <v>259900</v>
      </c>
      <c r="N66" s="64">
        <v>0.75</v>
      </c>
      <c r="O66" s="12">
        <f t="shared" si="0"/>
        <v>64975</v>
      </c>
      <c r="P66" s="6" t="s">
        <v>3499</v>
      </c>
    </row>
    <row r="67" spans="1:16" x14ac:dyDescent="0.25">
      <c r="A67" s="6" t="s">
        <v>3533</v>
      </c>
      <c r="B67" s="7">
        <v>46121</v>
      </c>
      <c r="C67" s="7">
        <v>46127</v>
      </c>
      <c r="D67" s="6">
        <v>3270</v>
      </c>
      <c r="E67" s="6">
        <v>336</v>
      </c>
      <c r="F67" s="6">
        <v>4</v>
      </c>
      <c r="G67" s="8">
        <v>5</v>
      </c>
      <c r="H67" s="8">
        <v>81683</v>
      </c>
      <c r="I67" s="8" t="s">
        <v>16</v>
      </c>
      <c r="J67" s="8">
        <v>15611733</v>
      </c>
      <c r="K67" s="8" t="s">
        <v>3614</v>
      </c>
      <c r="L67" s="9" t="s">
        <v>3616</v>
      </c>
      <c r="M67" s="10">
        <v>259900</v>
      </c>
      <c r="N67" s="64">
        <v>0.75</v>
      </c>
      <c r="O67" s="12">
        <f t="shared" ref="O67:O121" si="1">M67-((75*M67)/100)</f>
        <v>64975</v>
      </c>
      <c r="P67" s="6" t="s">
        <v>3499</v>
      </c>
    </row>
    <row r="68" spans="1:16" x14ac:dyDescent="0.25">
      <c r="A68" s="6" t="s">
        <v>3533</v>
      </c>
      <c r="B68" s="7">
        <v>46121</v>
      </c>
      <c r="C68" s="7">
        <v>46127</v>
      </c>
      <c r="D68" s="6">
        <v>3270</v>
      </c>
      <c r="E68" s="6">
        <v>336</v>
      </c>
      <c r="F68" s="6">
        <v>4</v>
      </c>
      <c r="G68" s="8">
        <v>5</v>
      </c>
      <c r="H68" s="8">
        <v>81683</v>
      </c>
      <c r="I68" s="8" t="s">
        <v>16</v>
      </c>
      <c r="J68" s="8">
        <v>15611742</v>
      </c>
      <c r="K68" s="8" t="s">
        <v>3614</v>
      </c>
      <c r="L68" s="9" t="s">
        <v>3617</v>
      </c>
      <c r="M68" s="10">
        <v>259900</v>
      </c>
      <c r="N68" s="64">
        <v>0.75</v>
      </c>
      <c r="O68" s="12">
        <f t="shared" si="1"/>
        <v>64975</v>
      </c>
      <c r="P68" s="6" t="s">
        <v>3499</v>
      </c>
    </row>
    <row r="69" spans="1:16" x14ac:dyDescent="0.25">
      <c r="A69" s="6" t="s">
        <v>3533</v>
      </c>
      <c r="B69" s="7">
        <v>46121</v>
      </c>
      <c r="C69" s="7">
        <v>46127</v>
      </c>
      <c r="D69" s="6">
        <v>3270</v>
      </c>
      <c r="E69" s="6">
        <v>336</v>
      </c>
      <c r="F69" s="6">
        <v>4</v>
      </c>
      <c r="G69" s="8">
        <v>5</v>
      </c>
      <c r="H69" s="8">
        <v>81683</v>
      </c>
      <c r="I69" s="8" t="s">
        <v>16</v>
      </c>
      <c r="J69" s="8">
        <v>15611751</v>
      </c>
      <c r="K69" s="8" t="s">
        <v>3614</v>
      </c>
      <c r="L69" s="9" t="s">
        <v>3618</v>
      </c>
      <c r="M69" s="10">
        <v>259900</v>
      </c>
      <c r="N69" s="64">
        <v>0.75</v>
      </c>
      <c r="O69" s="12">
        <f t="shared" si="1"/>
        <v>64975</v>
      </c>
      <c r="P69" s="6" t="s">
        <v>3499</v>
      </c>
    </row>
    <row r="70" spans="1:16" x14ac:dyDescent="0.25">
      <c r="A70" s="6" t="s">
        <v>3533</v>
      </c>
      <c r="B70" s="7">
        <v>46121</v>
      </c>
      <c r="C70" s="7">
        <v>46127</v>
      </c>
      <c r="D70" s="6">
        <v>3270</v>
      </c>
      <c r="E70" s="6">
        <v>336</v>
      </c>
      <c r="F70" s="6">
        <v>4</v>
      </c>
      <c r="G70" s="6">
        <v>5</v>
      </c>
      <c r="H70" s="6">
        <v>81379</v>
      </c>
      <c r="I70" s="6" t="s">
        <v>16</v>
      </c>
      <c r="J70" s="6">
        <v>16584324</v>
      </c>
      <c r="K70" s="6" t="s">
        <v>3619</v>
      </c>
      <c r="L70" s="13" t="s">
        <v>3620</v>
      </c>
      <c r="M70" s="14">
        <v>189900</v>
      </c>
      <c r="N70" s="64">
        <v>0.75</v>
      </c>
      <c r="O70" s="12">
        <f t="shared" si="1"/>
        <v>47475</v>
      </c>
      <c r="P70" s="6" t="s">
        <v>3499</v>
      </c>
    </row>
    <row r="71" spans="1:16" x14ac:dyDescent="0.25">
      <c r="A71" s="6" t="s">
        <v>3533</v>
      </c>
      <c r="B71" s="7">
        <v>46121</v>
      </c>
      <c r="C71" s="7">
        <v>46127</v>
      </c>
      <c r="D71" s="6">
        <v>3270</v>
      </c>
      <c r="E71" s="6">
        <v>336</v>
      </c>
      <c r="F71" s="6">
        <v>4</v>
      </c>
      <c r="G71" s="6">
        <v>5</v>
      </c>
      <c r="H71" s="6">
        <v>81379</v>
      </c>
      <c r="I71" s="6" t="s">
        <v>16</v>
      </c>
      <c r="J71" s="6">
        <v>16584333</v>
      </c>
      <c r="K71" s="6" t="s">
        <v>3619</v>
      </c>
      <c r="L71" s="13" t="s">
        <v>3621</v>
      </c>
      <c r="M71" s="14">
        <v>189900</v>
      </c>
      <c r="N71" s="64">
        <v>0.75</v>
      </c>
      <c r="O71" s="12">
        <f t="shared" si="1"/>
        <v>47475</v>
      </c>
      <c r="P71" s="6" t="s">
        <v>3499</v>
      </c>
    </row>
    <row r="72" spans="1:16" x14ac:dyDescent="0.25">
      <c r="A72" s="6" t="s">
        <v>3533</v>
      </c>
      <c r="B72" s="7">
        <v>46121</v>
      </c>
      <c r="C72" s="7">
        <v>46127</v>
      </c>
      <c r="D72" s="6">
        <v>3270</v>
      </c>
      <c r="E72" s="6">
        <v>336</v>
      </c>
      <c r="F72" s="6">
        <v>4</v>
      </c>
      <c r="G72" s="6">
        <v>5</v>
      </c>
      <c r="H72" s="6">
        <v>81379</v>
      </c>
      <c r="I72" s="6" t="s">
        <v>16</v>
      </c>
      <c r="J72" s="6">
        <v>16584351</v>
      </c>
      <c r="K72" s="6" t="s">
        <v>3619</v>
      </c>
      <c r="L72" s="13" t="s">
        <v>3622</v>
      </c>
      <c r="M72" s="14">
        <v>189900</v>
      </c>
      <c r="N72" s="64">
        <v>0.75</v>
      </c>
      <c r="O72" s="12">
        <f t="shared" si="1"/>
        <v>47475</v>
      </c>
      <c r="P72" s="6" t="s">
        <v>3499</v>
      </c>
    </row>
    <row r="73" spans="1:16" x14ac:dyDescent="0.25">
      <c r="A73" s="6" t="s">
        <v>3533</v>
      </c>
      <c r="B73" s="7">
        <v>46121</v>
      </c>
      <c r="C73" s="7">
        <v>46127</v>
      </c>
      <c r="D73" s="6">
        <v>3270</v>
      </c>
      <c r="E73" s="6">
        <v>336</v>
      </c>
      <c r="F73" s="6">
        <v>4</v>
      </c>
      <c r="G73" s="6">
        <v>5</v>
      </c>
      <c r="H73" s="6">
        <v>81379</v>
      </c>
      <c r="I73" s="6" t="s">
        <v>16</v>
      </c>
      <c r="J73" s="6">
        <v>16584360</v>
      </c>
      <c r="K73" s="6" t="s">
        <v>3619</v>
      </c>
      <c r="L73" s="13" t="s">
        <v>3623</v>
      </c>
      <c r="M73" s="14">
        <v>189900</v>
      </c>
      <c r="N73" s="64">
        <v>0.75</v>
      </c>
      <c r="O73" s="12">
        <f t="shared" si="1"/>
        <v>47475</v>
      </c>
      <c r="P73" s="6" t="s">
        <v>3499</v>
      </c>
    </row>
    <row r="74" spans="1:16" x14ac:dyDescent="0.25">
      <c r="A74" s="6" t="s">
        <v>3533</v>
      </c>
      <c r="B74" s="7">
        <v>46121</v>
      </c>
      <c r="C74" s="7">
        <v>46127</v>
      </c>
      <c r="D74" s="6">
        <v>3270</v>
      </c>
      <c r="E74" s="6">
        <v>336</v>
      </c>
      <c r="F74" s="6">
        <v>4</v>
      </c>
      <c r="G74" s="6">
        <v>5</v>
      </c>
      <c r="H74" s="6">
        <v>81662</v>
      </c>
      <c r="I74" s="6" t="s">
        <v>16</v>
      </c>
      <c r="J74" s="6">
        <v>16584379</v>
      </c>
      <c r="K74" s="6" t="s">
        <v>3624</v>
      </c>
      <c r="L74" s="13" t="s">
        <v>3625</v>
      </c>
      <c r="M74" s="14">
        <v>259900</v>
      </c>
      <c r="N74" s="64">
        <v>0.75</v>
      </c>
      <c r="O74" s="12">
        <f t="shared" si="1"/>
        <v>64975</v>
      </c>
      <c r="P74" s="6" t="s">
        <v>3499</v>
      </c>
    </row>
    <row r="75" spans="1:16" x14ac:dyDescent="0.25">
      <c r="A75" s="6" t="s">
        <v>3533</v>
      </c>
      <c r="B75" s="7">
        <v>46121</v>
      </c>
      <c r="C75" s="7">
        <v>46127</v>
      </c>
      <c r="D75" s="6">
        <v>3270</v>
      </c>
      <c r="E75" s="6">
        <v>336</v>
      </c>
      <c r="F75" s="6">
        <v>4</v>
      </c>
      <c r="G75" s="6">
        <v>5</v>
      </c>
      <c r="H75" s="6">
        <v>81662</v>
      </c>
      <c r="I75" s="6" t="s">
        <v>16</v>
      </c>
      <c r="J75" s="6">
        <v>16584388</v>
      </c>
      <c r="K75" s="6" t="s">
        <v>3624</v>
      </c>
      <c r="L75" s="13" t="s">
        <v>3626</v>
      </c>
      <c r="M75" s="14">
        <v>259900</v>
      </c>
      <c r="N75" s="64">
        <v>0.75</v>
      </c>
      <c r="O75" s="12">
        <f t="shared" si="1"/>
        <v>64975</v>
      </c>
      <c r="P75" s="6" t="s">
        <v>3499</v>
      </c>
    </row>
    <row r="76" spans="1:16" x14ac:dyDescent="0.25">
      <c r="A76" s="6" t="s">
        <v>3533</v>
      </c>
      <c r="B76" s="7">
        <v>46121</v>
      </c>
      <c r="C76" s="7">
        <v>46127</v>
      </c>
      <c r="D76" s="6">
        <v>3270</v>
      </c>
      <c r="E76" s="6">
        <v>336</v>
      </c>
      <c r="F76" s="6">
        <v>4</v>
      </c>
      <c r="G76" s="6">
        <v>5</v>
      </c>
      <c r="H76" s="6">
        <v>81662</v>
      </c>
      <c r="I76" s="6" t="s">
        <v>16</v>
      </c>
      <c r="J76" s="6">
        <v>16584397</v>
      </c>
      <c r="K76" s="6" t="s">
        <v>3624</v>
      </c>
      <c r="L76" s="13" t="s">
        <v>3627</v>
      </c>
      <c r="M76" s="14">
        <v>259900</v>
      </c>
      <c r="N76" s="64">
        <v>0.75</v>
      </c>
      <c r="O76" s="12">
        <f t="shared" si="1"/>
        <v>64975</v>
      </c>
      <c r="P76" s="6" t="s">
        <v>3499</v>
      </c>
    </row>
    <row r="77" spans="1:16" x14ac:dyDescent="0.25">
      <c r="A77" s="6" t="s">
        <v>3533</v>
      </c>
      <c r="B77" s="7">
        <v>46121</v>
      </c>
      <c r="C77" s="7">
        <v>46127</v>
      </c>
      <c r="D77" s="6">
        <v>3270</v>
      </c>
      <c r="E77" s="6">
        <v>336</v>
      </c>
      <c r="F77" s="6">
        <v>4</v>
      </c>
      <c r="G77" s="6">
        <v>5</v>
      </c>
      <c r="H77" s="6">
        <v>81662</v>
      </c>
      <c r="I77" s="6" t="s">
        <v>16</v>
      </c>
      <c r="J77" s="6">
        <v>16584404</v>
      </c>
      <c r="K77" s="6" t="s">
        <v>3624</v>
      </c>
      <c r="L77" s="13" t="s">
        <v>3628</v>
      </c>
      <c r="M77" s="14">
        <v>259900</v>
      </c>
      <c r="N77" s="64">
        <v>0.75</v>
      </c>
      <c r="O77" s="12">
        <f t="shared" si="1"/>
        <v>64975</v>
      </c>
      <c r="P77" s="6" t="s">
        <v>3499</v>
      </c>
    </row>
    <row r="78" spans="1:16" x14ac:dyDescent="0.25">
      <c r="A78" s="6" t="s">
        <v>3533</v>
      </c>
      <c r="B78" s="7">
        <v>46121</v>
      </c>
      <c r="C78" s="7">
        <v>46127</v>
      </c>
      <c r="D78" s="6">
        <v>3270</v>
      </c>
      <c r="E78" s="6">
        <v>336</v>
      </c>
      <c r="F78" s="6">
        <v>4</v>
      </c>
      <c r="G78" s="6">
        <v>5</v>
      </c>
      <c r="H78" s="6">
        <v>81662</v>
      </c>
      <c r="I78" s="6" t="s">
        <v>16</v>
      </c>
      <c r="J78" s="6">
        <v>16584413</v>
      </c>
      <c r="K78" s="6" t="s">
        <v>3629</v>
      </c>
      <c r="L78" s="13" t="s">
        <v>3630</v>
      </c>
      <c r="M78" s="14">
        <v>259900</v>
      </c>
      <c r="N78" s="64">
        <v>0.75</v>
      </c>
      <c r="O78" s="12">
        <f t="shared" si="1"/>
        <v>64975</v>
      </c>
      <c r="P78" s="6" t="s">
        <v>3499</v>
      </c>
    </row>
    <row r="79" spans="1:16" x14ac:dyDescent="0.25">
      <c r="A79" s="6" t="s">
        <v>3533</v>
      </c>
      <c r="B79" s="7">
        <v>46121</v>
      </c>
      <c r="C79" s="7">
        <v>46127</v>
      </c>
      <c r="D79" s="6">
        <v>3270</v>
      </c>
      <c r="E79" s="6">
        <v>336</v>
      </c>
      <c r="F79" s="6">
        <v>4</v>
      </c>
      <c r="G79" s="6">
        <v>5</v>
      </c>
      <c r="H79" s="6">
        <v>81662</v>
      </c>
      <c r="I79" s="6" t="s">
        <v>16</v>
      </c>
      <c r="J79" s="6">
        <v>16584422</v>
      </c>
      <c r="K79" s="6" t="s">
        <v>3629</v>
      </c>
      <c r="L79" s="13" t="s">
        <v>3631</v>
      </c>
      <c r="M79" s="14">
        <v>259900</v>
      </c>
      <c r="N79" s="64">
        <v>0.75</v>
      </c>
      <c r="O79" s="12">
        <f t="shared" si="1"/>
        <v>64975</v>
      </c>
      <c r="P79" s="6" t="s">
        <v>3499</v>
      </c>
    </row>
    <row r="80" spans="1:16" x14ac:dyDescent="0.25">
      <c r="A80" s="6" t="s">
        <v>3533</v>
      </c>
      <c r="B80" s="7">
        <v>46121</v>
      </c>
      <c r="C80" s="7">
        <v>46127</v>
      </c>
      <c r="D80" s="6">
        <v>3270</v>
      </c>
      <c r="E80" s="6">
        <v>336</v>
      </c>
      <c r="F80" s="6">
        <v>4</v>
      </c>
      <c r="G80" s="6">
        <v>5</v>
      </c>
      <c r="H80" s="6">
        <v>81662</v>
      </c>
      <c r="I80" s="6" t="s">
        <v>16</v>
      </c>
      <c r="J80" s="6">
        <v>16584431</v>
      </c>
      <c r="K80" s="6" t="s">
        <v>3629</v>
      </c>
      <c r="L80" s="13" t="s">
        <v>3632</v>
      </c>
      <c r="M80" s="14">
        <v>259900</v>
      </c>
      <c r="N80" s="64">
        <v>0.75</v>
      </c>
      <c r="O80" s="12">
        <f t="shared" si="1"/>
        <v>64975</v>
      </c>
      <c r="P80" s="6" t="s">
        <v>3499</v>
      </c>
    </row>
    <row r="81" spans="1:16" x14ac:dyDescent="0.25">
      <c r="A81" s="6" t="s">
        <v>3533</v>
      </c>
      <c r="B81" s="7">
        <v>46121</v>
      </c>
      <c r="C81" s="7">
        <v>46127</v>
      </c>
      <c r="D81" s="6">
        <v>3270</v>
      </c>
      <c r="E81" s="6">
        <v>336</v>
      </c>
      <c r="F81" s="6">
        <v>4</v>
      </c>
      <c r="G81" s="6">
        <v>5</v>
      </c>
      <c r="H81" s="6">
        <v>81662</v>
      </c>
      <c r="I81" s="6" t="s">
        <v>16</v>
      </c>
      <c r="J81" s="6">
        <v>16584440</v>
      </c>
      <c r="K81" s="6" t="s">
        <v>3629</v>
      </c>
      <c r="L81" s="13" t="s">
        <v>3633</v>
      </c>
      <c r="M81" s="14">
        <v>259900</v>
      </c>
      <c r="N81" s="64">
        <v>0.75</v>
      </c>
      <c r="O81" s="12">
        <f t="shared" si="1"/>
        <v>64975</v>
      </c>
      <c r="P81" s="6" t="s">
        <v>3499</v>
      </c>
    </row>
    <row r="82" spans="1:16" x14ac:dyDescent="0.25">
      <c r="A82" s="6" t="s">
        <v>3533</v>
      </c>
      <c r="B82" s="7">
        <v>46121</v>
      </c>
      <c r="C82" s="7">
        <v>46127</v>
      </c>
      <c r="D82" s="6">
        <v>3270</v>
      </c>
      <c r="E82" s="6">
        <v>336</v>
      </c>
      <c r="F82" s="6">
        <v>4</v>
      </c>
      <c r="G82" s="6">
        <v>5</v>
      </c>
      <c r="H82" s="6">
        <v>81221</v>
      </c>
      <c r="I82" s="6" t="s">
        <v>16</v>
      </c>
      <c r="J82" s="6">
        <v>16584459</v>
      </c>
      <c r="K82" s="6" t="s">
        <v>3634</v>
      </c>
      <c r="L82" s="13" t="s">
        <v>3635</v>
      </c>
      <c r="M82" s="14">
        <v>279900</v>
      </c>
      <c r="N82" s="64">
        <v>0.75</v>
      </c>
      <c r="O82" s="12">
        <f t="shared" si="1"/>
        <v>69975</v>
      </c>
      <c r="P82" s="6" t="s">
        <v>3499</v>
      </c>
    </row>
    <row r="83" spans="1:16" x14ac:dyDescent="0.25">
      <c r="A83" s="6" t="s">
        <v>3533</v>
      </c>
      <c r="B83" s="7">
        <v>46121</v>
      </c>
      <c r="C83" s="7">
        <v>46127</v>
      </c>
      <c r="D83" s="6">
        <v>3270</v>
      </c>
      <c r="E83" s="6">
        <v>336</v>
      </c>
      <c r="F83" s="6">
        <v>4</v>
      </c>
      <c r="G83" s="6">
        <v>5</v>
      </c>
      <c r="H83" s="6">
        <v>81221</v>
      </c>
      <c r="I83" s="6" t="s">
        <v>16</v>
      </c>
      <c r="J83" s="6">
        <v>16584468</v>
      </c>
      <c r="K83" s="6" t="s">
        <v>3634</v>
      </c>
      <c r="L83" s="13" t="s">
        <v>3636</v>
      </c>
      <c r="M83" s="14">
        <v>279900</v>
      </c>
      <c r="N83" s="64">
        <v>0.75</v>
      </c>
      <c r="O83" s="12">
        <f t="shared" si="1"/>
        <v>69975</v>
      </c>
      <c r="P83" s="6" t="s">
        <v>3499</v>
      </c>
    </row>
    <row r="84" spans="1:16" x14ac:dyDescent="0.25">
      <c r="A84" s="6" t="s">
        <v>3533</v>
      </c>
      <c r="B84" s="7">
        <v>46121</v>
      </c>
      <c r="C84" s="7">
        <v>46127</v>
      </c>
      <c r="D84" s="6">
        <v>3270</v>
      </c>
      <c r="E84" s="6">
        <v>336</v>
      </c>
      <c r="F84" s="6">
        <v>4</v>
      </c>
      <c r="G84" s="6">
        <v>5</v>
      </c>
      <c r="H84" s="6">
        <v>81221</v>
      </c>
      <c r="I84" s="6" t="s">
        <v>16</v>
      </c>
      <c r="J84" s="6">
        <v>16584477</v>
      </c>
      <c r="K84" s="6" t="s">
        <v>3634</v>
      </c>
      <c r="L84" s="13" t="s">
        <v>3637</v>
      </c>
      <c r="M84" s="14">
        <v>279900</v>
      </c>
      <c r="N84" s="64">
        <v>0.75</v>
      </c>
      <c r="O84" s="12">
        <f t="shared" si="1"/>
        <v>69975</v>
      </c>
      <c r="P84" s="6" t="s">
        <v>3499</v>
      </c>
    </row>
    <row r="85" spans="1:16" x14ac:dyDescent="0.25">
      <c r="A85" s="6" t="s">
        <v>3533</v>
      </c>
      <c r="B85" s="7">
        <v>46121</v>
      </c>
      <c r="C85" s="7">
        <v>46127</v>
      </c>
      <c r="D85" s="6">
        <v>3270</v>
      </c>
      <c r="E85" s="6">
        <v>336</v>
      </c>
      <c r="F85" s="6">
        <v>4</v>
      </c>
      <c r="G85" s="6">
        <v>5</v>
      </c>
      <c r="H85" s="6">
        <v>81221</v>
      </c>
      <c r="I85" s="6" t="s">
        <v>16</v>
      </c>
      <c r="J85" s="6">
        <v>16584486</v>
      </c>
      <c r="K85" s="6" t="s">
        <v>3634</v>
      </c>
      <c r="L85" s="13" t="s">
        <v>3638</v>
      </c>
      <c r="M85" s="14">
        <v>279900</v>
      </c>
      <c r="N85" s="64">
        <v>0.75</v>
      </c>
      <c r="O85" s="12">
        <f t="shared" si="1"/>
        <v>69975</v>
      </c>
      <c r="P85" s="6" t="s">
        <v>3499</v>
      </c>
    </row>
    <row r="86" spans="1:16" x14ac:dyDescent="0.25">
      <c r="A86" s="6" t="s">
        <v>3533</v>
      </c>
      <c r="B86" s="7">
        <v>46121</v>
      </c>
      <c r="C86" s="7">
        <v>46127</v>
      </c>
      <c r="D86" s="6">
        <v>3270</v>
      </c>
      <c r="E86" s="6">
        <v>336</v>
      </c>
      <c r="F86" s="6">
        <v>4</v>
      </c>
      <c r="G86" s="6">
        <v>5</v>
      </c>
      <c r="H86" s="6">
        <v>81221</v>
      </c>
      <c r="I86" s="6" t="s">
        <v>16</v>
      </c>
      <c r="J86" s="6">
        <v>16584495</v>
      </c>
      <c r="K86" s="6" t="s">
        <v>3639</v>
      </c>
      <c r="L86" s="13" t="s">
        <v>3640</v>
      </c>
      <c r="M86" s="14">
        <v>279900</v>
      </c>
      <c r="N86" s="64">
        <v>0.75</v>
      </c>
      <c r="O86" s="12">
        <f t="shared" si="1"/>
        <v>69975</v>
      </c>
      <c r="P86" s="6" t="s">
        <v>3499</v>
      </c>
    </row>
    <row r="87" spans="1:16" x14ac:dyDescent="0.25">
      <c r="A87" s="6" t="s">
        <v>3533</v>
      </c>
      <c r="B87" s="7">
        <v>46121</v>
      </c>
      <c r="C87" s="7">
        <v>46127</v>
      </c>
      <c r="D87" s="6">
        <v>3270</v>
      </c>
      <c r="E87" s="6">
        <v>336</v>
      </c>
      <c r="F87" s="6">
        <v>4</v>
      </c>
      <c r="G87" s="6">
        <v>5</v>
      </c>
      <c r="H87" s="6">
        <v>81221</v>
      </c>
      <c r="I87" s="6" t="s">
        <v>16</v>
      </c>
      <c r="J87" s="6">
        <v>16584502</v>
      </c>
      <c r="K87" s="6" t="s">
        <v>3639</v>
      </c>
      <c r="L87" s="13" t="s">
        <v>3641</v>
      </c>
      <c r="M87" s="14">
        <v>279900</v>
      </c>
      <c r="N87" s="64">
        <v>0.75</v>
      </c>
      <c r="O87" s="12">
        <f t="shared" si="1"/>
        <v>69975</v>
      </c>
      <c r="P87" s="6" t="s">
        <v>3499</v>
      </c>
    </row>
    <row r="88" spans="1:16" x14ac:dyDescent="0.25">
      <c r="A88" s="6" t="s">
        <v>3533</v>
      </c>
      <c r="B88" s="7">
        <v>46121</v>
      </c>
      <c r="C88" s="7">
        <v>46127</v>
      </c>
      <c r="D88" s="6">
        <v>3270</v>
      </c>
      <c r="E88" s="6">
        <v>336</v>
      </c>
      <c r="F88" s="6">
        <v>4</v>
      </c>
      <c r="G88" s="6">
        <v>5</v>
      </c>
      <c r="H88" s="6">
        <v>81221</v>
      </c>
      <c r="I88" s="6" t="s">
        <v>16</v>
      </c>
      <c r="J88" s="6">
        <v>16584511</v>
      </c>
      <c r="K88" s="6" t="s">
        <v>3639</v>
      </c>
      <c r="L88" s="13" t="s">
        <v>3642</v>
      </c>
      <c r="M88" s="14">
        <v>279900</v>
      </c>
      <c r="N88" s="64">
        <v>0.75</v>
      </c>
      <c r="O88" s="12">
        <f t="shared" si="1"/>
        <v>69975</v>
      </c>
      <c r="P88" s="6" t="s">
        <v>3499</v>
      </c>
    </row>
    <row r="89" spans="1:16" x14ac:dyDescent="0.25">
      <c r="A89" s="6" t="s">
        <v>3533</v>
      </c>
      <c r="B89" s="7">
        <v>46121</v>
      </c>
      <c r="C89" s="7">
        <v>46127</v>
      </c>
      <c r="D89" s="6">
        <v>3270</v>
      </c>
      <c r="E89" s="6">
        <v>336</v>
      </c>
      <c r="F89" s="6">
        <v>4</v>
      </c>
      <c r="G89" s="6">
        <v>5</v>
      </c>
      <c r="H89" s="6">
        <v>81221</v>
      </c>
      <c r="I89" s="6" t="s">
        <v>16</v>
      </c>
      <c r="J89" s="6">
        <v>16584520</v>
      </c>
      <c r="K89" s="6" t="s">
        <v>3639</v>
      </c>
      <c r="L89" s="13" t="s">
        <v>3643</v>
      </c>
      <c r="M89" s="14">
        <v>279900</v>
      </c>
      <c r="N89" s="64">
        <v>0.75</v>
      </c>
      <c r="O89" s="12">
        <f t="shared" si="1"/>
        <v>69975</v>
      </c>
      <c r="P89" s="6" t="s">
        <v>3499</v>
      </c>
    </row>
    <row r="90" spans="1:16" x14ac:dyDescent="0.25">
      <c r="A90" s="6" t="s">
        <v>3533</v>
      </c>
      <c r="B90" s="7">
        <v>46121</v>
      </c>
      <c r="C90" s="7">
        <v>46127</v>
      </c>
      <c r="D90" s="6">
        <v>3270</v>
      </c>
      <c r="E90" s="6">
        <v>336</v>
      </c>
      <c r="F90" s="6">
        <v>4</v>
      </c>
      <c r="G90" s="6">
        <v>5</v>
      </c>
      <c r="H90" s="6">
        <v>81684</v>
      </c>
      <c r="I90" s="6" t="s">
        <v>16</v>
      </c>
      <c r="J90" s="6">
        <v>15612081</v>
      </c>
      <c r="K90" s="6" t="s">
        <v>3644</v>
      </c>
      <c r="L90" s="13" t="s">
        <v>3645</v>
      </c>
      <c r="M90" s="14">
        <v>189900</v>
      </c>
      <c r="N90" s="64">
        <v>0.75</v>
      </c>
      <c r="O90" s="12">
        <f t="shared" si="1"/>
        <v>47475</v>
      </c>
      <c r="P90" s="6" t="s">
        <v>3499</v>
      </c>
    </row>
    <row r="91" spans="1:16" x14ac:dyDescent="0.25">
      <c r="A91" s="6" t="s">
        <v>3533</v>
      </c>
      <c r="B91" s="7">
        <v>46121</v>
      </c>
      <c r="C91" s="7">
        <v>46127</v>
      </c>
      <c r="D91" s="6">
        <v>3270</v>
      </c>
      <c r="E91" s="6">
        <v>336</v>
      </c>
      <c r="F91" s="6">
        <v>4</v>
      </c>
      <c r="G91" s="6">
        <v>5</v>
      </c>
      <c r="H91" s="6">
        <v>81684</v>
      </c>
      <c r="I91" s="6" t="s">
        <v>16</v>
      </c>
      <c r="J91" s="6">
        <v>15612090</v>
      </c>
      <c r="K91" s="6" t="s">
        <v>3644</v>
      </c>
      <c r="L91" s="13" t="s">
        <v>3646</v>
      </c>
      <c r="M91" s="14">
        <v>189900</v>
      </c>
      <c r="N91" s="64">
        <v>0.75</v>
      </c>
      <c r="O91" s="12">
        <f t="shared" si="1"/>
        <v>47475</v>
      </c>
      <c r="P91" s="6" t="s">
        <v>3499</v>
      </c>
    </row>
    <row r="92" spans="1:16" x14ac:dyDescent="0.25">
      <c r="A92" s="6" t="s">
        <v>3533</v>
      </c>
      <c r="B92" s="7">
        <v>46121</v>
      </c>
      <c r="C92" s="7">
        <v>46127</v>
      </c>
      <c r="D92" s="6">
        <v>3270</v>
      </c>
      <c r="E92" s="6">
        <v>336</v>
      </c>
      <c r="F92" s="6">
        <v>4</v>
      </c>
      <c r="G92" s="6">
        <v>5</v>
      </c>
      <c r="H92" s="6">
        <v>81684</v>
      </c>
      <c r="I92" s="6" t="s">
        <v>16</v>
      </c>
      <c r="J92" s="6">
        <v>15612107</v>
      </c>
      <c r="K92" s="6" t="s">
        <v>3644</v>
      </c>
      <c r="L92" s="13" t="s">
        <v>3647</v>
      </c>
      <c r="M92" s="14">
        <v>189900</v>
      </c>
      <c r="N92" s="64">
        <v>0.75</v>
      </c>
      <c r="O92" s="12">
        <f t="shared" si="1"/>
        <v>47475</v>
      </c>
      <c r="P92" s="6" t="s">
        <v>3499</v>
      </c>
    </row>
    <row r="93" spans="1:16" x14ac:dyDescent="0.25">
      <c r="A93" s="6" t="s">
        <v>3533</v>
      </c>
      <c r="B93" s="7">
        <v>46121</v>
      </c>
      <c r="C93" s="7">
        <v>46127</v>
      </c>
      <c r="D93" s="6">
        <v>3270</v>
      </c>
      <c r="E93" s="6">
        <v>336</v>
      </c>
      <c r="F93" s="6">
        <v>4</v>
      </c>
      <c r="G93" s="6">
        <v>5</v>
      </c>
      <c r="H93" s="6">
        <v>81684</v>
      </c>
      <c r="I93" s="6" t="s">
        <v>16</v>
      </c>
      <c r="J93" s="6">
        <v>15612116</v>
      </c>
      <c r="K93" s="6" t="s">
        <v>3644</v>
      </c>
      <c r="L93" s="13" t="s">
        <v>3648</v>
      </c>
      <c r="M93" s="14">
        <v>189900</v>
      </c>
      <c r="N93" s="64">
        <v>0.75</v>
      </c>
      <c r="O93" s="12">
        <f t="shared" si="1"/>
        <v>47475</v>
      </c>
      <c r="P93" s="6" t="s">
        <v>3499</v>
      </c>
    </row>
    <row r="94" spans="1:16" x14ac:dyDescent="0.25">
      <c r="A94" s="6" t="s">
        <v>3533</v>
      </c>
      <c r="B94" s="7">
        <v>46121</v>
      </c>
      <c r="C94" s="7">
        <v>46127</v>
      </c>
      <c r="D94" s="6">
        <v>3270</v>
      </c>
      <c r="E94" s="6">
        <v>336</v>
      </c>
      <c r="F94" s="6">
        <v>4</v>
      </c>
      <c r="G94" s="6">
        <v>5</v>
      </c>
      <c r="H94" s="6">
        <v>81683</v>
      </c>
      <c r="I94" s="6" t="s">
        <v>16</v>
      </c>
      <c r="J94" s="6">
        <v>15611322</v>
      </c>
      <c r="K94" s="6" t="s">
        <v>3649</v>
      </c>
      <c r="L94" s="13" t="s">
        <v>3650</v>
      </c>
      <c r="M94" s="14">
        <v>259900</v>
      </c>
      <c r="N94" s="64">
        <v>0.75</v>
      </c>
      <c r="O94" s="12">
        <f t="shared" si="1"/>
        <v>64975</v>
      </c>
      <c r="P94" s="6" t="s">
        <v>3499</v>
      </c>
    </row>
    <row r="95" spans="1:16" x14ac:dyDescent="0.25">
      <c r="A95" s="6" t="s">
        <v>3533</v>
      </c>
      <c r="B95" s="7">
        <v>46121</v>
      </c>
      <c r="C95" s="7">
        <v>46127</v>
      </c>
      <c r="D95" s="6">
        <v>3270</v>
      </c>
      <c r="E95" s="6">
        <v>336</v>
      </c>
      <c r="F95" s="6">
        <v>4</v>
      </c>
      <c r="G95" s="6">
        <v>5</v>
      </c>
      <c r="H95" s="6">
        <v>81683</v>
      </c>
      <c r="I95" s="6" t="s">
        <v>16</v>
      </c>
      <c r="J95" s="6">
        <v>15611331</v>
      </c>
      <c r="K95" s="6" t="s">
        <v>3649</v>
      </c>
      <c r="L95" s="13" t="s">
        <v>3651</v>
      </c>
      <c r="M95" s="14">
        <v>259900</v>
      </c>
      <c r="N95" s="64">
        <v>0.75</v>
      </c>
      <c r="O95" s="12">
        <f t="shared" si="1"/>
        <v>64975</v>
      </c>
      <c r="P95" s="6" t="s">
        <v>3499</v>
      </c>
    </row>
    <row r="96" spans="1:16" x14ac:dyDescent="0.25">
      <c r="A96" s="6" t="s">
        <v>3533</v>
      </c>
      <c r="B96" s="7">
        <v>46121</v>
      </c>
      <c r="C96" s="7">
        <v>46127</v>
      </c>
      <c r="D96" s="6">
        <v>3270</v>
      </c>
      <c r="E96" s="6">
        <v>336</v>
      </c>
      <c r="F96" s="6">
        <v>4</v>
      </c>
      <c r="G96" s="6">
        <v>5</v>
      </c>
      <c r="H96" s="6">
        <v>81683</v>
      </c>
      <c r="I96" s="6" t="s">
        <v>16</v>
      </c>
      <c r="J96" s="6">
        <v>15611340</v>
      </c>
      <c r="K96" s="6" t="s">
        <v>3649</v>
      </c>
      <c r="L96" s="13" t="s">
        <v>3652</v>
      </c>
      <c r="M96" s="14">
        <v>259900</v>
      </c>
      <c r="N96" s="64">
        <v>0.75</v>
      </c>
      <c r="O96" s="12">
        <f t="shared" si="1"/>
        <v>64975</v>
      </c>
      <c r="P96" s="6" t="s">
        <v>3499</v>
      </c>
    </row>
    <row r="97" spans="1:16" x14ac:dyDescent="0.25">
      <c r="A97" s="6" t="s">
        <v>3533</v>
      </c>
      <c r="B97" s="7">
        <v>46121</v>
      </c>
      <c r="C97" s="7">
        <v>46127</v>
      </c>
      <c r="D97" s="6">
        <v>3270</v>
      </c>
      <c r="E97" s="6">
        <v>336</v>
      </c>
      <c r="F97" s="6">
        <v>4</v>
      </c>
      <c r="G97" s="6">
        <v>5</v>
      </c>
      <c r="H97" s="6">
        <v>81683</v>
      </c>
      <c r="I97" s="6" t="s">
        <v>16</v>
      </c>
      <c r="J97" s="6">
        <v>15611359</v>
      </c>
      <c r="K97" s="6" t="s">
        <v>3649</v>
      </c>
      <c r="L97" s="13" t="s">
        <v>3653</v>
      </c>
      <c r="M97" s="14">
        <v>259900</v>
      </c>
      <c r="N97" s="64">
        <v>0.75</v>
      </c>
      <c r="O97" s="12">
        <f t="shared" si="1"/>
        <v>64975</v>
      </c>
      <c r="P97" s="6" t="s">
        <v>3499</v>
      </c>
    </row>
    <row r="98" spans="1:16" x14ac:dyDescent="0.25">
      <c r="A98" s="6" t="s">
        <v>3533</v>
      </c>
      <c r="B98" s="7">
        <v>46121</v>
      </c>
      <c r="C98" s="7">
        <v>46127</v>
      </c>
      <c r="D98" s="6">
        <v>3270</v>
      </c>
      <c r="E98" s="6">
        <v>336</v>
      </c>
      <c r="F98" s="6">
        <v>4</v>
      </c>
      <c r="G98" s="6">
        <v>5</v>
      </c>
      <c r="H98" s="6">
        <v>81683</v>
      </c>
      <c r="I98" s="6" t="s">
        <v>16</v>
      </c>
      <c r="J98" s="6">
        <v>15611484</v>
      </c>
      <c r="K98" s="6" t="s">
        <v>3654</v>
      </c>
      <c r="L98" s="13" t="s">
        <v>3655</v>
      </c>
      <c r="M98" s="14">
        <v>259900</v>
      </c>
      <c r="N98" s="64">
        <v>0.75</v>
      </c>
      <c r="O98" s="12">
        <f t="shared" si="1"/>
        <v>64975</v>
      </c>
      <c r="P98" s="6" t="s">
        <v>3499</v>
      </c>
    </row>
    <row r="99" spans="1:16" x14ac:dyDescent="0.25">
      <c r="A99" s="6" t="s">
        <v>3533</v>
      </c>
      <c r="B99" s="7">
        <v>46121</v>
      </c>
      <c r="C99" s="7">
        <v>46127</v>
      </c>
      <c r="D99" s="6">
        <v>3270</v>
      </c>
      <c r="E99" s="6">
        <v>336</v>
      </c>
      <c r="F99" s="6">
        <v>4</v>
      </c>
      <c r="G99" s="6">
        <v>5</v>
      </c>
      <c r="H99" s="6">
        <v>81683</v>
      </c>
      <c r="I99" s="6" t="s">
        <v>16</v>
      </c>
      <c r="J99" s="6">
        <v>15611493</v>
      </c>
      <c r="K99" s="6" t="s">
        <v>3654</v>
      </c>
      <c r="L99" s="13" t="s">
        <v>3656</v>
      </c>
      <c r="M99" s="14">
        <v>259900</v>
      </c>
      <c r="N99" s="64">
        <v>0.75</v>
      </c>
      <c r="O99" s="12">
        <f t="shared" si="1"/>
        <v>64975</v>
      </c>
      <c r="P99" s="6" t="s">
        <v>3499</v>
      </c>
    </row>
    <row r="100" spans="1:16" x14ac:dyDescent="0.25">
      <c r="A100" s="6" t="s">
        <v>3533</v>
      </c>
      <c r="B100" s="7">
        <v>46121</v>
      </c>
      <c r="C100" s="7">
        <v>46127</v>
      </c>
      <c r="D100" s="6">
        <v>3270</v>
      </c>
      <c r="E100" s="6">
        <v>336</v>
      </c>
      <c r="F100" s="6">
        <v>4</v>
      </c>
      <c r="G100" s="6">
        <v>5</v>
      </c>
      <c r="H100" s="6">
        <v>81683</v>
      </c>
      <c r="I100" s="6" t="s">
        <v>16</v>
      </c>
      <c r="J100" s="6">
        <v>15611500</v>
      </c>
      <c r="K100" s="6" t="s">
        <v>3654</v>
      </c>
      <c r="L100" s="13" t="s">
        <v>3657</v>
      </c>
      <c r="M100" s="14">
        <v>259900</v>
      </c>
      <c r="N100" s="64">
        <v>0.75</v>
      </c>
      <c r="O100" s="12">
        <f t="shared" si="1"/>
        <v>64975</v>
      </c>
      <c r="P100" s="6" t="s">
        <v>3499</v>
      </c>
    </row>
    <row r="101" spans="1:16" x14ac:dyDescent="0.25">
      <c r="A101" s="6" t="s">
        <v>3533</v>
      </c>
      <c r="B101" s="7">
        <v>46121</v>
      </c>
      <c r="C101" s="7">
        <v>46127</v>
      </c>
      <c r="D101" s="6">
        <v>3270</v>
      </c>
      <c r="E101" s="6">
        <v>336</v>
      </c>
      <c r="F101" s="6">
        <v>4</v>
      </c>
      <c r="G101" s="6">
        <v>5</v>
      </c>
      <c r="H101" s="6">
        <v>81683</v>
      </c>
      <c r="I101" s="6" t="s">
        <v>16</v>
      </c>
      <c r="J101" s="6">
        <v>15611519</v>
      </c>
      <c r="K101" s="6" t="s">
        <v>3654</v>
      </c>
      <c r="L101" s="13" t="s">
        <v>3658</v>
      </c>
      <c r="M101" s="14">
        <v>259900</v>
      </c>
      <c r="N101" s="64">
        <v>0.75</v>
      </c>
      <c r="O101" s="12">
        <f t="shared" si="1"/>
        <v>64975</v>
      </c>
      <c r="P101" s="6" t="s">
        <v>3499</v>
      </c>
    </row>
    <row r="102" spans="1:16" x14ac:dyDescent="0.25">
      <c r="A102" s="6" t="s">
        <v>3533</v>
      </c>
      <c r="B102" s="7">
        <v>46121</v>
      </c>
      <c r="C102" s="7">
        <v>46127</v>
      </c>
      <c r="D102" s="6">
        <v>3270</v>
      </c>
      <c r="E102" s="6">
        <v>336</v>
      </c>
      <c r="F102" s="6">
        <v>4</v>
      </c>
      <c r="G102" s="6">
        <v>5</v>
      </c>
      <c r="H102" s="6">
        <v>81683</v>
      </c>
      <c r="I102" s="6" t="s">
        <v>16</v>
      </c>
      <c r="J102" s="6">
        <v>16801508</v>
      </c>
      <c r="K102" s="6" t="s">
        <v>3659</v>
      </c>
      <c r="L102" s="13" t="s">
        <v>3660</v>
      </c>
      <c r="M102" s="14">
        <v>259900</v>
      </c>
      <c r="N102" s="64">
        <v>0.75</v>
      </c>
      <c r="O102" s="12">
        <f t="shared" si="1"/>
        <v>64975</v>
      </c>
      <c r="P102" s="6" t="s">
        <v>3499</v>
      </c>
    </row>
    <row r="103" spans="1:16" x14ac:dyDescent="0.25">
      <c r="A103" s="6" t="s">
        <v>3533</v>
      </c>
      <c r="B103" s="7">
        <v>46121</v>
      </c>
      <c r="C103" s="7">
        <v>46127</v>
      </c>
      <c r="D103" s="6">
        <v>3270</v>
      </c>
      <c r="E103" s="6">
        <v>336</v>
      </c>
      <c r="F103" s="6">
        <v>4</v>
      </c>
      <c r="G103" s="6">
        <v>5</v>
      </c>
      <c r="H103" s="6">
        <v>81683</v>
      </c>
      <c r="I103" s="6" t="s">
        <v>16</v>
      </c>
      <c r="J103" s="6">
        <v>16801517</v>
      </c>
      <c r="K103" s="6" t="s">
        <v>3659</v>
      </c>
      <c r="L103" s="13" t="s">
        <v>3661</v>
      </c>
      <c r="M103" s="14">
        <v>259900</v>
      </c>
      <c r="N103" s="64">
        <v>0.75</v>
      </c>
      <c r="O103" s="12">
        <f t="shared" si="1"/>
        <v>64975</v>
      </c>
      <c r="P103" s="6" t="s">
        <v>3499</v>
      </c>
    </row>
    <row r="104" spans="1:16" x14ac:dyDescent="0.25">
      <c r="A104" s="6" t="s">
        <v>3533</v>
      </c>
      <c r="B104" s="7">
        <v>46121</v>
      </c>
      <c r="C104" s="7">
        <v>46127</v>
      </c>
      <c r="D104" s="6">
        <v>3270</v>
      </c>
      <c r="E104" s="6">
        <v>336</v>
      </c>
      <c r="F104" s="6">
        <v>4</v>
      </c>
      <c r="G104" s="6">
        <v>5</v>
      </c>
      <c r="H104" s="6">
        <v>81683</v>
      </c>
      <c r="I104" s="6" t="s">
        <v>16</v>
      </c>
      <c r="J104" s="6">
        <v>16801526</v>
      </c>
      <c r="K104" s="6" t="s">
        <v>3659</v>
      </c>
      <c r="L104" s="13" t="s">
        <v>3662</v>
      </c>
      <c r="M104" s="14">
        <v>259900</v>
      </c>
      <c r="N104" s="64">
        <v>0.75</v>
      </c>
      <c r="O104" s="12">
        <f t="shared" si="1"/>
        <v>64975</v>
      </c>
      <c r="P104" s="6" t="s">
        <v>3499</v>
      </c>
    </row>
    <row r="105" spans="1:16" x14ac:dyDescent="0.25">
      <c r="A105" s="6" t="s">
        <v>3533</v>
      </c>
      <c r="B105" s="7">
        <v>46121</v>
      </c>
      <c r="C105" s="7">
        <v>46127</v>
      </c>
      <c r="D105" s="6">
        <v>3270</v>
      </c>
      <c r="E105" s="6">
        <v>336</v>
      </c>
      <c r="F105" s="6">
        <v>4</v>
      </c>
      <c r="G105" s="6">
        <v>5</v>
      </c>
      <c r="H105" s="6">
        <v>81683</v>
      </c>
      <c r="I105" s="6" t="s">
        <v>16</v>
      </c>
      <c r="J105" s="6">
        <v>16801535</v>
      </c>
      <c r="K105" s="6" t="s">
        <v>3659</v>
      </c>
      <c r="L105" s="13" t="s">
        <v>3663</v>
      </c>
      <c r="M105" s="14">
        <v>259900</v>
      </c>
      <c r="N105" s="64">
        <v>0.75</v>
      </c>
      <c r="O105" s="12">
        <f t="shared" si="1"/>
        <v>64975</v>
      </c>
      <c r="P105" s="6" t="s">
        <v>3499</v>
      </c>
    </row>
    <row r="106" spans="1:16" x14ac:dyDescent="0.25">
      <c r="A106" s="6" t="s">
        <v>3533</v>
      </c>
      <c r="B106" s="7">
        <v>46121</v>
      </c>
      <c r="C106" s="7">
        <v>46127</v>
      </c>
      <c r="D106" s="6">
        <v>3270</v>
      </c>
      <c r="E106" s="6">
        <v>336</v>
      </c>
      <c r="F106" s="6">
        <v>4</v>
      </c>
      <c r="G106" s="8">
        <v>5</v>
      </c>
      <c r="H106" s="8">
        <v>81684</v>
      </c>
      <c r="I106" s="8" t="s">
        <v>16</v>
      </c>
      <c r="J106" s="8">
        <v>15611886</v>
      </c>
      <c r="K106" s="8" t="s">
        <v>3664</v>
      </c>
      <c r="L106" s="9" t="s">
        <v>3665</v>
      </c>
      <c r="M106" s="10">
        <v>189900</v>
      </c>
      <c r="N106" s="64">
        <v>0.75</v>
      </c>
      <c r="O106" s="12">
        <f t="shared" si="1"/>
        <v>47475</v>
      </c>
      <c r="P106" s="6" t="s">
        <v>3499</v>
      </c>
    </row>
    <row r="107" spans="1:16" x14ac:dyDescent="0.25">
      <c r="A107" s="6" t="s">
        <v>3533</v>
      </c>
      <c r="B107" s="7">
        <v>46121</v>
      </c>
      <c r="C107" s="7">
        <v>46127</v>
      </c>
      <c r="D107" s="6">
        <v>3270</v>
      </c>
      <c r="E107" s="6">
        <v>336</v>
      </c>
      <c r="F107" s="6">
        <v>4</v>
      </c>
      <c r="G107" s="8">
        <v>5</v>
      </c>
      <c r="H107" s="8">
        <v>81684</v>
      </c>
      <c r="I107" s="8" t="s">
        <v>16</v>
      </c>
      <c r="J107" s="8">
        <v>15611895</v>
      </c>
      <c r="K107" s="8" t="s">
        <v>3664</v>
      </c>
      <c r="L107" s="9" t="s">
        <v>3666</v>
      </c>
      <c r="M107" s="10">
        <v>189900</v>
      </c>
      <c r="N107" s="64">
        <v>0.75</v>
      </c>
      <c r="O107" s="12">
        <f t="shared" si="1"/>
        <v>47475</v>
      </c>
      <c r="P107" s="6" t="s">
        <v>3499</v>
      </c>
    </row>
    <row r="108" spans="1:16" x14ac:dyDescent="0.25">
      <c r="A108" s="6" t="s">
        <v>3533</v>
      </c>
      <c r="B108" s="7">
        <v>46121</v>
      </c>
      <c r="C108" s="7">
        <v>46127</v>
      </c>
      <c r="D108" s="6">
        <v>3270</v>
      </c>
      <c r="E108" s="6">
        <v>336</v>
      </c>
      <c r="F108" s="6">
        <v>4</v>
      </c>
      <c r="G108" s="8">
        <v>5</v>
      </c>
      <c r="H108" s="8">
        <v>81684</v>
      </c>
      <c r="I108" s="8" t="s">
        <v>16</v>
      </c>
      <c r="J108" s="8">
        <v>15611902</v>
      </c>
      <c r="K108" s="8" t="s">
        <v>3664</v>
      </c>
      <c r="L108" s="9" t="s">
        <v>3667</v>
      </c>
      <c r="M108" s="10">
        <v>189900</v>
      </c>
      <c r="N108" s="64">
        <v>0.75</v>
      </c>
      <c r="O108" s="12">
        <f t="shared" si="1"/>
        <v>47475</v>
      </c>
      <c r="P108" s="6" t="s">
        <v>3499</v>
      </c>
    </row>
    <row r="109" spans="1:16" x14ac:dyDescent="0.25">
      <c r="A109" s="6" t="s">
        <v>3533</v>
      </c>
      <c r="B109" s="7">
        <v>46121</v>
      </c>
      <c r="C109" s="7">
        <v>46127</v>
      </c>
      <c r="D109" s="6">
        <v>3270</v>
      </c>
      <c r="E109" s="6">
        <v>336</v>
      </c>
      <c r="F109" s="6">
        <v>4</v>
      </c>
      <c r="G109" s="8">
        <v>5</v>
      </c>
      <c r="H109" s="8">
        <v>81684</v>
      </c>
      <c r="I109" s="8" t="s">
        <v>16</v>
      </c>
      <c r="J109" s="8">
        <v>15611911</v>
      </c>
      <c r="K109" s="8" t="s">
        <v>3664</v>
      </c>
      <c r="L109" s="9" t="s">
        <v>3668</v>
      </c>
      <c r="M109" s="10">
        <v>189900</v>
      </c>
      <c r="N109" s="64">
        <v>0.75</v>
      </c>
      <c r="O109" s="12">
        <f t="shared" si="1"/>
        <v>47475</v>
      </c>
      <c r="P109" s="6" t="s">
        <v>3499</v>
      </c>
    </row>
    <row r="110" spans="1:16" x14ac:dyDescent="0.25">
      <c r="A110" s="6" t="s">
        <v>3533</v>
      </c>
      <c r="B110" s="7">
        <v>46121</v>
      </c>
      <c r="C110" s="7">
        <v>46127</v>
      </c>
      <c r="D110" s="6">
        <v>3270</v>
      </c>
      <c r="E110" s="6">
        <v>336</v>
      </c>
      <c r="F110" s="6">
        <v>4</v>
      </c>
      <c r="G110" s="8">
        <v>5</v>
      </c>
      <c r="H110" s="8">
        <v>81684</v>
      </c>
      <c r="I110" s="8" t="s">
        <v>16</v>
      </c>
      <c r="J110" s="8">
        <v>16584280</v>
      </c>
      <c r="K110" s="8" t="s">
        <v>3669</v>
      </c>
      <c r="L110" s="9" t="s">
        <v>3670</v>
      </c>
      <c r="M110" s="10">
        <v>189900</v>
      </c>
      <c r="N110" s="64">
        <v>0.75</v>
      </c>
      <c r="O110" s="12">
        <f t="shared" si="1"/>
        <v>47475</v>
      </c>
      <c r="P110" s="6" t="s">
        <v>3499</v>
      </c>
    </row>
    <row r="111" spans="1:16" x14ac:dyDescent="0.25">
      <c r="A111" s="6" t="s">
        <v>3533</v>
      </c>
      <c r="B111" s="7">
        <v>46121</v>
      </c>
      <c r="C111" s="7">
        <v>46127</v>
      </c>
      <c r="D111" s="6">
        <v>3270</v>
      </c>
      <c r="E111" s="6">
        <v>336</v>
      </c>
      <c r="F111" s="6">
        <v>4</v>
      </c>
      <c r="G111" s="8">
        <v>5</v>
      </c>
      <c r="H111" s="8">
        <v>81684</v>
      </c>
      <c r="I111" s="8" t="s">
        <v>16</v>
      </c>
      <c r="J111" s="8">
        <v>16584306</v>
      </c>
      <c r="K111" s="8" t="s">
        <v>3669</v>
      </c>
      <c r="L111" s="9" t="s">
        <v>3671</v>
      </c>
      <c r="M111" s="10">
        <v>189900</v>
      </c>
      <c r="N111" s="64">
        <v>0.75</v>
      </c>
      <c r="O111" s="12">
        <f t="shared" si="1"/>
        <v>47475</v>
      </c>
      <c r="P111" s="6" t="s">
        <v>3499</v>
      </c>
    </row>
    <row r="112" spans="1:16" x14ac:dyDescent="0.25">
      <c r="A112" s="6" t="s">
        <v>3533</v>
      </c>
      <c r="B112" s="7">
        <v>46121</v>
      </c>
      <c r="C112" s="7">
        <v>46127</v>
      </c>
      <c r="D112" s="6">
        <v>3270</v>
      </c>
      <c r="E112" s="6">
        <v>336</v>
      </c>
      <c r="F112" s="6">
        <v>4</v>
      </c>
      <c r="G112" s="8">
        <v>5</v>
      </c>
      <c r="H112" s="8">
        <v>81684</v>
      </c>
      <c r="I112" s="8" t="s">
        <v>16</v>
      </c>
      <c r="J112" s="8">
        <v>16584315</v>
      </c>
      <c r="K112" s="8" t="s">
        <v>3669</v>
      </c>
      <c r="L112" s="9" t="s">
        <v>3672</v>
      </c>
      <c r="M112" s="10">
        <v>189900</v>
      </c>
      <c r="N112" s="64">
        <v>0.75</v>
      </c>
      <c r="O112" s="12">
        <f t="shared" si="1"/>
        <v>47475</v>
      </c>
      <c r="P112" s="6" t="s">
        <v>3499</v>
      </c>
    </row>
    <row r="113" spans="1:16" x14ac:dyDescent="0.25">
      <c r="A113" s="6" t="s">
        <v>3533</v>
      </c>
      <c r="B113" s="7">
        <v>46121</v>
      </c>
      <c r="C113" s="7">
        <v>46127</v>
      </c>
      <c r="D113" s="6">
        <v>3270</v>
      </c>
      <c r="E113" s="6">
        <v>336</v>
      </c>
      <c r="F113" s="6">
        <v>4</v>
      </c>
      <c r="G113" s="8">
        <v>5</v>
      </c>
      <c r="H113" s="8">
        <v>81684</v>
      </c>
      <c r="I113" s="8" t="s">
        <v>16</v>
      </c>
      <c r="J113" s="8">
        <v>16584299</v>
      </c>
      <c r="K113" s="8" t="s">
        <v>3669</v>
      </c>
      <c r="L113" s="9" t="s">
        <v>3673</v>
      </c>
      <c r="M113" s="10">
        <v>189900</v>
      </c>
      <c r="N113" s="64">
        <v>0.75</v>
      </c>
      <c r="O113" s="12">
        <f t="shared" si="1"/>
        <v>47475</v>
      </c>
      <c r="P113" s="6" t="s">
        <v>3499</v>
      </c>
    </row>
    <row r="114" spans="1:16" x14ac:dyDescent="0.25">
      <c r="A114" s="6" t="s">
        <v>3533</v>
      </c>
      <c r="B114" s="7">
        <v>46121</v>
      </c>
      <c r="C114" s="7">
        <v>46127</v>
      </c>
      <c r="D114" s="6">
        <v>3270</v>
      </c>
      <c r="E114" s="6">
        <v>336</v>
      </c>
      <c r="F114" s="6">
        <v>4</v>
      </c>
      <c r="G114" s="8">
        <v>5</v>
      </c>
      <c r="H114" s="8">
        <v>81684</v>
      </c>
      <c r="I114" s="8" t="s">
        <v>16</v>
      </c>
      <c r="J114" s="8">
        <v>15610967</v>
      </c>
      <c r="K114" s="8" t="s">
        <v>3674</v>
      </c>
      <c r="L114" s="9" t="s">
        <v>3675</v>
      </c>
      <c r="M114" s="10">
        <v>189900</v>
      </c>
      <c r="N114" s="64">
        <v>0.75</v>
      </c>
      <c r="O114" s="12">
        <f t="shared" si="1"/>
        <v>47475</v>
      </c>
      <c r="P114" s="6" t="s">
        <v>3499</v>
      </c>
    </row>
    <row r="115" spans="1:16" x14ac:dyDescent="0.25">
      <c r="A115" s="6" t="s">
        <v>3533</v>
      </c>
      <c r="B115" s="7">
        <v>46121</v>
      </c>
      <c r="C115" s="7">
        <v>46127</v>
      </c>
      <c r="D115" s="6">
        <v>3270</v>
      </c>
      <c r="E115" s="6">
        <v>336</v>
      </c>
      <c r="F115" s="6">
        <v>4</v>
      </c>
      <c r="G115" s="8">
        <v>5</v>
      </c>
      <c r="H115" s="8">
        <v>81684</v>
      </c>
      <c r="I115" s="8" t="s">
        <v>16</v>
      </c>
      <c r="J115" s="8">
        <v>15610976</v>
      </c>
      <c r="K115" s="8" t="s">
        <v>3674</v>
      </c>
      <c r="L115" s="9" t="s">
        <v>3676</v>
      </c>
      <c r="M115" s="10">
        <v>189900</v>
      </c>
      <c r="N115" s="64">
        <v>0.75</v>
      </c>
      <c r="O115" s="12">
        <f t="shared" si="1"/>
        <v>47475</v>
      </c>
      <c r="P115" s="6" t="s">
        <v>3499</v>
      </c>
    </row>
    <row r="116" spans="1:16" x14ac:dyDescent="0.25">
      <c r="A116" s="6" t="s">
        <v>3533</v>
      </c>
      <c r="B116" s="7">
        <v>46121</v>
      </c>
      <c r="C116" s="7">
        <v>46127</v>
      </c>
      <c r="D116" s="6">
        <v>3270</v>
      </c>
      <c r="E116" s="6">
        <v>336</v>
      </c>
      <c r="F116" s="6">
        <v>4</v>
      </c>
      <c r="G116" s="8">
        <v>5</v>
      </c>
      <c r="H116" s="8">
        <v>81684</v>
      </c>
      <c r="I116" s="8" t="s">
        <v>16</v>
      </c>
      <c r="J116" s="8">
        <v>15610985</v>
      </c>
      <c r="K116" s="8" t="s">
        <v>3674</v>
      </c>
      <c r="L116" s="9" t="s">
        <v>3677</v>
      </c>
      <c r="M116" s="10">
        <v>189900</v>
      </c>
      <c r="N116" s="64">
        <v>0.75</v>
      </c>
      <c r="O116" s="12">
        <f t="shared" si="1"/>
        <v>47475</v>
      </c>
      <c r="P116" s="6" t="s">
        <v>3499</v>
      </c>
    </row>
    <row r="117" spans="1:16" x14ac:dyDescent="0.25">
      <c r="A117" s="6" t="s">
        <v>3533</v>
      </c>
      <c r="B117" s="7">
        <v>46121</v>
      </c>
      <c r="C117" s="7">
        <v>46127</v>
      </c>
      <c r="D117" s="6">
        <v>3270</v>
      </c>
      <c r="E117" s="6">
        <v>336</v>
      </c>
      <c r="F117" s="6">
        <v>4</v>
      </c>
      <c r="G117" s="8">
        <v>5</v>
      </c>
      <c r="H117" s="8">
        <v>81684</v>
      </c>
      <c r="I117" s="8" t="s">
        <v>16</v>
      </c>
      <c r="J117" s="8">
        <v>15611019</v>
      </c>
      <c r="K117" s="8" t="s">
        <v>3674</v>
      </c>
      <c r="L117" s="9" t="s">
        <v>3678</v>
      </c>
      <c r="M117" s="10">
        <v>189900</v>
      </c>
      <c r="N117" s="64">
        <v>0.75</v>
      </c>
      <c r="O117" s="12">
        <f t="shared" si="1"/>
        <v>47475</v>
      </c>
      <c r="P117" s="6" t="s">
        <v>3499</v>
      </c>
    </row>
    <row r="118" spans="1:16" x14ac:dyDescent="0.25">
      <c r="A118" s="6" t="s">
        <v>3533</v>
      </c>
      <c r="B118" s="7">
        <v>46121</v>
      </c>
      <c r="C118" s="7">
        <v>46127</v>
      </c>
      <c r="D118" s="6">
        <v>3270</v>
      </c>
      <c r="E118" s="6">
        <v>336</v>
      </c>
      <c r="F118" s="6">
        <v>4</v>
      </c>
      <c r="G118" s="8">
        <v>5</v>
      </c>
      <c r="H118" s="8">
        <v>81777</v>
      </c>
      <c r="I118" s="18" t="s">
        <v>16</v>
      </c>
      <c r="J118" s="8">
        <v>15612125</v>
      </c>
      <c r="K118" s="8" t="s">
        <v>3679</v>
      </c>
      <c r="L118" s="9" t="s">
        <v>3680</v>
      </c>
      <c r="M118" s="10">
        <v>189900</v>
      </c>
      <c r="N118" s="64">
        <v>0.75</v>
      </c>
      <c r="O118" s="12">
        <f t="shared" si="1"/>
        <v>47475</v>
      </c>
      <c r="P118" s="6" t="s">
        <v>3499</v>
      </c>
    </row>
    <row r="119" spans="1:16" x14ac:dyDescent="0.25">
      <c r="A119" s="6" t="s">
        <v>3533</v>
      </c>
      <c r="B119" s="7">
        <v>46121</v>
      </c>
      <c r="C119" s="7">
        <v>46127</v>
      </c>
      <c r="D119" s="6">
        <v>3270</v>
      </c>
      <c r="E119" s="6">
        <v>336</v>
      </c>
      <c r="F119" s="6">
        <v>4</v>
      </c>
      <c r="G119" s="8">
        <v>5</v>
      </c>
      <c r="H119" s="8">
        <v>81777</v>
      </c>
      <c r="I119" s="18" t="s">
        <v>16</v>
      </c>
      <c r="J119" s="8">
        <v>15612134</v>
      </c>
      <c r="K119" s="8" t="s">
        <v>3679</v>
      </c>
      <c r="L119" s="9" t="s">
        <v>3681</v>
      </c>
      <c r="M119" s="10">
        <v>189900</v>
      </c>
      <c r="N119" s="64">
        <v>0.75</v>
      </c>
      <c r="O119" s="12">
        <f t="shared" si="1"/>
        <v>47475</v>
      </c>
      <c r="P119" s="6" t="s">
        <v>3499</v>
      </c>
    </row>
    <row r="120" spans="1:16" x14ac:dyDescent="0.25">
      <c r="A120" s="6" t="s">
        <v>3533</v>
      </c>
      <c r="B120" s="7">
        <v>46121</v>
      </c>
      <c r="C120" s="7">
        <v>46127</v>
      </c>
      <c r="D120" s="6">
        <v>3270</v>
      </c>
      <c r="E120" s="6">
        <v>336</v>
      </c>
      <c r="F120" s="6">
        <v>4</v>
      </c>
      <c r="G120" s="8">
        <v>5</v>
      </c>
      <c r="H120" s="8">
        <v>81777</v>
      </c>
      <c r="I120" s="18" t="s">
        <v>16</v>
      </c>
      <c r="J120" s="8">
        <v>15612143</v>
      </c>
      <c r="K120" s="8" t="s">
        <v>3679</v>
      </c>
      <c r="L120" s="9" t="s">
        <v>3682</v>
      </c>
      <c r="M120" s="10">
        <v>189900</v>
      </c>
      <c r="N120" s="64">
        <v>0.75</v>
      </c>
      <c r="O120" s="12">
        <f t="shared" si="1"/>
        <v>47475</v>
      </c>
      <c r="P120" s="6" t="s">
        <v>3499</v>
      </c>
    </row>
    <row r="121" spans="1:16" x14ac:dyDescent="0.25">
      <c r="A121" s="6" t="s">
        <v>3533</v>
      </c>
      <c r="B121" s="7">
        <v>46121</v>
      </c>
      <c r="C121" s="7">
        <v>46127</v>
      </c>
      <c r="D121" s="6">
        <v>3270</v>
      </c>
      <c r="E121" s="6">
        <v>336</v>
      </c>
      <c r="F121" s="6">
        <v>4</v>
      </c>
      <c r="G121" s="8">
        <v>5</v>
      </c>
      <c r="H121" s="8">
        <v>81777</v>
      </c>
      <c r="I121" s="18" t="s">
        <v>16</v>
      </c>
      <c r="J121" s="8">
        <v>15612152</v>
      </c>
      <c r="K121" s="8" t="s">
        <v>3679</v>
      </c>
      <c r="L121" s="9" t="s">
        <v>3683</v>
      </c>
      <c r="M121" s="10">
        <v>189900</v>
      </c>
      <c r="N121" s="64">
        <v>0.75</v>
      </c>
      <c r="O121" s="12">
        <f t="shared" si="1"/>
        <v>47475</v>
      </c>
      <c r="P121" s="6" t="s">
        <v>3499</v>
      </c>
    </row>
  </sheetData>
  <autoFilter ref="A1:P12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2024 70 H1 SHORT KI D75</vt:lpstr>
      <vt:lpstr>2024 70 H1 KI TOP D75</vt:lpstr>
      <vt:lpstr>2024 71 H1 SHORTS KI D75</vt:lpstr>
      <vt:lpstr>2024 71 H1 KI TOP D75</vt:lpstr>
      <vt:lpstr>2024 70 Q3 SHORTS D75</vt:lpstr>
      <vt:lpstr>2024 70 Q3 KI TOP D75</vt:lpstr>
      <vt:lpstr>2024 Q3 SHORT KI BOTTOM D75</vt:lpstr>
      <vt:lpstr>2024 Q3 KI N S D75</vt:lpstr>
      <vt:lpstr>2024 3270 Q4 KI TOP D75</vt:lpstr>
      <vt:lpstr>2024 3271 Q4 KI TOP D75</vt:lpstr>
      <vt:lpstr>2024 Q4 SHORTS KIBOTTOM D60</vt:lpstr>
      <vt:lpstr>2025 Q1 KI TOP D70</vt:lpstr>
      <vt:lpstr>2025 Q1 KI BTM N SHORTS D60</vt:lpstr>
      <vt:lpstr>2025 Q1 KI LP D60</vt:lpstr>
      <vt:lpstr>2025 Q2 KI TOP D70</vt:lpstr>
      <vt:lpstr>2025 Q2 SHORTS D60</vt:lpstr>
      <vt:lpstr>2025 Q2 KI BOTTOM B1G1</vt:lpstr>
      <vt:lpstr>2025 Q3 SHORT KIBOTTOM B1G1</vt:lpstr>
      <vt:lpstr>2025 JUL-AUG KI TOP B1G1</vt:lpstr>
      <vt:lpstr>2025 OCT SHORTS D30</vt:lpstr>
      <vt:lpstr>2025 OCT KIBOTTOM D30</vt:lpstr>
      <vt:lpstr>2025 OKTNOV KITOP D30</vt:lpstr>
      <vt:lpstr>2025 NOV SHORTS D30</vt:lpstr>
      <vt:lpstr>2026 Q1 KI TOP SHORTS B2D20</vt:lpstr>
      <vt:lpstr>2026 Q1 KI BOTTOM B2D20</vt:lpstr>
      <vt:lpstr>2024 H1 BOTTOM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Dessy Ponco Sugriwo</dc:creator>
  <cp:lastModifiedBy>Dessy Ponco Sugriwo</cp:lastModifiedBy>
  <dcterms:created xsi:type="dcterms:W3CDTF">2026-03-10T03:53:27Z</dcterms:created>
  <dcterms:modified xsi:type="dcterms:W3CDTF">2026-04-07T07:20:37Z</dcterms:modified>
</cp:coreProperties>
</file>